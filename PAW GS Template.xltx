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workbookPr/>
  <mc:AlternateContent xmlns:mc="http://schemas.openxmlformats.org/markup-compatibility/2006">
    <mc:Choice Requires="x15">
      <x15ac:absPath xmlns:x15ac="http://schemas.microsoft.com/office/spreadsheetml/2010/11/ac" url="R:\exe\"/>
    </mc:Choice>
  </mc:AlternateContent>
  <xr:revisionPtr revIDLastSave="0" documentId="8_{EC85B488-BFC7-4C40-BAA4-DD3EDAD93C5B}" xr6:coauthVersionLast="47" xr6:coauthVersionMax="47" xr10:uidLastSave="{00000000-0000-0000-0000-000000000000}"/>
  <bookViews>
    <workbookView xWindow="-120" yWindow="-120" windowWidth="20640" windowHeight="11160" tabRatio="568" activeTab="1" xr2:uid="{00000000-000D-0000-FFFF-FFFF00000000}"/>
  </bookViews>
  <sheets>
    <sheet name="Instructions" sheetId="1" r:id="rId1"/>
    <sheet name="ScoPo" sheetId="2" r:id="rId2"/>
    <sheet name="PAW26" sheetId="3" r:id="rId3"/>
    <sheet name="Standing Board" sheetId="4" r:id="rId4"/>
    <sheet name="Results Export" sheetId="5" r:id="rId5"/>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5" l="1"/>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2" i="5"/>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2" i="5"/>
  <c r="AH70" i="3"/>
  <c r="D923" i="3"/>
  <c r="D55" i="3"/>
  <c r="B1569" i="3"/>
  <c r="I353" i="3"/>
  <c r="J150" i="2"/>
  <c r="J151" i="2"/>
  <c r="AH65" i="3"/>
  <c r="H141" i="3"/>
  <c r="J152" i="2"/>
  <c r="J153" i="2"/>
  <c r="H142" i="3"/>
  <c r="J154" i="2"/>
  <c r="J155" i="2"/>
  <c r="H143" i="3"/>
  <c r="J156" i="2"/>
  <c r="J157" i="2"/>
  <c r="H144" i="3"/>
  <c r="H150" i="2"/>
  <c r="H151" i="2"/>
  <c r="N4" i="2"/>
  <c r="I141" i="3"/>
  <c r="H152" i="2"/>
  <c r="H153" i="2"/>
  <c r="N5" i="2"/>
  <c r="I142" i="3"/>
  <c r="H154" i="2"/>
  <c r="H155" i="2"/>
  <c r="N6" i="2"/>
  <c r="I143" i="3"/>
  <c r="I144" i="3"/>
  <c r="J158" i="2"/>
  <c r="J159" i="2"/>
  <c r="H145" i="3"/>
  <c r="H158" i="2"/>
  <c r="H159" i="2"/>
  <c r="N8" i="2"/>
  <c r="I145" i="3"/>
  <c r="J160" i="2"/>
  <c r="J161" i="2"/>
  <c r="H146" i="3"/>
  <c r="I146" i="3"/>
  <c r="J162" i="2"/>
  <c r="J163" i="2"/>
  <c r="H147" i="3"/>
  <c r="H162" i="2"/>
  <c r="H163" i="2"/>
  <c r="N10" i="2"/>
  <c r="I147" i="3"/>
  <c r="J164" i="2"/>
  <c r="J165" i="2"/>
  <c r="H148" i="3"/>
  <c r="I148" i="3"/>
  <c r="J166" i="2"/>
  <c r="J167" i="2"/>
  <c r="H149" i="3"/>
  <c r="H166" i="2"/>
  <c r="H167" i="2"/>
  <c r="N12" i="2"/>
  <c r="I149" i="3"/>
  <c r="J168" i="2"/>
  <c r="J169" i="2"/>
  <c r="H150" i="3"/>
  <c r="I150" i="3"/>
  <c r="J170" i="2"/>
  <c r="J171" i="2"/>
  <c r="H151" i="3"/>
  <c r="H170" i="2"/>
  <c r="H171" i="2"/>
  <c r="N14" i="2"/>
  <c r="I151" i="3"/>
  <c r="J172" i="2"/>
  <c r="J173" i="2"/>
  <c r="H152" i="3"/>
  <c r="I152" i="3"/>
  <c r="J174" i="2"/>
  <c r="J175" i="2"/>
  <c r="H153" i="3"/>
  <c r="I153" i="3"/>
  <c r="J176" i="2"/>
  <c r="J177" i="2"/>
  <c r="H154" i="3"/>
  <c r="I154" i="3"/>
  <c r="J178" i="2"/>
  <c r="J179" i="2"/>
  <c r="H155" i="3"/>
  <c r="I155" i="3"/>
  <c r="J180" i="2"/>
  <c r="J181" i="2"/>
  <c r="H156" i="3"/>
  <c r="I156" i="3"/>
  <c r="J182" i="2"/>
  <c r="J183" i="2"/>
  <c r="H157" i="3"/>
  <c r="H182" i="2"/>
  <c r="H183" i="2"/>
  <c r="N20" i="2"/>
  <c r="I157" i="3"/>
  <c r="J184" i="2"/>
  <c r="J185" i="2"/>
  <c r="H158" i="3"/>
  <c r="H184" i="2"/>
  <c r="H185" i="2"/>
  <c r="N21" i="2"/>
  <c r="I158" i="3"/>
  <c r="J186" i="2"/>
  <c r="J187" i="2"/>
  <c r="H159" i="3"/>
  <c r="I159" i="3"/>
  <c r="J188" i="2"/>
  <c r="J189" i="2"/>
  <c r="H160" i="3"/>
  <c r="I160" i="3"/>
  <c r="J190" i="2"/>
  <c r="J191" i="2"/>
  <c r="H161" i="3"/>
  <c r="I161" i="3"/>
  <c r="J192" i="2"/>
  <c r="J193" i="2"/>
  <c r="H162" i="3"/>
  <c r="I162" i="3"/>
  <c r="J194" i="2"/>
  <c r="J195" i="2"/>
  <c r="H163" i="3"/>
  <c r="H194" i="2"/>
  <c r="H195" i="2"/>
  <c r="N26" i="2"/>
  <c r="I163" i="3"/>
  <c r="J196" i="2"/>
  <c r="J197" i="2"/>
  <c r="H164" i="3"/>
  <c r="I164" i="3"/>
  <c r="J198" i="2"/>
  <c r="J199" i="2"/>
  <c r="H165" i="3"/>
  <c r="H198" i="2"/>
  <c r="H199" i="2"/>
  <c r="N28" i="2"/>
  <c r="I165" i="3"/>
  <c r="J200" i="2"/>
  <c r="J201" i="2"/>
  <c r="H166" i="3"/>
  <c r="I166" i="3"/>
  <c r="J202" i="2"/>
  <c r="J203" i="2"/>
  <c r="H167" i="3"/>
  <c r="H202" i="2"/>
  <c r="H203" i="2"/>
  <c r="N30" i="2"/>
  <c r="I167" i="3"/>
  <c r="J204" i="2"/>
  <c r="J205" i="2"/>
  <c r="H168" i="3"/>
  <c r="I168" i="3"/>
  <c r="J206" i="2"/>
  <c r="J207" i="2"/>
  <c r="H169" i="3"/>
  <c r="H206" i="2"/>
  <c r="H207" i="2"/>
  <c r="N32" i="2"/>
  <c r="I169" i="3"/>
  <c r="J208" i="2"/>
  <c r="J209" i="2"/>
  <c r="H170" i="3"/>
  <c r="H208" i="2"/>
  <c r="H209" i="2"/>
  <c r="N33" i="2"/>
  <c r="I170" i="3"/>
  <c r="J210" i="2"/>
  <c r="J211" i="2"/>
  <c r="H171" i="3"/>
  <c r="I171" i="3"/>
  <c r="J212" i="2"/>
  <c r="J213" i="2"/>
  <c r="H172" i="3"/>
  <c r="I172" i="3"/>
  <c r="J214" i="2"/>
  <c r="J215" i="2"/>
  <c r="H173" i="3"/>
  <c r="I173" i="3"/>
  <c r="J216" i="2"/>
  <c r="J217" i="2"/>
  <c r="H174" i="3"/>
  <c r="H216" i="2"/>
  <c r="H217" i="2"/>
  <c r="N37" i="2"/>
  <c r="I174" i="3"/>
  <c r="J218" i="2"/>
  <c r="J219" i="2"/>
  <c r="H175" i="3"/>
  <c r="H218" i="2"/>
  <c r="H219" i="2"/>
  <c r="N38" i="2"/>
  <c r="I175" i="3"/>
  <c r="J220" i="2"/>
  <c r="J221" i="2"/>
  <c r="H176" i="3"/>
  <c r="I176" i="3"/>
  <c r="J222" i="2"/>
  <c r="J223" i="2"/>
  <c r="H177" i="3"/>
  <c r="H222" i="2"/>
  <c r="H223" i="2"/>
  <c r="N40" i="2"/>
  <c r="I177" i="3"/>
  <c r="J224" i="2"/>
  <c r="J225" i="2"/>
  <c r="H178" i="3"/>
  <c r="I178" i="3"/>
  <c r="J226" i="2"/>
  <c r="J227" i="2"/>
  <c r="H179" i="3"/>
  <c r="H226" i="2"/>
  <c r="H227" i="2"/>
  <c r="N42" i="2"/>
  <c r="I179" i="3"/>
  <c r="J228" i="2"/>
  <c r="J229" i="2"/>
  <c r="H180" i="3"/>
  <c r="I180" i="3"/>
  <c r="J230" i="2"/>
  <c r="J231" i="2"/>
  <c r="H181" i="3"/>
  <c r="H230" i="2"/>
  <c r="H231" i="2"/>
  <c r="N44" i="2"/>
  <c r="I181" i="3"/>
  <c r="J232" i="2"/>
  <c r="J233" i="2"/>
  <c r="H182" i="3"/>
  <c r="I182" i="3"/>
  <c r="J234" i="2"/>
  <c r="J235" i="2"/>
  <c r="H183" i="3"/>
  <c r="H234" i="2"/>
  <c r="H235" i="2"/>
  <c r="N46" i="2"/>
  <c r="I183" i="3"/>
  <c r="J236" i="2"/>
  <c r="J237" i="2"/>
  <c r="H184" i="3"/>
  <c r="I184" i="3"/>
  <c r="J238" i="2"/>
  <c r="J239" i="2"/>
  <c r="H185" i="3"/>
  <c r="H238" i="2"/>
  <c r="H239" i="2"/>
  <c r="N48" i="2"/>
  <c r="I185" i="3"/>
  <c r="J240" i="2"/>
  <c r="J241" i="2"/>
  <c r="H186" i="3"/>
  <c r="I186" i="3"/>
  <c r="J242" i="2"/>
  <c r="J243" i="2"/>
  <c r="H187" i="3"/>
  <c r="H242" i="2"/>
  <c r="H243" i="2"/>
  <c r="N50" i="2"/>
  <c r="I187" i="3"/>
  <c r="J244" i="2"/>
  <c r="J245" i="2"/>
  <c r="H188" i="3"/>
  <c r="I188" i="3"/>
  <c r="J246" i="2"/>
  <c r="J247" i="2"/>
  <c r="H189" i="3"/>
  <c r="H246" i="2"/>
  <c r="H247" i="2"/>
  <c r="N52" i="2"/>
  <c r="I189" i="3"/>
  <c r="J248" i="2"/>
  <c r="J249" i="2"/>
  <c r="H190" i="3"/>
  <c r="I190" i="3"/>
  <c r="J250" i="2"/>
  <c r="J251" i="2"/>
  <c r="H191" i="3"/>
  <c r="I191" i="3"/>
  <c r="J252" i="2"/>
  <c r="J253" i="2"/>
  <c r="H192" i="3"/>
  <c r="H252" i="2"/>
  <c r="H253" i="2"/>
  <c r="N55" i="2"/>
  <c r="I192" i="3"/>
  <c r="J254" i="2"/>
  <c r="J255" i="2"/>
  <c r="H193" i="3"/>
  <c r="H254" i="2"/>
  <c r="H255" i="2"/>
  <c r="N56" i="2"/>
  <c r="I193" i="3"/>
  <c r="J256" i="2"/>
  <c r="J257" i="2"/>
  <c r="H194" i="3"/>
  <c r="H256" i="2"/>
  <c r="H257" i="2"/>
  <c r="N57" i="2"/>
  <c r="I194" i="3"/>
  <c r="J258" i="2"/>
  <c r="J259" i="2"/>
  <c r="H195" i="3"/>
  <c r="I195" i="3"/>
  <c r="J260" i="2"/>
  <c r="J261" i="2"/>
  <c r="H196" i="3"/>
  <c r="I196" i="3"/>
  <c r="J262" i="2"/>
  <c r="J263" i="2"/>
  <c r="H197" i="3"/>
  <c r="H262" i="2"/>
  <c r="H263" i="2"/>
  <c r="N60" i="2"/>
  <c r="I197" i="3"/>
  <c r="J264" i="2"/>
  <c r="J265" i="2"/>
  <c r="H198" i="3"/>
  <c r="H264" i="2"/>
  <c r="H265" i="2"/>
  <c r="N61" i="2"/>
  <c r="I198" i="3"/>
  <c r="J266" i="2"/>
  <c r="J267" i="2"/>
  <c r="H199" i="3"/>
  <c r="H266" i="2"/>
  <c r="H267" i="2"/>
  <c r="N62" i="2"/>
  <c r="I199" i="3"/>
  <c r="J268" i="2"/>
  <c r="J269" i="2"/>
  <c r="H200" i="3"/>
  <c r="I200" i="3"/>
  <c r="J270" i="2"/>
  <c r="J271" i="2"/>
  <c r="H201" i="3"/>
  <c r="I201" i="3"/>
  <c r="J272" i="2"/>
  <c r="J273" i="2"/>
  <c r="H202" i="3"/>
  <c r="I202" i="3"/>
  <c r="J274" i="2"/>
  <c r="J275" i="2"/>
  <c r="H203" i="3"/>
  <c r="H274" i="2"/>
  <c r="H275" i="2"/>
  <c r="N66" i="2"/>
  <c r="I203" i="3"/>
  <c r="J276" i="2"/>
  <c r="J277" i="2"/>
  <c r="H204" i="3"/>
  <c r="I204" i="3"/>
  <c r="H205" i="3"/>
  <c r="I205" i="3"/>
  <c r="H206" i="3"/>
  <c r="I206" i="3"/>
  <c r="H207" i="3"/>
  <c r="I207" i="3"/>
  <c r="H208" i="3"/>
  <c r="H157" i="2"/>
  <c r="H156" i="2"/>
  <c r="O7" i="2"/>
  <c r="I208" i="3"/>
  <c r="H209" i="3"/>
  <c r="I209" i="3"/>
  <c r="H210" i="3"/>
  <c r="H161" i="2"/>
  <c r="H160" i="2"/>
  <c r="O9" i="2"/>
  <c r="I210" i="3"/>
  <c r="H211" i="3"/>
  <c r="I211" i="3"/>
  <c r="H212" i="3"/>
  <c r="H165" i="2"/>
  <c r="H164" i="2"/>
  <c r="O11" i="2"/>
  <c r="I212" i="3"/>
  <c r="H213" i="3"/>
  <c r="I213" i="3"/>
  <c r="H214" i="3"/>
  <c r="H169" i="2"/>
  <c r="H168" i="2"/>
  <c r="O13" i="2"/>
  <c r="I214" i="3"/>
  <c r="H215" i="3"/>
  <c r="I215" i="3"/>
  <c r="H216" i="3"/>
  <c r="H173" i="2"/>
  <c r="H172" i="2"/>
  <c r="O15" i="2"/>
  <c r="I216" i="3"/>
  <c r="H217" i="3"/>
  <c r="H175" i="2"/>
  <c r="H174" i="2"/>
  <c r="O16" i="2"/>
  <c r="I217" i="3"/>
  <c r="H218" i="3"/>
  <c r="H177" i="2"/>
  <c r="H176" i="2"/>
  <c r="O17" i="2"/>
  <c r="I218" i="3"/>
  <c r="H219" i="3"/>
  <c r="H179" i="2"/>
  <c r="H178" i="2"/>
  <c r="O18" i="2"/>
  <c r="I219" i="3"/>
  <c r="H220" i="3"/>
  <c r="H181" i="2"/>
  <c r="H180" i="2"/>
  <c r="O19" i="2"/>
  <c r="I220" i="3"/>
  <c r="H221" i="3"/>
  <c r="I221" i="3"/>
  <c r="H222" i="3"/>
  <c r="I222" i="3"/>
  <c r="H223" i="3"/>
  <c r="H187" i="2"/>
  <c r="H186" i="2"/>
  <c r="O22" i="2"/>
  <c r="I223" i="3"/>
  <c r="H224" i="3"/>
  <c r="H189" i="2"/>
  <c r="H188" i="2"/>
  <c r="O23" i="2"/>
  <c r="I224" i="3"/>
  <c r="H225" i="3"/>
  <c r="H191" i="2"/>
  <c r="H190" i="2"/>
  <c r="O24" i="2"/>
  <c r="I225" i="3"/>
  <c r="H226" i="3"/>
  <c r="H193" i="2"/>
  <c r="H192" i="2"/>
  <c r="O25" i="2"/>
  <c r="I226" i="3"/>
  <c r="H227" i="3"/>
  <c r="I227" i="3"/>
  <c r="H228" i="3"/>
  <c r="H197" i="2"/>
  <c r="H196" i="2"/>
  <c r="O27" i="2"/>
  <c r="I228" i="3"/>
  <c r="H229" i="3"/>
  <c r="I229" i="3"/>
  <c r="H230" i="3"/>
  <c r="H201" i="2"/>
  <c r="H200" i="2"/>
  <c r="O29" i="2"/>
  <c r="I230" i="3"/>
  <c r="H231" i="3"/>
  <c r="I231" i="3"/>
  <c r="H232" i="3"/>
  <c r="H205" i="2"/>
  <c r="H204" i="2"/>
  <c r="O31" i="2"/>
  <c r="I232" i="3"/>
  <c r="H233" i="3"/>
  <c r="I233" i="3"/>
  <c r="H234" i="3"/>
  <c r="I234" i="3"/>
  <c r="H235" i="3"/>
  <c r="H211" i="2"/>
  <c r="H210" i="2"/>
  <c r="O34" i="2"/>
  <c r="I235" i="3"/>
  <c r="H236" i="3"/>
  <c r="H213" i="2"/>
  <c r="H212" i="2"/>
  <c r="O35" i="2"/>
  <c r="I236" i="3"/>
  <c r="H237" i="3"/>
  <c r="H215" i="2"/>
  <c r="H214" i="2"/>
  <c r="O36" i="2"/>
  <c r="I237" i="3"/>
  <c r="H238" i="3"/>
  <c r="I238" i="3"/>
  <c r="H239" i="3"/>
  <c r="I239" i="3"/>
  <c r="H240" i="3"/>
  <c r="H221" i="2"/>
  <c r="H220" i="2"/>
  <c r="O39" i="2"/>
  <c r="I240" i="3"/>
  <c r="H241" i="3"/>
  <c r="I241" i="3"/>
  <c r="H242" i="3"/>
  <c r="H225" i="2"/>
  <c r="H224" i="2"/>
  <c r="O41" i="2"/>
  <c r="I242" i="3"/>
  <c r="H243" i="3"/>
  <c r="I243" i="3"/>
  <c r="H244" i="3"/>
  <c r="H229" i="2"/>
  <c r="H228" i="2"/>
  <c r="O43" i="2"/>
  <c r="I244" i="3"/>
  <c r="H245" i="3"/>
  <c r="I245" i="3"/>
  <c r="H246" i="3"/>
  <c r="H233" i="2"/>
  <c r="H232" i="2"/>
  <c r="O45" i="2"/>
  <c r="I246" i="3"/>
  <c r="H247" i="3"/>
  <c r="I247" i="3"/>
  <c r="H248" i="3"/>
  <c r="H237" i="2"/>
  <c r="H236" i="2"/>
  <c r="O47" i="2"/>
  <c r="I248" i="3"/>
  <c r="H249" i="3"/>
  <c r="I249" i="3"/>
  <c r="H250" i="3"/>
  <c r="H241" i="2"/>
  <c r="H240" i="2"/>
  <c r="O49" i="2"/>
  <c r="I250" i="3"/>
  <c r="H251" i="3"/>
  <c r="I251" i="3"/>
  <c r="H252" i="3"/>
  <c r="H245" i="2"/>
  <c r="H244" i="2"/>
  <c r="O51" i="2"/>
  <c r="I252" i="3"/>
  <c r="H253" i="3"/>
  <c r="I253" i="3"/>
  <c r="H254" i="3"/>
  <c r="H249" i="2"/>
  <c r="H248" i="2"/>
  <c r="O53" i="2"/>
  <c r="I254" i="3"/>
  <c r="H255" i="3"/>
  <c r="H251" i="2"/>
  <c r="H250" i="2"/>
  <c r="O54" i="2"/>
  <c r="I255" i="3"/>
  <c r="H256" i="3"/>
  <c r="I256" i="3"/>
  <c r="H257" i="3"/>
  <c r="I257" i="3"/>
  <c r="H258" i="3"/>
  <c r="I258" i="3"/>
  <c r="H259" i="3"/>
  <c r="H259" i="2"/>
  <c r="H258" i="2"/>
  <c r="O58" i="2"/>
  <c r="I259" i="3"/>
  <c r="H260" i="3"/>
  <c r="H261" i="2"/>
  <c r="H260" i="2"/>
  <c r="O59" i="2"/>
  <c r="I260" i="3"/>
  <c r="H261" i="3"/>
  <c r="I261" i="3"/>
  <c r="H262" i="3"/>
  <c r="I262" i="3"/>
  <c r="H263" i="3"/>
  <c r="I263" i="3"/>
  <c r="H264" i="3"/>
  <c r="H269" i="2"/>
  <c r="H268" i="2"/>
  <c r="O63" i="2"/>
  <c r="I264" i="3"/>
  <c r="H265" i="3"/>
  <c r="H271" i="2"/>
  <c r="H270" i="2"/>
  <c r="O64" i="2"/>
  <c r="I265" i="3"/>
  <c r="H266" i="3"/>
  <c r="H273" i="2"/>
  <c r="H272" i="2"/>
  <c r="O65" i="2"/>
  <c r="I266" i="3"/>
  <c r="H267" i="3"/>
  <c r="I267" i="3"/>
  <c r="H268" i="3"/>
  <c r="H277" i="2"/>
  <c r="H276" i="2"/>
  <c r="O67" i="2"/>
  <c r="I268" i="3"/>
  <c r="R4" i="2"/>
  <c r="S70" i="2"/>
  <c r="R5" i="2"/>
  <c r="T70" i="2"/>
  <c r="H270" i="3"/>
  <c r="N70" i="2"/>
  <c r="I270" i="3"/>
  <c r="R6" i="2"/>
  <c r="S71" i="2"/>
  <c r="R7" i="2"/>
  <c r="T71" i="2"/>
  <c r="H271" i="3"/>
  <c r="I271" i="3"/>
  <c r="R8" i="2"/>
  <c r="S72" i="2"/>
  <c r="R9" i="2"/>
  <c r="T72" i="2"/>
  <c r="H272" i="3"/>
  <c r="N72" i="2"/>
  <c r="I272" i="3"/>
  <c r="R10" i="2"/>
  <c r="S73" i="2"/>
  <c r="R11" i="2"/>
  <c r="T73" i="2"/>
  <c r="H273" i="3"/>
  <c r="I273" i="3"/>
  <c r="R12" i="2"/>
  <c r="S74" i="2"/>
  <c r="R13" i="2"/>
  <c r="T74" i="2"/>
  <c r="H274" i="3"/>
  <c r="N74" i="2"/>
  <c r="I274" i="3"/>
  <c r="R14" i="2"/>
  <c r="S75" i="2"/>
  <c r="R15" i="2"/>
  <c r="T75" i="2"/>
  <c r="H275" i="3"/>
  <c r="I275" i="3"/>
  <c r="R16" i="2"/>
  <c r="S76" i="2"/>
  <c r="R17" i="2"/>
  <c r="T76" i="2"/>
  <c r="H276" i="3"/>
  <c r="N76" i="2"/>
  <c r="I276" i="3"/>
  <c r="R18" i="2"/>
  <c r="S77" i="2"/>
  <c r="R19" i="2"/>
  <c r="T77" i="2"/>
  <c r="H277" i="3"/>
  <c r="N77" i="2"/>
  <c r="I277" i="3"/>
  <c r="R20" i="2"/>
  <c r="S78" i="2"/>
  <c r="R21" i="2"/>
  <c r="T78" i="2"/>
  <c r="H278" i="3"/>
  <c r="N78" i="2"/>
  <c r="I278" i="3"/>
  <c r="R22" i="2"/>
  <c r="S79" i="2"/>
  <c r="R23" i="2"/>
  <c r="T79" i="2"/>
  <c r="H279" i="3"/>
  <c r="N79" i="2"/>
  <c r="I279" i="3"/>
  <c r="R24" i="2"/>
  <c r="S80" i="2"/>
  <c r="R25" i="2"/>
  <c r="T80" i="2"/>
  <c r="H280" i="3"/>
  <c r="I280" i="3"/>
  <c r="R26" i="2"/>
  <c r="S81" i="2"/>
  <c r="R27" i="2"/>
  <c r="T81" i="2"/>
  <c r="H281" i="3"/>
  <c r="I281" i="3"/>
  <c r="R28" i="2"/>
  <c r="S82" i="2"/>
  <c r="R29" i="2"/>
  <c r="T82" i="2"/>
  <c r="H282" i="3"/>
  <c r="N82" i="2"/>
  <c r="I282" i="3"/>
  <c r="R30" i="2"/>
  <c r="S83" i="2"/>
  <c r="R31" i="2"/>
  <c r="T83" i="2"/>
  <c r="H283" i="3"/>
  <c r="I283" i="3"/>
  <c r="R32" i="2"/>
  <c r="S84" i="2"/>
  <c r="R33" i="2"/>
  <c r="T84" i="2"/>
  <c r="H284" i="3"/>
  <c r="N84" i="2"/>
  <c r="I284" i="3"/>
  <c r="R34" i="2"/>
  <c r="S85" i="2"/>
  <c r="R35" i="2"/>
  <c r="T85" i="2"/>
  <c r="H285" i="3"/>
  <c r="I285" i="3"/>
  <c r="R36" i="2"/>
  <c r="S86" i="2"/>
  <c r="R37" i="2"/>
  <c r="T86" i="2"/>
  <c r="H286" i="3"/>
  <c r="N86" i="2"/>
  <c r="I286" i="3"/>
  <c r="R38" i="2"/>
  <c r="S87" i="2"/>
  <c r="R39" i="2"/>
  <c r="T87" i="2"/>
  <c r="H287" i="3"/>
  <c r="N87" i="2"/>
  <c r="I287" i="3"/>
  <c r="R40" i="2"/>
  <c r="S88" i="2"/>
  <c r="R41" i="2"/>
  <c r="T88" i="2"/>
  <c r="H288" i="3"/>
  <c r="N88" i="2"/>
  <c r="I288" i="3"/>
  <c r="R42" i="2"/>
  <c r="S89" i="2"/>
  <c r="R43" i="2"/>
  <c r="T89" i="2"/>
  <c r="H289" i="3"/>
  <c r="N89" i="2"/>
  <c r="I289" i="3"/>
  <c r="R44" i="2"/>
  <c r="S90" i="2"/>
  <c r="R45" i="2"/>
  <c r="T90" i="2"/>
  <c r="H290" i="3"/>
  <c r="N90" i="2"/>
  <c r="I290" i="3"/>
  <c r="R46" i="2"/>
  <c r="S91" i="2"/>
  <c r="R47" i="2"/>
  <c r="T91" i="2"/>
  <c r="H291" i="3"/>
  <c r="I291" i="3"/>
  <c r="R48" i="2"/>
  <c r="S92" i="2"/>
  <c r="R49" i="2"/>
  <c r="T92" i="2"/>
  <c r="H292" i="3"/>
  <c r="N92" i="2"/>
  <c r="I292" i="3"/>
  <c r="R50" i="2"/>
  <c r="S93" i="2"/>
  <c r="R51" i="2"/>
  <c r="T93" i="2"/>
  <c r="H293" i="3"/>
  <c r="I293" i="3"/>
  <c r="R52" i="2"/>
  <c r="S94" i="2"/>
  <c r="R53" i="2"/>
  <c r="T94" i="2"/>
  <c r="H294" i="3"/>
  <c r="N94" i="2"/>
  <c r="I294" i="3"/>
  <c r="R54" i="2"/>
  <c r="S95" i="2"/>
  <c r="R55" i="2"/>
  <c r="T95" i="2"/>
  <c r="H295" i="3"/>
  <c r="I295" i="3"/>
  <c r="R56" i="2"/>
  <c r="S96" i="2"/>
  <c r="R57" i="2"/>
  <c r="T96" i="2"/>
  <c r="H296" i="3"/>
  <c r="N96" i="2"/>
  <c r="I296" i="3"/>
  <c r="R58" i="2"/>
  <c r="S97" i="2"/>
  <c r="R59" i="2"/>
  <c r="T97" i="2"/>
  <c r="H297" i="3"/>
  <c r="I297" i="3"/>
  <c r="R60" i="2"/>
  <c r="S98" i="2"/>
  <c r="R61" i="2"/>
  <c r="T98" i="2"/>
  <c r="H298" i="3"/>
  <c r="I298" i="3"/>
  <c r="R62" i="2"/>
  <c r="S99" i="2"/>
  <c r="R63" i="2"/>
  <c r="T99" i="2"/>
  <c r="H299" i="3"/>
  <c r="I299" i="3"/>
  <c r="R64" i="2"/>
  <c r="S100" i="2"/>
  <c r="R65" i="2"/>
  <c r="T100" i="2"/>
  <c r="H300" i="3"/>
  <c r="N100" i="2"/>
  <c r="I300" i="3"/>
  <c r="R66" i="2"/>
  <c r="S101" i="2"/>
  <c r="R67" i="2"/>
  <c r="T101" i="2"/>
  <c r="H301" i="3"/>
  <c r="I301" i="3"/>
  <c r="H302" i="3"/>
  <c r="I302" i="3"/>
  <c r="H303" i="3"/>
  <c r="O71" i="2"/>
  <c r="I303" i="3"/>
  <c r="H304" i="3"/>
  <c r="I304" i="3"/>
  <c r="H305" i="3"/>
  <c r="O73" i="2"/>
  <c r="I305" i="3"/>
  <c r="H306" i="3"/>
  <c r="I306" i="3"/>
  <c r="H307" i="3"/>
  <c r="O75" i="2"/>
  <c r="I307" i="3"/>
  <c r="H308" i="3"/>
  <c r="I308" i="3"/>
  <c r="H309" i="3"/>
  <c r="I309" i="3"/>
  <c r="H310" i="3"/>
  <c r="I310" i="3"/>
  <c r="H311" i="3"/>
  <c r="I311" i="3"/>
  <c r="H312" i="3"/>
  <c r="O80" i="2"/>
  <c r="I312" i="3"/>
  <c r="H313" i="3"/>
  <c r="O81" i="2"/>
  <c r="I313" i="3"/>
  <c r="H314" i="3"/>
  <c r="I314" i="3"/>
  <c r="H315" i="3"/>
  <c r="O83" i="2"/>
  <c r="I315" i="3"/>
  <c r="H316" i="3"/>
  <c r="I316" i="3"/>
  <c r="H317" i="3"/>
  <c r="O85" i="2"/>
  <c r="I317" i="3"/>
  <c r="H318" i="3"/>
  <c r="I318" i="3"/>
  <c r="H319" i="3"/>
  <c r="I319" i="3"/>
  <c r="H320" i="3"/>
  <c r="I320" i="3"/>
  <c r="H321" i="3"/>
  <c r="I321" i="3"/>
  <c r="H322" i="3"/>
  <c r="I322" i="3"/>
  <c r="H323" i="3"/>
  <c r="O91" i="2"/>
  <c r="I323" i="3"/>
  <c r="H324" i="3"/>
  <c r="I324" i="3"/>
  <c r="H325" i="3"/>
  <c r="O93" i="2"/>
  <c r="I325" i="3"/>
  <c r="H326" i="3"/>
  <c r="I326" i="3"/>
  <c r="H327" i="3"/>
  <c r="O95" i="2"/>
  <c r="I327" i="3"/>
  <c r="H328" i="3"/>
  <c r="I328" i="3"/>
  <c r="H329" i="3"/>
  <c r="O97" i="2"/>
  <c r="I329" i="3"/>
  <c r="H330" i="3"/>
  <c r="O98" i="2"/>
  <c r="I330" i="3"/>
  <c r="H331" i="3"/>
  <c r="O99" i="2"/>
  <c r="I331" i="3"/>
  <c r="H332" i="3"/>
  <c r="I332" i="3"/>
  <c r="H333" i="3"/>
  <c r="O101" i="2"/>
  <c r="I333" i="3"/>
  <c r="R70" i="2"/>
  <c r="S104" i="2"/>
  <c r="R71" i="2"/>
  <c r="T104" i="2"/>
  <c r="H335" i="3"/>
  <c r="N104" i="2"/>
  <c r="I335" i="3"/>
  <c r="R72" i="2"/>
  <c r="S105" i="2"/>
  <c r="R73" i="2"/>
  <c r="T105" i="2"/>
  <c r="H336" i="3"/>
  <c r="I336" i="3"/>
  <c r="R74" i="2"/>
  <c r="S106" i="2"/>
  <c r="R75" i="2"/>
  <c r="T106" i="2"/>
  <c r="H337" i="3"/>
  <c r="N106" i="2"/>
  <c r="I337" i="3"/>
  <c r="R76" i="2"/>
  <c r="S107" i="2"/>
  <c r="R77" i="2"/>
  <c r="T107" i="2"/>
  <c r="H338" i="3"/>
  <c r="N107" i="2"/>
  <c r="I338" i="3"/>
  <c r="R78" i="2"/>
  <c r="S108" i="2"/>
  <c r="R79" i="2"/>
  <c r="T108" i="2"/>
  <c r="H339" i="3"/>
  <c r="N108" i="2"/>
  <c r="I339" i="3"/>
  <c r="R80" i="2"/>
  <c r="S109" i="2"/>
  <c r="R81" i="2"/>
  <c r="T109" i="2"/>
  <c r="H340" i="3"/>
  <c r="I340" i="3"/>
  <c r="R82" i="2"/>
  <c r="S110" i="2"/>
  <c r="R83" i="2"/>
  <c r="T110" i="2"/>
  <c r="H341" i="3"/>
  <c r="I341" i="3"/>
  <c r="R84" i="2"/>
  <c r="S111" i="2"/>
  <c r="R85" i="2"/>
  <c r="T111" i="2"/>
  <c r="H342" i="3"/>
  <c r="N111" i="2"/>
  <c r="I342" i="3"/>
  <c r="R86" i="2"/>
  <c r="S112" i="2"/>
  <c r="R87" i="2"/>
  <c r="T112" i="2"/>
  <c r="H343" i="3"/>
  <c r="I343" i="3"/>
  <c r="R88" i="2"/>
  <c r="S113" i="2"/>
  <c r="R89" i="2"/>
  <c r="T113" i="2"/>
  <c r="H344" i="3"/>
  <c r="N113" i="2"/>
  <c r="I344" i="3"/>
  <c r="R90" i="2"/>
  <c r="S114" i="2"/>
  <c r="R91" i="2"/>
  <c r="T114" i="2"/>
  <c r="H345" i="3"/>
  <c r="I345" i="3"/>
  <c r="R92" i="2"/>
  <c r="S115" i="2"/>
  <c r="R93" i="2"/>
  <c r="T115" i="2"/>
  <c r="H346" i="3"/>
  <c r="I346" i="3"/>
  <c r="R94" i="2"/>
  <c r="S116" i="2"/>
  <c r="R95" i="2"/>
  <c r="T116" i="2"/>
  <c r="H347" i="3"/>
  <c r="N116" i="2"/>
  <c r="I347" i="3"/>
  <c r="R96" i="2"/>
  <c r="S117" i="2"/>
  <c r="R97" i="2"/>
  <c r="T117" i="2"/>
  <c r="H348" i="3"/>
  <c r="I348" i="3"/>
  <c r="R98" i="2"/>
  <c r="S118" i="2"/>
  <c r="R99" i="2"/>
  <c r="T118" i="2"/>
  <c r="H349" i="3"/>
  <c r="I349" i="3"/>
  <c r="R100" i="2"/>
  <c r="S119" i="2"/>
  <c r="R101" i="2"/>
  <c r="T119" i="2"/>
  <c r="H350" i="3"/>
  <c r="I350" i="3"/>
  <c r="H351" i="3"/>
  <c r="I351" i="3"/>
  <c r="H352" i="3"/>
  <c r="O105" i="2"/>
  <c r="I352" i="3"/>
  <c r="H353" i="3"/>
  <c r="H354" i="3"/>
  <c r="I354" i="3"/>
  <c r="H355" i="3"/>
  <c r="I355" i="3"/>
  <c r="H356" i="3"/>
  <c r="O109" i="2"/>
  <c r="I356" i="3"/>
  <c r="H357" i="3"/>
  <c r="O110" i="2"/>
  <c r="I357" i="3"/>
  <c r="H358" i="3"/>
  <c r="I358" i="3"/>
  <c r="H359" i="3"/>
  <c r="O112" i="2"/>
  <c r="I359" i="3"/>
  <c r="H360" i="3"/>
  <c r="I360" i="3"/>
  <c r="H361" i="3"/>
  <c r="O114" i="2"/>
  <c r="I361" i="3"/>
  <c r="H362" i="3"/>
  <c r="O115" i="2"/>
  <c r="I362" i="3"/>
  <c r="H363" i="3"/>
  <c r="I363" i="3"/>
  <c r="H364" i="3"/>
  <c r="O117" i="2"/>
  <c r="I364" i="3"/>
  <c r="H365" i="3"/>
  <c r="O118" i="2"/>
  <c r="I365" i="3"/>
  <c r="H366" i="3"/>
  <c r="O119" i="2"/>
  <c r="I366" i="3"/>
  <c r="R104" i="2"/>
  <c r="S122" i="2"/>
  <c r="R105" i="2"/>
  <c r="T122" i="2"/>
  <c r="H368" i="3"/>
  <c r="N122" i="2"/>
  <c r="I368" i="3"/>
  <c r="R106" i="2"/>
  <c r="S123" i="2"/>
  <c r="R107" i="2"/>
  <c r="T123" i="2"/>
  <c r="H369" i="3"/>
  <c r="N123" i="2"/>
  <c r="I369" i="3"/>
  <c r="R108" i="2"/>
  <c r="S124" i="2"/>
  <c r="R109" i="2"/>
  <c r="T124" i="2"/>
  <c r="H370" i="3"/>
  <c r="N124" i="2"/>
  <c r="I370" i="3"/>
  <c r="R110" i="2"/>
  <c r="S125" i="2"/>
  <c r="R111" i="2"/>
  <c r="T125" i="2"/>
  <c r="H371" i="3"/>
  <c r="N125" i="2"/>
  <c r="I371" i="3"/>
  <c r="R112" i="2"/>
  <c r="S126" i="2"/>
  <c r="R113" i="2"/>
  <c r="T126" i="2"/>
  <c r="H372" i="3"/>
  <c r="N126" i="2"/>
  <c r="I372" i="3"/>
  <c r="R114" i="2"/>
  <c r="S127" i="2"/>
  <c r="R115" i="2"/>
  <c r="T127" i="2"/>
  <c r="H373" i="3"/>
  <c r="I373" i="3"/>
  <c r="R116" i="2"/>
  <c r="S128" i="2"/>
  <c r="R117" i="2"/>
  <c r="T128" i="2"/>
  <c r="H374" i="3"/>
  <c r="I374" i="3"/>
  <c r="R118" i="2"/>
  <c r="S129" i="2"/>
  <c r="R119" i="2"/>
  <c r="T129" i="2"/>
  <c r="H375" i="3"/>
  <c r="I375" i="3"/>
  <c r="H376" i="3"/>
  <c r="I376" i="3"/>
  <c r="H377" i="3"/>
  <c r="I377" i="3"/>
  <c r="H378" i="3"/>
  <c r="I378" i="3"/>
  <c r="H379" i="3"/>
  <c r="I379" i="3"/>
  <c r="H380" i="3"/>
  <c r="I380" i="3"/>
  <c r="H381" i="3"/>
  <c r="O127" i="2"/>
  <c r="I381" i="3"/>
  <c r="H382" i="3"/>
  <c r="O128" i="2"/>
  <c r="I382" i="3"/>
  <c r="H383" i="3"/>
  <c r="O129" i="2"/>
  <c r="I383" i="3"/>
  <c r="R122" i="2"/>
  <c r="S132" i="2"/>
  <c r="R123" i="2"/>
  <c r="T132" i="2"/>
  <c r="H385" i="3"/>
  <c r="N132" i="2"/>
  <c r="I385" i="3"/>
  <c r="R124" i="2"/>
  <c r="S133" i="2"/>
  <c r="R125" i="2"/>
  <c r="T133" i="2"/>
  <c r="H386" i="3"/>
  <c r="I386" i="3"/>
  <c r="R126" i="2"/>
  <c r="S134" i="2"/>
  <c r="R127" i="2"/>
  <c r="T134" i="2"/>
  <c r="H387" i="3"/>
  <c r="I387" i="3"/>
  <c r="R128" i="2"/>
  <c r="S135" i="2"/>
  <c r="R129" i="2"/>
  <c r="T135" i="2"/>
  <c r="H388" i="3"/>
  <c r="I388" i="3"/>
  <c r="H389" i="3"/>
  <c r="I389" i="3"/>
  <c r="H390" i="3"/>
  <c r="O133" i="2"/>
  <c r="I390" i="3"/>
  <c r="H391" i="3"/>
  <c r="O134" i="2"/>
  <c r="I391" i="3"/>
  <c r="H392" i="3"/>
  <c r="O135" i="2"/>
  <c r="I392" i="3"/>
  <c r="R132" i="2"/>
  <c r="S138" i="2"/>
  <c r="R133" i="2"/>
  <c r="T138" i="2"/>
  <c r="H394" i="3"/>
  <c r="N138" i="2"/>
  <c r="I394" i="3"/>
  <c r="R134" i="2"/>
  <c r="S139" i="2"/>
  <c r="R135" i="2"/>
  <c r="T139" i="2"/>
  <c r="H395" i="3"/>
  <c r="I395" i="3"/>
  <c r="H396" i="3"/>
  <c r="I396" i="3"/>
  <c r="H397" i="3"/>
  <c r="O139" i="2"/>
  <c r="I397" i="3"/>
  <c r="R138" i="2"/>
  <c r="S142" i="2"/>
  <c r="R139" i="2"/>
  <c r="T142" i="2"/>
  <c r="H399" i="3"/>
  <c r="N142" i="2"/>
  <c r="I399" i="3"/>
  <c r="H400" i="3"/>
  <c r="I400" i="3"/>
  <c r="AH66" i="3"/>
  <c r="AH74" i="3"/>
  <c r="H139" i="3"/>
  <c r="E2117" i="3"/>
  <c r="D2117" i="3"/>
  <c r="D1586" i="3"/>
  <c r="D2114" i="3"/>
  <c r="P157" i="2"/>
  <c r="K170" i="2"/>
  <c r="L170" i="2"/>
  <c r="M170" i="2"/>
  <c r="P152" i="2"/>
  <c r="P151" i="2"/>
  <c r="I170" i="2"/>
  <c r="K173" i="2"/>
  <c r="L173" i="2"/>
  <c r="M173" i="2"/>
  <c r="I173" i="2"/>
  <c r="N75" i="2"/>
  <c r="Q75" i="2"/>
  <c r="D1724" i="3"/>
  <c r="E1497" i="3"/>
  <c r="E1498" i="3"/>
  <c r="E1499" i="3"/>
  <c r="D1383" i="3"/>
  <c r="D1384" i="3"/>
  <c r="D1385" i="3"/>
  <c r="D1386" i="3"/>
  <c r="D1387" i="3"/>
  <c r="D1388" i="3"/>
  <c r="D1389" i="3"/>
  <c r="D1390" i="3"/>
  <c r="D1497" i="3"/>
  <c r="D714" i="3"/>
  <c r="D1046" i="3"/>
  <c r="M152" i="2"/>
  <c r="K152" i="2"/>
  <c r="L152" i="2"/>
  <c r="I152" i="2"/>
  <c r="M153" i="2"/>
  <c r="K153" i="2"/>
  <c r="L153" i="2"/>
  <c r="I153" i="2"/>
  <c r="O5" i="2"/>
  <c r="Q5" i="2"/>
  <c r="D1402" i="3"/>
  <c r="K215" i="2"/>
  <c r="L215" i="2"/>
  <c r="M215" i="2"/>
  <c r="I215" i="2"/>
  <c r="K218" i="2"/>
  <c r="L218" i="2"/>
  <c r="M218" i="2"/>
  <c r="I218" i="2"/>
  <c r="N112" i="2"/>
  <c r="Q112" i="2"/>
  <c r="K187" i="2"/>
  <c r="L187" i="2"/>
  <c r="M187" i="2"/>
  <c r="I187" i="2"/>
  <c r="K189" i="2"/>
  <c r="L189" i="2"/>
  <c r="M189" i="2"/>
  <c r="I189" i="2"/>
  <c r="O79" i="2"/>
  <c r="Q79" i="2"/>
  <c r="D187" i="3"/>
  <c r="D2236" i="3"/>
  <c r="D384" i="3"/>
  <c r="D906" i="3"/>
  <c r="D80" i="3"/>
  <c r="B2269" i="3"/>
  <c r="D283" i="3"/>
  <c r="D63" i="3"/>
  <c r="B1793" i="3"/>
  <c r="D1793" i="3"/>
  <c r="D2329" i="3"/>
  <c r="D4" i="3"/>
  <c r="B141" i="3"/>
  <c r="D5" i="3"/>
  <c r="B169" i="3"/>
  <c r="D6" i="3"/>
  <c r="D7" i="3"/>
  <c r="D8" i="3"/>
  <c r="D9" i="3"/>
  <c r="B281" i="3"/>
  <c r="D281" i="3"/>
  <c r="D10" i="3"/>
  <c r="D11" i="3"/>
  <c r="D12" i="3"/>
  <c r="D13" i="3"/>
  <c r="B393" i="3"/>
  <c r="D393" i="3"/>
  <c r="D14" i="3"/>
  <c r="D15" i="3"/>
  <c r="D16" i="3"/>
  <c r="D17" i="3"/>
  <c r="B505" i="3"/>
  <c r="D505" i="3"/>
  <c r="D18" i="3"/>
  <c r="D19" i="3"/>
  <c r="D20" i="3"/>
  <c r="D21" i="3"/>
  <c r="B617" i="3"/>
  <c r="D617" i="3"/>
  <c r="D22" i="3"/>
  <c r="D23" i="3"/>
  <c r="D24" i="3"/>
  <c r="D25" i="3"/>
  <c r="B729" i="3"/>
  <c r="D729" i="3"/>
  <c r="D26" i="3"/>
  <c r="D27" i="3"/>
  <c r="D28" i="3"/>
  <c r="D29" i="3"/>
  <c r="B841" i="3"/>
  <c r="D841" i="3"/>
  <c r="D30" i="3"/>
  <c r="D31" i="3"/>
  <c r="D32" i="3"/>
  <c r="B925" i="3"/>
  <c r="D33" i="3"/>
  <c r="B953" i="3"/>
  <c r="D953" i="3"/>
  <c r="D34" i="3"/>
  <c r="D35" i="3"/>
  <c r="D36" i="3"/>
  <c r="B1037" i="3"/>
  <c r="D37" i="3"/>
  <c r="B1065" i="3"/>
  <c r="D1065" i="3"/>
  <c r="D38" i="3"/>
  <c r="D39" i="3"/>
  <c r="D40" i="3"/>
  <c r="B1149" i="3"/>
  <c r="D1149" i="3"/>
  <c r="D41" i="3"/>
  <c r="B1177" i="3"/>
  <c r="D1177" i="3"/>
  <c r="D42" i="3"/>
  <c r="D43" i="3"/>
  <c r="D44" i="3"/>
  <c r="D45" i="3"/>
  <c r="B1289" i="3"/>
  <c r="D1289" i="3"/>
  <c r="D46" i="3"/>
  <c r="D47" i="3"/>
  <c r="D48" i="3"/>
  <c r="B1373" i="3"/>
  <c r="D1373" i="3"/>
  <c r="D49" i="3"/>
  <c r="B1401" i="3"/>
  <c r="D1401" i="3"/>
  <c r="D50" i="3"/>
  <c r="D51" i="3"/>
  <c r="D52" i="3"/>
  <c r="D53" i="3"/>
  <c r="B1513" i="3"/>
  <c r="D1513" i="3"/>
  <c r="D54" i="3"/>
  <c r="D56" i="3"/>
  <c r="B1597" i="3"/>
  <c r="D1597" i="3"/>
  <c r="D57" i="3"/>
  <c r="B1625" i="3"/>
  <c r="D1625" i="3"/>
  <c r="D58" i="3"/>
  <c r="D59" i="3"/>
  <c r="D60" i="3"/>
  <c r="D61" i="3"/>
  <c r="B1737" i="3"/>
  <c r="D1737" i="3"/>
  <c r="D62" i="3"/>
  <c r="D64" i="3"/>
  <c r="D65" i="3"/>
  <c r="D66" i="3"/>
  <c r="D67" i="3"/>
  <c r="B1905" i="3"/>
  <c r="D1905" i="3"/>
  <c r="AH67" i="3"/>
  <c r="D68" i="3"/>
  <c r="AH68" i="3"/>
  <c r="D69" i="3"/>
  <c r="AH69" i="3"/>
  <c r="D70" i="3"/>
  <c r="D71" i="3"/>
  <c r="AH71" i="3"/>
  <c r="D72" i="3"/>
  <c r="B2045" i="3"/>
  <c r="D2045" i="3"/>
  <c r="AH72" i="3"/>
  <c r="D73" i="3"/>
  <c r="AH73" i="3"/>
  <c r="D74" i="3"/>
  <c r="B2101" i="3"/>
  <c r="D2101" i="3"/>
  <c r="D75" i="3"/>
  <c r="AH75" i="3"/>
  <c r="D76" i="3"/>
  <c r="B2157" i="3"/>
  <c r="D2157" i="3"/>
  <c r="AH76" i="3"/>
  <c r="D77" i="3"/>
  <c r="D78" i="3"/>
  <c r="D79" i="3"/>
  <c r="B2241" i="3"/>
  <c r="D2241" i="3"/>
  <c r="D81" i="3"/>
  <c r="D82" i="3"/>
  <c r="D83" i="3"/>
  <c r="B2353" i="3"/>
  <c r="D84" i="3"/>
  <c r="B2381" i="3"/>
  <c r="D2381" i="3"/>
  <c r="D85" i="3"/>
  <c r="D86" i="3"/>
  <c r="D87" i="3"/>
  <c r="B2465" i="3"/>
  <c r="D2465" i="3"/>
  <c r="D88" i="3"/>
  <c r="B2493" i="3"/>
  <c r="D2493" i="3"/>
  <c r="D89" i="3"/>
  <c r="D90" i="3"/>
  <c r="D91" i="3"/>
  <c r="B2577" i="3"/>
  <c r="D2577" i="3"/>
  <c r="D92" i="3"/>
  <c r="B2605" i="3"/>
  <c r="D2605" i="3"/>
  <c r="D93" i="3"/>
  <c r="D94" i="3"/>
  <c r="D95" i="3"/>
  <c r="B2689" i="3"/>
  <c r="D2689" i="3"/>
  <c r="D96" i="3"/>
  <c r="B2717" i="3"/>
  <c r="D2717" i="3"/>
  <c r="D97" i="3"/>
  <c r="D98" i="3"/>
  <c r="D99" i="3"/>
  <c r="B2801" i="3"/>
  <c r="D100" i="3"/>
  <c r="B2829" i="3"/>
  <c r="D2829" i="3"/>
  <c r="D101" i="3"/>
  <c r="D102" i="3"/>
  <c r="D103" i="3"/>
  <c r="D104" i="3"/>
  <c r="B2941" i="3"/>
  <c r="D2941" i="3"/>
  <c r="D105" i="3"/>
  <c r="D106" i="3"/>
  <c r="D107" i="3"/>
  <c r="D108" i="3"/>
  <c r="B3053" i="3"/>
  <c r="D3053" i="3"/>
  <c r="D109" i="3"/>
  <c r="D110" i="3"/>
  <c r="D111" i="3"/>
  <c r="B3137" i="3"/>
  <c r="D112" i="3"/>
  <c r="B3165" i="3"/>
  <c r="D3165" i="3"/>
  <c r="D113" i="3"/>
  <c r="D114" i="3"/>
  <c r="D115" i="3"/>
  <c r="B3249" i="3"/>
  <c r="D116" i="3"/>
  <c r="B3277" i="3"/>
  <c r="D3277" i="3"/>
  <c r="D117" i="3"/>
  <c r="D118" i="3"/>
  <c r="D119" i="3"/>
  <c r="B3361" i="3"/>
  <c r="D3361" i="3"/>
  <c r="D120" i="3"/>
  <c r="B3389" i="3"/>
  <c r="D3389" i="3"/>
  <c r="D121" i="3"/>
  <c r="D122" i="3"/>
  <c r="D123" i="3"/>
  <c r="B3473" i="3"/>
  <c r="D124" i="3"/>
  <c r="B3501" i="3"/>
  <c r="D3501" i="3"/>
  <c r="D125" i="3"/>
  <c r="D126" i="3"/>
  <c r="D127" i="3"/>
  <c r="D128" i="3"/>
  <c r="B3613" i="3"/>
  <c r="D3613" i="3"/>
  <c r="D129" i="3"/>
  <c r="D130" i="3"/>
  <c r="D131" i="3"/>
  <c r="B3697" i="3"/>
  <c r="D132" i="3"/>
  <c r="B3725" i="3"/>
  <c r="D3725" i="3"/>
  <c r="D133" i="3"/>
  <c r="C141" i="3"/>
  <c r="C142" i="3"/>
  <c r="D142" i="3"/>
  <c r="AH142" i="3"/>
  <c r="C143" i="3"/>
  <c r="D143" i="3"/>
  <c r="AH143" i="3"/>
  <c r="C144" i="3"/>
  <c r="D144" i="3"/>
  <c r="AH144" i="3"/>
  <c r="C145" i="3"/>
  <c r="D145" i="3"/>
  <c r="AH145" i="3"/>
  <c r="C146" i="3"/>
  <c r="D146" i="3"/>
  <c r="AH146" i="3"/>
  <c r="C147" i="3"/>
  <c r="D147" i="3"/>
  <c r="AH147" i="3"/>
  <c r="C148" i="3"/>
  <c r="D148" i="3"/>
  <c r="AH148" i="3"/>
  <c r="C149" i="3"/>
  <c r="D149" i="3"/>
  <c r="AH149" i="3"/>
  <c r="C150" i="3"/>
  <c r="D150" i="3"/>
  <c r="AH150" i="3"/>
  <c r="C151" i="3"/>
  <c r="D151" i="3"/>
  <c r="AH151" i="3"/>
  <c r="C152" i="3"/>
  <c r="D152" i="3"/>
  <c r="AH152" i="3"/>
  <c r="C153" i="3"/>
  <c r="D153" i="3"/>
  <c r="AH153" i="3"/>
  <c r="C154" i="3"/>
  <c r="D154" i="3"/>
  <c r="AH154" i="3"/>
  <c r="C155" i="3"/>
  <c r="D155" i="3"/>
  <c r="AH155" i="3"/>
  <c r="C156" i="3"/>
  <c r="D156" i="3"/>
  <c r="AH156" i="3"/>
  <c r="C157" i="3"/>
  <c r="D157" i="3"/>
  <c r="AH157" i="3"/>
  <c r="C158" i="3"/>
  <c r="D158" i="3"/>
  <c r="AH158" i="3"/>
  <c r="C159" i="3"/>
  <c r="D159" i="3"/>
  <c r="AH159" i="3"/>
  <c r="C160" i="3"/>
  <c r="D160" i="3"/>
  <c r="AH160" i="3"/>
  <c r="C161" i="3"/>
  <c r="D161" i="3"/>
  <c r="AH161" i="3"/>
  <c r="C162" i="3"/>
  <c r="D162" i="3"/>
  <c r="AH162" i="3"/>
  <c r="C163" i="3"/>
  <c r="D163" i="3"/>
  <c r="AH163" i="3"/>
  <c r="C164" i="3"/>
  <c r="D164" i="3"/>
  <c r="AH164" i="3"/>
  <c r="C165" i="3"/>
  <c r="D165" i="3"/>
  <c r="AH165" i="3"/>
  <c r="C166" i="3"/>
  <c r="D166" i="3"/>
  <c r="AH166" i="3"/>
  <c r="C167" i="3"/>
  <c r="D167" i="3"/>
  <c r="AH167" i="3"/>
  <c r="C169" i="3"/>
  <c r="C170" i="3"/>
  <c r="D170" i="3"/>
  <c r="AH170" i="3"/>
  <c r="C171" i="3"/>
  <c r="D171" i="3"/>
  <c r="AH171" i="3"/>
  <c r="C172" i="3"/>
  <c r="D172" i="3"/>
  <c r="AH172" i="3"/>
  <c r="C173" i="3"/>
  <c r="D173" i="3"/>
  <c r="AH173" i="3"/>
  <c r="C174" i="3"/>
  <c r="D174" i="3"/>
  <c r="AH174" i="3"/>
  <c r="C175" i="3"/>
  <c r="D175" i="3"/>
  <c r="AH175" i="3"/>
  <c r="C176" i="3"/>
  <c r="D176" i="3"/>
  <c r="AH176" i="3"/>
  <c r="C177" i="3"/>
  <c r="D177" i="3"/>
  <c r="AH177" i="3"/>
  <c r="C178" i="3"/>
  <c r="D178" i="3"/>
  <c r="AH178" i="3"/>
  <c r="C179" i="3"/>
  <c r="D179" i="3"/>
  <c r="AH179" i="3"/>
  <c r="C180" i="3"/>
  <c r="D180" i="3"/>
  <c r="AH180" i="3"/>
  <c r="C181" i="3"/>
  <c r="D181" i="3"/>
  <c r="AH181" i="3"/>
  <c r="C182" i="3"/>
  <c r="D182" i="3"/>
  <c r="AH182" i="3"/>
  <c r="C183" i="3"/>
  <c r="D183" i="3"/>
  <c r="AH183" i="3"/>
  <c r="C184" i="3"/>
  <c r="D184" i="3"/>
  <c r="AH184" i="3"/>
  <c r="C185" i="3"/>
  <c r="D185" i="3"/>
  <c r="AH185" i="3"/>
  <c r="C186" i="3"/>
  <c r="D186" i="3"/>
  <c r="AH186" i="3"/>
  <c r="C187" i="3"/>
  <c r="AH187" i="3"/>
  <c r="C188" i="3"/>
  <c r="D188" i="3"/>
  <c r="AH188" i="3"/>
  <c r="C189" i="3"/>
  <c r="D189" i="3"/>
  <c r="AH189" i="3"/>
  <c r="C190" i="3"/>
  <c r="D190" i="3"/>
  <c r="AH190" i="3"/>
  <c r="C191" i="3"/>
  <c r="D191" i="3"/>
  <c r="AH191" i="3"/>
  <c r="C192" i="3"/>
  <c r="D192" i="3"/>
  <c r="AH192" i="3"/>
  <c r="C193" i="3"/>
  <c r="D193" i="3"/>
  <c r="AH193" i="3"/>
  <c r="C194" i="3"/>
  <c r="D194" i="3"/>
  <c r="AH194" i="3"/>
  <c r="C195" i="3"/>
  <c r="D195" i="3"/>
  <c r="AH195" i="3"/>
  <c r="B197" i="3"/>
  <c r="D197" i="3"/>
  <c r="C197" i="3"/>
  <c r="C198" i="3"/>
  <c r="D198" i="3"/>
  <c r="AH198" i="3"/>
  <c r="C199" i="3"/>
  <c r="D199" i="3"/>
  <c r="AH199" i="3"/>
  <c r="C200" i="3"/>
  <c r="D200" i="3"/>
  <c r="AH200" i="3"/>
  <c r="C201" i="3"/>
  <c r="D201" i="3"/>
  <c r="AH201" i="3"/>
  <c r="C202" i="3"/>
  <c r="D202" i="3"/>
  <c r="AH202" i="3"/>
  <c r="C203" i="3"/>
  <c r="D203" i="3"/>
  <c r="AH203" i="3"/>
  <c r="C204" i="3"/>
  <c r="D204" i="3"/>
  <c r="AH204" i="3"/>
  <c r="C205" i="3"/>
  <c r="D205" i="3"/>
  <c r="AH205" i="3"/>
  <c r="C206" i="3"/>
  <c r="D206" i="3"/>
  <c r="AH206" i="3"/>
  <c r="C207" i="3"/>
  <c r="D207" i="3"/>
  <c r="AH207" i="3"/>
  <c r="C208" i="3"/>
  <c r="D208" i="3"/>
  <c r="AH208" i="3"/>
  <c r="C209" i="3"/>
  <c r="D209" i="3"/>
  <c r="AH209" i="3"/>
  <c r="C210" i="3"/>
  <c r="D210" i="3"/>
  <c r="AH210" i="3"/>
  <c r="C211" i="3"/>
  <c r="D211" i="3"/>
  <c r="AH211" i="3"/>
  <c r="C212" i="3"/>
  <c r="D212" i="3"/>
  <c r="AH212" i="3"/>
  <c r="C213" i="3"/>
  <c r="D213" i="3"/>
  <c r="AH213" i="3"/>
  <c r="C214" i="3"/>
  <c r="D214" i="3"/>
  <c r="AH214" i="3"/>
  <c r="C215" i="3"/>
  <c r="D215" i="3"/>
  <c r="AH215" i="3"/>
  <c r="C216" i="3"/>
  <c r="D216" i="3"/>
  <c r="AH216" i="3"/>
  <c r="C217" i="3"/>
  <c r="D217" i="3"/>
  <c r="AH217" i="3"/>
  <c r="C218" i="3"/>
  <c r="D218" i="3"/>
  <c r="AH218" i="3"/>
  <c r="C219" i="3"/>
  <c r="D219" i="3"/>
  <c r="AH219" i="3"/>
  <c r="C220" i="3"/>
  <c r="D220" i="3"/>
  <c r="AH220" i="3"/>
  <c r="C221" i="3"/>
  <c r="D221" i="3"/>
  <c r="AH221" i="3"/>
  <c r="C222" i="3"/>
  <c r="D222" i="3"/>
  <c r="AH222" i="3"/>
  <c r="C223" i="3"/>
  <c r="D223" i="3"/>
  <c r="AH223" i="3"/>
  <c r="B225" i="3"/>
  <c r="D225" i="3"/>
  <c r="C225" i="3"/>
  <c r="C226" i="3"/>
  <c r="D226" i="3"/>
  <c r="AH226" i="3"/>
  <c r="C227" i="3"/>
  <c r="D227" i="3"/>
  <c r="AH227" i="3"/>
  <c r="C228" i="3"/>
  <c r="D228" i="3"/>
  <c r="AH228" i="3"/>
  <c r="C229" i="3"/>
  <c r="D229" i="3"/>
  <c r="AH229" i="3"/>
  <c r="C230" i="3"/>
  <c r="D230" i="3"/>
  <c r="AH230" i="3"/>
  <c r="C231" i="3"/>
  <c r="D231" i="3"/>
  <c r="AH231" i="3"/>
  <c r="C232" i="3"/>
  <c r="D232" i="3"/>
  <c r="AH232" i="3"/>
  <c r="C233" i="3"/>
  <c r="D233" i="3"/>
  <c r="AH233" i="3"/>
  <c r="C234" i="3"/>
  <c r="D234" i="3"/>
  <c r="AH234" i="3"/>
  <c r="C235" i="3"/>
  <c r="D235" i="3"/>
  <c r="AH235" i="3"/>
  <c r="C236" i="3"/>
  <c r="D236" i="3"/>
  <c r="AH236" i="3"/>
  <c r="C237" i="3"/>
  <c r="D237" i="3"/>
  <c r="AH237" i="3"/>
  <c r="C238" i="3"/>
  <c r="D238" i="3"/>
  <c r="AH238" i="3"/>
  <c r="C239" i="3"/>
  <c r="D239" i="3"/>
  <c r="AH239" i="3"/>
  <c r="C240" i="3"/>
  <c r="D240" i="3"/>
  <c r="AH240" i="3"/>
  <c r="C241" i="3"/>
  <c r="D241" i="3"/>
  <c r="AH241" i="3"/>
  <c r="C242" i="3"/>
  <c r="D242" i="3"/>
  <c r="AH242" i="3"/>
  <c r="C243" i="3"/>
  <c r="D243" i="3"/>
  <c r="AH243" i="3"/>
  <c r="C244" i="3"/>
  <c r="D244" i="3"/>
  <c r="AH244" i="3"/>
  <c r="C245" i="3"/>
  <c r="D245" i="3"/>
  <c r="AH245" i="3"/>
  <c r="C246" i="3"/>
  <c r="D246" i="3"/>
  <c r="AH246" i="3"/>
  <c r="C247" i="3"/>
  <c r="D247" i="3"/>
  <c r="AH247" i="3"/>
  <c r="C248" i="3"/>
  <c r="D248" i="3"/>
  <c r="AH248" i="3"/>
  <c r="C249" i="3"/>
  <c r="D249" i="3"/>
  <c r="C250" i="3"/>
  <c r="D250" i="3"/>
  <c r="C251" i="3"/>
  <c r="D251" i="3"/>
  <c r="B253" i="3"/>
  <c r="D253" i="3"/>
  <c r="C253" i="3"/>
  <c r="C254" i="3"/>
  <c r="D254" i="3"/>
  <c r="AH254" i="3"/>
  <c r="C255" i="3"/>
  <c r="D255" i="3"/>
  <c r="AH255" i="3"/>
  <c r="C256" i="3"/>
  <c r="D256" i="3"/>
  <c r="AH256" i="3"/>
  <c r="C257" i="3"/>
  <c r="D257" i="3"/>
  <c r="AH257" i="3"/>
  <c r="C258" i="3"/>
  <c r="D258" i="3"/>
  <c r="AH258" i="3"/>
  <c r="C259" i="3"/>
  <c r="D259" i="3"/>
  <c r="AH259" i="3"/>
  <c r="C260" i="3"/>
  <c r="D260" i="3"/>
  <c r="AH260" i="3"/>
  <c r="C261" i="3"/>
  <c r="D261" i="3"/>
  <c r="AH261" i="3"/>
  <c r="C262" i="3"/>
  <c r="D262" i="3"/>
  <c r="AH262" i="3"/>
  <c r="C263" i="3"/>
  <c r="D263" i="3"/>
  <c r="AH263" i="3"/>
  <c r="C264" i="3"/>
  <c r="D264" i="3"/>
  <c r="AH264" i="3"/>
  <c r="C265" i="3"/>
  <c r="D265" i="3"/>
  <c r="AH265" i="3"/>
  <c r="C266" i="3"/>
  <c r="D266" i="3"/>
  <c r="AH266" i="3"/>
  <c r="C267" i="3"/>
  <c r="D267" i="3"/>
  <c r="AH267" i="3"/>
  <c r="C268" i="3"/>
  <c r="D268" i="3"/>
  <c r="AH268" i="3"/>
  <c r="C269" i="3"/>
  <c r="D269" i="3"/>
  <c r="AH269" i="3"/>
  <c r="C270" i="3"/>
  <c r="D270" i="3"/>
  <c r="AH270" i="3"/>
  <c r="C271" i="3"/>
  <c r="D271" i="3"/>
  <c r="AH271" i="3"/>
  <c r="C272" i="3"/>
  <c r="D272" i="3"/>
  <c r="AH272" i="3"/>
  <c r="C273" i="3"/>
  <c r="D273" i="3"/>
  <c r="AH273" i="3"/>
  <c r="C274" i="3"/>
  <c r="D274" i="3"/>
  <c r="AH274" i="3"/>
  <c r="C275" i="3"/>
  <c r="D275" i="3"/>
  <c r="AH275" i="3"/>
  <c r="C276" i="3"/>
  <c r="D276" i="3"/>
  <c r="AH276" i="3"/>
  <c r="C277" i="3"/>
  <c r="D277" i="3"/>
  <c r="AH277" i="3"/>
  <c r="C278" i="3"/>
  <c r="D278" i="3"/>
  <c r="AH278" i="3"/>
  <c r="C279" i="3"/>
  <c r="D279" i="3"/>
  <c r="AH279" i="3"/>
  <c r="C281" i="3"/>
  <c r="C282" i="3"/>
  <c r="D282" i="3"/>
  <c r="AH282" i="3"/>
  <c r="C283" i="3"/>
  <c r="L70" i="2"/>
  <c r="L132" i="2"/>
  <c r="O138" i="2"/>
  <c r="N71" i="2"/>
  <c r="N80" i="2"/>
  <c r="O76" i="2"/>
  <c r="O77" i="2"/>
  <c r="O88" i="2"/>
  <c r="O89" i="2"/>
  <c r="O92" i="2"/>
  <c r="O96" i="2"/>
  <c r="O100" i="2"/>
  <c r="AH283" i="3"/>
  <c r="C284" i="3"/>
  <c r="D284" i="3"/>
  <c r="AH284" i="3"/>
  <c r="C285" i="3"/>
  <c r="D285" i="3"/>
  <c r="AH285" i="3"/>
  <c r="C286" i="3"/>
  <c r="D286" i="3"/>
  <c r="AH286" i="3"/>
  <c r="C287" i="3"/>
  <c r="D287" i="3"/>
  <c r="AH287" i="3"/>
  <c r="C288" i="3"/>
  <c r="D288" i="3"/>
  <c r="AH288" i="3"/>
  <c r="C289" i="3"/>
  <c r="D289" i="3"/>
  <c r="E289" i="3"/>
  <c r="AH289" i="3"/>
  <c r="C290" i="3"/>
  <c r="D290" i="3"/>
  <c r="AH290" i="3"/>
  <c r="C291" i="3"/>
  <c r="D291" i="3"/>
  <c r="AH291" i="3"/>
  <c r="C292" i="3"/>
  <c r="D292" i="3"/>
  <c r="AH292" i="3"/>
  <c r="C293" i="3"/>
  <c r="D293" i="3"/>
  <c r="AH293" i="3"/>
  <c r="C294" i="3"/>
  <c r="D294" i="3"/>
  <c r="AH294" i="3"/>
  <c r="C295" i="3"/>
  <c r="D295" i="3"/>
  <c r="AH295" i="3"/>
  <c r="C296" i="3"/>
  <c r="D296" i="3"/>
  <c r="AH296" i="3"/>
  <c r="C297" i="3"/>
  <c r="D297" i="3"/>
  <c r="AH297" i="3"/>
  <c r="C298" i="3"/>
  <c r="D298" i="3"/>
  <c r="AH298" i="3"/>
  <c r="C299" i="3"/>
  <c r="D299" i="3"/>
  <c r="AH299" i="3"/>
  <c r="C300" i="3"/>
  <c r="D300" i="3"/>
  <c r="AH300" i="3"/>
  <c r="C301" i="3"/>
  <c r="D301" i="3"/>
  <c r="E301" i="3"/>
  <c r="AH301" i="3"/>
  <c r="C302" i="3"/>
  <c r="D302" i="3"/>
  <c r="E302" i="3"/>
  <c r="AH302" i="3"/>
  <c r="C303" i="3"/>
  <c r="D303" i="3"/>
  <c r="E303" i="3"/>
  <c r="AH303" i="3"/>
  <c r="C304" i="3"/>
  <c r="D304" i="3"/>
  <c r="E304" i="3"/>
  <c r="AH304" i="3"/>
  <c r="C305" i="3"/>
  <c r="D305" i="3"/>
  <c r="E305" i="3"/>
  <c r="AH305" i="3"/>
  <c r="C306" i="3"/>
  <c r="D306" i="3"/>
  <c r="E306" i="3"/>
  <c r="AH306" i="3"/>
  <c r="C307" i="3"/>
  <c r="D307" i="3"/>
  <c r="E307" i="3"/>
  <c r="AH307" i="3"/>
  <c r="B309" i="3"/>
  <c r="D309" i="3"/>
  <c r="C309" i="3"/>
  <c r="C310" i="3"/>
  <c r="D310" i="3"/>
  <c r="AH310" i="3"/>
  <c r="C311" i="3"/>
  <c r="D311" i="3"/>
  <c r="AH311" i="3"/>
  <c r="C312" i="3"/>
  <c r="D312" i="3"/>
  <c r="AH312" i="3"/>
  <c r="C313" i="3"/>
  <c r="D313" i="3"/>
  <c r="AH313" i="3"/>
  <c r="C314" i="3"/>
  <c r="D314" i="3"/>
  <c r="AH314" i="3"/>
  <c r="C315" i="3"/>
  <c r="D315" i="3"/>
  <c r="AH315" i="3"/>
  <c r="C316" i="3"/>
  <c r="D316" i="3"/>
  <c r="AH316" i="3"/>
  <c r="C317" i="3"/>
  <c r="D317" i="3"/>
  <c r="AH317" i="3"/>
  <c r="C318" i="3"/>
  <c r="D318" i="3"/>
  <c r="AH318" i="3"/>
  <c r="C319" i="3"/>
  <c r="D319" i="3"/>
  <c r="AH319" i="3"/>
  <c r="C320" i="3"/>
  <c r="D320" i="3"/>
  <c r="AH320" i="3"/>
  <c r="C321" i="3"/>
  <c r="D321" i="3"/>
  <c r="AH321" i="3"/>
  <c r="C322" i="3"/>
  <c r="D322" i="3"/>
  <c r="AH322" i="3"/>
  <c r="C323" i="3"/>
  <c r="D323" i="3"/>
  <c r="AH323" i="3"/>
  <c r="C324" i="3"/>
  <c r="D324" i="3"/>
  <c r="AH324" i="3"/>
  <c r="C325" i="3"/>
  <c r="D325" i="3"/>
  <c r="AH325" i="3"/>
  <c r="C326" i="3"/>
  <c r="D326" i="3"/>
  <c r="AH326" i="3"/>
  <c r="C327" i="3"/>
  <c r="D327" i="3"/>
  <c r="AH327" i="3"/>
  <c r="C328" i="3"/>
  <c r="D328" i="3"/>
  <c r="AH328" i="3"/>
  <c r="C329" i="3"/>
  <c r="D329" i="3"/>
  <c r="AH329" i="3"/>
  <c r="C330" i="3"/>
  <c r="D330" i="3"/>
  <c r="AH330" i="3"/>
  <c r="C331" i="3"/>
  <c r="D331" i="3"/>
  <c r="AH331" i="3"/>
  <c r="C332" i="3"/>
  <c r="D332" i="3"/>
  <c r="AH332" i="3"/>
  <c r="C333" i="3"/>
  <c r="D333" i="3"/>
  <c r="AH333" i="3"/>
  <c r="C334" i="3"/>
  <c r="D334" i="3"/>
  <c r="AH334" i="3"/>
  <c r="C335" i="3"/>
  <c r="D335" i="3"/>
  <c r="AH335" i="3"/>
  <c r="B337" i="3"/>
  <c r="C337" i="3"/>
  <c r="D337" i="3"/>
  <c r="C338" i="3"/>
  <c r="D338" i="3"/>
  <c r="AH338" i="3"/>
  <c r="C339" i="3"/>
  <c r="D339" i="3"/>
  <c r="AH339" i="3"/>
  <c r="C340" i="3"/>
  <c r="D340" i="3"/>
  <c r="AH340" i="3"/>
  <c r="C341" i="3"/>
  <c r="D341" i="3"/>
  <c r="AH341" i="3"/>
  <c r="C342" i="3"/>
  <c r="D342" i="3"/>
  <c r="AH342" i="3"/>
  <c r="C343" i="3"/>
  <c r="D343" i="3"/>
  <c r="AH343" i="3"/>
  <c r="C344" i="3"/>
  <c r="D344" i="3"/>
  <c r="AH344" i="3"/>
  <c r="C345" i="3"/>
  <c r="D345" i="3"/>
  <c r="AH345" i="3"/>
  <c r="C346" i="3"/>
  <c r="D346" i="3"/>
  <c r="AH346" i="3"/>
  <c r="C347" i="3"/>
  <c r="D347" i="3"/>
  <c r="AH347" i="3"/>
  <c r="C348" i="3"/>
  <c r="D348" i="3"/>
  <c r="AH348" i="3"/>
  <c r="C349" i="3"/>
  <c r="D349" i="3"/>
  <c r="AH349" i="3"/>
  <c r="C350" i="3"/>
  <c r="D350" i="3"/>
  <c r="AH350" i="3"/>
  <c r="C351" i="3"/>
  <c r="D351" i="3"/>
  <c r="AH351" i="3"/>
  <c r="C352" i="3"/>
  <c r="D352" i="3"/>
  <c r="E352" i="3"/>
  <c r="AH352" i="3"/>
  <c r="C353" i="3"/>
  <c r="D353" i="3"/>
  <c r="AH353" i="3"/>
  <c r="C354" i="3"/>
  <c r="D354" i="3"/>
  <c r="AH354" i="3"/>
  <c r="C355" i="3"/>
  <c r="D355" i="3"/>
  <c r="AH355" i="3"/>
  <c r="C356" i="3"/>
  <c r="D356" i="3"/>
  <c r="AH356" i="3"/>
  <c r="C357" i="3"/>
  <c r="D357" i="3"/>
  <c r="AH357" i="3"/>
  <c r="C358" i="3"/>
  <c r="D358" i="3"/>
  <c r="AH358" i="3"/>
  <c r="C359" i="3"/>
  <c r="D359" i="3"/>
  <c r="AH359" i="3"/>
  <c r="E360" i="3"/>
  <c r="C360" i="3"/>
  <c r="D360" i="3"/>
  <c r="E361" i="3"/>
  <c r="C361" i="3"/>
  <c r="D361" i="3"/>
  <c r="E362" i="3"/>
  <c r="C362" i="3"/>
  <c r="D362" i="3"/>
  <c r="E363" i="3"/>
  <c r="C363" i="3"/>
  <c r="D363" i="3"/>
  <c r="B365" i="3"/>
  <c r="D365" i="3"/>
  <c r="C365" i="3"/>
  <c r="C366" i="3"/>
  <c r="D366" i="3"/>
  <c r="AH366" i="3"/>
  <c r="C367" i="3"/>
  <c r="D367" i="3"/>
  <c r="AH367" i="3"/>
  <c r="C368" i="3"/>
  <c r="D368" i="3"/>
  <c r="AH368" i="3"/>
  <c r="C369" i="3"/>
  <c r="D369" i="3"/>
  <c r="AH369" i="3"/>
  <c r="C370" i="3"/>
  <c r="D370" i="3"/>
  <c r="AH370" i="3"/>
  <c r="C371" i="3"/>
  <c r="D371" i="3"/>
  <c r="AH371" i="3"/>
  <c r="C372" i="3"/>
  <c r="D372" i="3"/>
  <c r="AH372" i="3"/>
  <c r="C373" i="3"/>
  <c r="D373" i="3"/>
  <c r="AH373" i="3"/>
  <c r="C374" i="3"/>
  <c r="D374" i="3"/>
  <c r="AH374" i="3"/>
  <c r="C375" i="3"/>
  <c r="D375" i="3"/>
  <c r="AH375" i="3"/>
  <c r="C376" i="3"/>
  <c r="D376" i="3"/>
  <c r="AH376" i="3"/>
  <c r="C377" i="3"/>
  <c r="D377" i="3"/>
  <c r="AH377" i="3"/>
  <c r="C378" i="3"/>
  <c r="D378" i="3"/>
  <c r="AH378" i="3"/>
  <c r="C379" i="3"/>
  <c r="D379" i="3"/>
  <c r="AH379" i="3"/>
  <c r="C380" i="3"/>
  <c r="D380" i="3"/>
  <c r="AH380" i="3"/>
  <c r="C381" i="3"/>
  <c r="D381" i="3"/>
  <c r="AH381" i="3"/>
  <c r="C382" i="3"/>
  <c r="D382" i="3"/>
  <c r="AH382" i="3"/>
  <c r="C383" i="3"/>
  <c r="D383" i="3"/>
  <c r="AH383" i="3"/>
  <c r="C384" i="3"/>
  <c r="AH384" i="3"/>
  <c r="C385" i="3"/>
  <c r="D385" i="3"/>
  <c r="AH385" i="3"/>
  <c r="C386" i="3"/>
  <c r="D386" i="3"/>
  <c r="AH386" i="3"/>
  <c r="C387" i="3"/>
  <c r="D387" i="3"/>
  <c r="AH387" i="3"/>
  <c r="C388" i="3"/>
  <c r="D388" i="3"/>
  <c r="AH388" i="3"/>
  <c r="C389" i="3"/>
  <c r="D389" i="3"/>
  <c r="AH389" i="3"/>
  <c r="C390" i="3"/>
  <c r="D390" i="3"/>
  <c r="AH390" i="3"/>
  <c r="C391" i="3"/>
  <c r="D391" i="3"/>
  <c r="AH391" i="3"/>
  <c r="C393" i="3"/>
  <c r="C394" i="3"/>
  <c r="D394" i="3"/>
  <c r="AH394" i="3"/>
  <c r="C395" i="3"/>
  <c r="D395" i="3"/>
  <c r="AH395" i="3"/>
  <c r="C396" i="3"/>
  <c r="D396" i="3"/>
  <c r="AH396" i="3"/>
  <c r="C397" i="3"/>
  <c r="D397" i="3"/>
  <c r="AH397" i="3"/>
  <c r="C398" i="3"/>
  <c r="D398" i="3"/>
  <c r="AH398" i="3"/>
  <c r="C399" i="3"/>
  <c r="D399" i="3"/>
  <c r="AH399" i="3"/>
  <c r="C400" i="3"/>
  <c r="D400" i="3"/>
  <c r="AH400" i="3"/>
  <c r="C401" i="3"/>
  <c r="D401" i="3"/>
  <c r="AH401" i="3"/>
  <c r="C402" i="3"/>
  <c r="D402" i="3"/>
  <c r="AH402" i="3"/>
  <c r="C403" i="3"/>
  <c r="D403" i="3"/>
  <c r="AH403" i="3"/>
  <c r="C404" i="3"/>
  <c r="D404" i="3"/>
  <c r="AH404" i="3"/>
  <c r="C405" i="3"/>
  <c r="D405" i="3"/>
  <c r="AH405" i="3"/>
  <c r="C406" i="3"/>
  <c r="D406" i="3"/>
  <c r="AH406" i="3"/>
  <c r="C407" i="3"/>
  <c r="D407" i="3"/>
  <c r="AH407" i="3"/>
  <c r="C408" i="3"/>
  <c r="D408" i="3"/>
  <c r="AH408" i="3"/>
  <c r="C409" i="3"/>
  <c r="D409" i="3"/>
  <c r="AH409" i="3"/>
  <c r="C410" i="3"/>
  <c r="D410" i="3"/>
  <c r="AH410" i="3"/>
  <c r="C411" i="3"/>
  <c r="D411" i="3"/>
  <c r="AH411" i="3"/>
  <c r="C412" i="3"/>
  <c r="D412" i="3"/>
  <c r="AH412" i="3"/>
  <c r="C413" i="3"/>
  <c r="D413" i="3"/>
  <c r="AH413" i="3"/>
  <c r="C414" i="3"/>
  <c r="D414" i="3"/>
  <c r="AH414" i="3"/>
  <c r="C415" i="3"/>
  <c r="D415" i="3"/>
  <c r="AH415" i="3"/>
  <c r="C416" i="3"/>
  <c r="D416" i="3"/>
  <c r="AH416" i="3"/>
  <c r="C417" i="3"/>
  <c r="D417" i="3"/>
  <c r="AH417" i="3"/>
  <c r="C418" i="3"/>
  <c r="D418" i="3"/>
  <c r="AH418" i="3"/>
  <c r="C419" i="3"/>
  <c r="D419" i="3"/>
  <c r="AH419" i="3"/>
  <c r="B421" i="3"/>
  <c r="D421" i="3"/>
  <c r="C421" i="3"/>
  <c r="C422" i="3"/>
  <c r="D422" i="3"/>
  <c r="AH422" i="3"/>
  <c r="C423" i="3"/>
  <c r="D423" i="3"/>
  <c r="AH423" i="3"/>
  <c r="C424" i="3"/>
  <c r="D424" i="3"/>
  <c r="AH424" i="3"/>
  <c r="C425" i="3"/>
  <c r="D425" i="3"/>
  <c r="AH425" i="3"/>
  <c r="C426" i="3"/>
  <c r="D426" i="3"/>
  <c r="AH426" i="3"/>
  <c r="C427" i="3"/>
  <c r="D427" i="3"/>
  <c r="AH427" i="3"/>
  <c r="C428" i="3"/>
  <c r="D428" i="3"/>
  <c r="AH428" i="3"/>
  <c r="C429" i="3"/>
  <c r="D429" i="3"/>
  <c r="AH429" i="3"/>
  <c r="C430" i="3"/>
  <c r="D430" i="3"/>
  <c r="AH430" i="3"/>
  <c r="C431" i="3"/>
  <c r="D431" i="3"/>
  <c r="AH431" i="3"/>
  <c r="C432" i="3"/>
  <c r="D432" i="3"/>
  <c r="AH432" i="3"/>
  <c r="C433" i="3"/>
  <c r="D433" i="3"/>
  <c r="AH433" i="3"/>
  <c r="C434" i="3"/>
  <c r="D434" i="3"/>
  <c r="AH434" i="3"/>
  <c r="C435" i="3"/>
  <c r="D435" i="3"/>
  <c r="AH435" i="3"/>
  <c r="C436" i="3"/>
  <c r="D436" i="3"/>
  <c r="AH436" i="3"/>
  <c r="C437" i="3"/>
  <c r="D437" i="3"/>
  <c r="AH437" i="3"/>
  <c r="C438" i="3"/>
  <c r="D438" i="3"/>
  <c r="AH438" i="3"/>
  <c r="C439" i="3"/>
  <c r="D439" i="3"/>
  <c r="AH439" i="3"/>
  <c r="C440" i="3"/>
  <c r="D440" i="3"/>
  <c r="AH440" i="3"/>
  <c r="C441" i="3"/>
  <c r="D441" i="3"/>
  <c r="AH441" i="3"/>
  <c r="C442" i="3"/>
  <c r="D442" i="3"/>
  <c r="AH442" i="3"/>
  <c r="C443" i="3"/>
  <c r="D443" i="3"/>
  <c r="AH443" i="3"/>
  <c r="E444" i="3"/>
  <c r="C444" i="3"/>
  <c r="D444" i="3"/>
  <c r="AH444" i="3"/>
  <c r="C445" i="3"/>
  <c r="D445" i="3"/>
  <c r="E445" i="3"/>
  <c r="AH445" i="3"/>
  <c r="E446" i="3"/>
  <c r="C446" i="3"/>
  <c r="D446" i="3"/>
  <c r="AH446" i="3"/>
  <c r="C447" i="3"/>
  <c r="D447" i="3"/>
  <c r="E447" i="3"/>
  <c r="AH447" i="3"/>
  <c r="B449" i="3"/>
  <c r="D449" i="3"/>
  <c r="C449" i="3"/>
  <c r="C450" i="3"/>
  <c r="D450" i="3"/>
  <c r="AH450" i="3"/>
  <c r="C451" i="3"/>
  <c r="D451" i="3"/>
  <c r="AH451" i="3"/>
  <c r="C452" i="3"/>
  <c r="D452" i="3"/>
  <c r="AH452" i="3"/>
  <c r="C453" i="3"/>
  <c r="D453" i="3"/>
  <c r="AH453" i="3"/>
  <c r="C454" i="3"/>
  <c r="D454" i="3"/>
  <c r="AH454" i="3"/>
  <c r="C455" i="3"/>
  <c r="D455" i="3"/>
  <c r="AH455" i="3"/>
  <c r="C456" i="3"/>
  <c r="D456" i="3"/>
  <c r="AH456" i="3"/>
  <c r="C457" i="3"/>
  <c r="D457" i="3"/>
  <c r="AH457" i="3"/>
  <c r="C458" i="3"/>
  <c r="D458" i="3"/>
  <c r="AH458" i="3"/>
  <c r="C459" i="3"/>
  <c r="D459" i="3"/>
  <c r="AH459" i="3"/>
  <c r="C460" i="3"/>
  <c r="D460" i="3"/>
  <c r="AH460" i="3"/>
  <c r="C461" i="3"/>
  <c r="D461" i="3"/>
  <c r="AH461" i="3"/>
  <c r="C462" i="3"/>
  <c r="D462" i="3"/>
  <c r="AH462" i="3"/>
  <c r="C463" i="3"/>
  <c r="D463" i="3"/>
  <c r="AH463" i="3"/>
  <c r="C464" i="3"/>
  <c r="D464" i="3"/>
  <c r="AH464" i="3"/>
  <c r="C465" i="3"/>
  <c r="D465" i="3"/>
  <c r="AH465" i="3"/>
  <c r="C466" i="3"/>
  <c r="D466" i="3"/>
  <c r="AH466" i="3"/>
  <c r="C467" i="3"/>
  <c r="D467" i="3"/>
  <c r="AH467" i="3"/>
  <c r="C468" i="3"/>
  <c r="D468" i="3"/>
  <c r="AH468" i="3"/>
  <c r="C469" i="3"/>
  <c r="D469" i="3"/>
  <c r="AH469" i="3"/>
  <c r="C470" i="3"/>
  <c r="D470" i="3"/>
  <c r="AH470" i="3"/>
  <c r="C471" i="3"/>
  <c r="D471" i="3"/>
  <c r="AH471" i="3"/>
  <c r="E472" i="3"/>
  <c r="C472" i="3"/>
  <c r="D472" i="3"/>
  <c r="AH472" i="3"/>
  <c r="C473" i="3"/>
  <c r="D473" i="3"/>
  <c r="E473" i="3"/>
  <c r="AH473" i="3"/>
  <c r="E474" i="3"/>
  <c r="C474" i="3"/>
  <c r="D474" i="3"/>
  <c r="AH474" i="3"/>
  <c r="C475" i="3"/>
  <c r="D475" i="3"/>
  <c r="E475" i="3"/>
  <c r="AH475" i="3"/>
  <c r="B477" i="3"/>
  <c r="D477" i="3"/>
  <c r="C477" i="3"/>
  <c r="C478" i="3"/>
  <c r="D478" i="3"/>
  <c r="AH478" i="3"/>
  <c r="C479" i="3"/>
  <c r="D479" i="3"/>
  <c r="AH479" i="3"/>
  <c r="C480" i="3"/>
  <c r="D480" i="3"/>
  <c r="AH480" i="3"/>
  <c r="C481" i="3"/>
  <c r="D481" i="3"/>
  <c r="AH481" i="3"/>
  <c r="C482" i="3"/>
  <c r="D482" i="3"/>
  <c r="AH482" i="3"/>
  <c r="C483" i="3"/>
  <c r="D483" i="3"/>
  <c r="AH483" i="3"/>
  <c r="C484" i="3"/>
  <c r="D484" i="3"/>
  <c r="AH484" i="3"/>
  <c r="C485" i="3"/>
  <c r="D485" i="3"/>
  <c r="AH485" i="3"/>
  <c r="C486" i="3"/>
  <c r="D486" i="3"/>
  <c r="AH486" i="3"/>
  <c r="C487" i="3"/>
  <c r="D487" i="3"/>
  <c r="AH487" i="3"/>
  <c r="C488" i="3"/>
  <c r="D488" i="3"/>
  <c r="AH488" i="3"/>
  <c r="C489" i="3"/>
  <c r="D489" i="3"/>
  <c r="AH489" i="3"/>
  <c r="C490" i="3"/>
  <c r="D490" i="3"/>
  <c r="AH490" i="3"/>
  <c r="C491" i="3"/>
  <c r="D491" i="3"/>
  <c r="AH491" i="3"/>
  <c r="C492" i="3"/>
  <c r="D492" i="3"/>
  <c r="AH492" i="3"/>
  <c r="C493" i="3"/>
  <c r="D493" i="3"/>
  <c r="AH493" i="3"/>
  <c r="C494" i="3"/>
  <c r="D494" i="3"/>
  <c r="AH494" i="3"/>
  <c r="C495" i="3"/>
  <c r="D495" i="3"/>
  <c r="AH495" i="3"/>
  <c r="C496" i="3"/>
  <c r="D496" i="3"/>
  <c r="AH496" i="3"/>
  <c r="C497" i="3"/>
  <c r="D497" i="3"/>
  <c r="AH497" i="3"/>
  <c r="C498" i="3"/>
  <c r="D498" i="3"/>
  <c r="AH498" i="3"/>
  <c r="C499" i="3"/>
  <c r="D499" i="3"/>
  <c r="AH499" i="3"/>
  <c r="C500" i="3"/>
  <c r="D500" i="3"/>
  <c r="AH500" i="3"/>
  <c r="C501" i="3"/>
  <c r="D501" i="3"/>
  <c r="AH501" i="3"/>
  <c r="C502" i="3"/>
  <c r="D502" i="3"/>
  <c r="AH502" i="3"/>
  <c r="C503" i="3"/>
  <c r="D503" i="3"/>
  <c r="AH503" i="3"/>
  <c r="C505" i="3"/>
  <c r="C506" i="3"/>
  <c r="D506" i="3"/>
  <c r="AH506" i="3"/>
  <c r="C507" i="3"/>
  <c r="D507" i="3"/>
  <c r="AH507" i="3"/>
  <c r="C508" i="3"/>
  <c r="D508" i="3"/>
  <c r="AH508" i="3"/>
  <c r="C509" i="3"/>
  <c r="D509" i="3"/>
  <c r="AH509" i="3"/>
  <c r="C510" i="3"/>
  <c r="D510" i="3"/>
  <c r="AH510" i="3"/>
  <c r="C511" i="3"/>
  <c r="D511" i="3"/>
  <c r="AH511" i="3"/>
  <c r="C512" i="3"/>
  <c r="D512" i="3"/>
  <c r="AH512" i="3"/>
  <c r="C513" i="3"/>
  <c r="D513" i="3"/>
  <c r="AH513" i="3"/>
  <c r="C514" i="3"/>
  <c r="D514" i="3"/>
  <c r="AH514" i="3"/>
  <c r="C515" i="3"/>
  <c r="D515" i="3"/>
  <c r="AH515" i="3"/>
  <c r="E516" i="3"/>
  <c r="C516" i="3"/>
  <c r="D516" i="3"/>
  <c r="AH516" i="3"/>
  <c r="C517" i="3"/>
  <c r="D517" i="3"/>
  <c r="E517" i="3"/>
  <c r="AH517" i="3"/>
  <c r="E518" i="3"/>
  <c r="C518" i="3"/>
  <c r="D518" i="3"/>
  <c r="AH518" i="3"/>
  <c r="C519" i="3"/>
  <c r="D519" i="3"/>
  <c r="E519" i="3"/>
  <c r="AH519" i="3"/>
  <c r="E520" i="3"/>
  <c r="C520" i="3"/>
  <c r="D520" i="3"/>
  <c r="AH520" i="3"/>
  <c r="C521" i="3"/>
  <c r="D521" i="3"/>
  <c r="E521" i="3"/>
  <c r="AH521" i="3"/>
  <c r="E522" i="3"/>
  <c r="C522" i="3"/>
  <c r="D522" i="3"/>
  <c r="AH522" i="3"/>
  <c r="C523" i="3"/>
  <c r="D523" i="3"/>
  <c r="E523" i="3"/>
  <c r="AH523" i="3"/>
  <c r="E524" i="3"/>
  <c r="C524" i="3"/>
  <c r="D524" i="3"/>
  <c r="AH524" i="3"/>
  <c r="C525" i="3"/>
  <c r="D525" i="3"/>
  <c r="E525" i="3"/>
  <c r="AH525" i="3"/>
  <c r="E526" i="3"/>
  <c r="C526" i="3"/>
  <c r="D526" i="3"/>
  <c r="AH526" i="3"/>
  <c r="C527" i="3"/>
  <c r="D527" i="3"/>
  <c r="E527" i="3"/>
  <c r="AH527" i="3"/>
  <c r="E528" i="3"/>
  <c r="C528" i="3"/>
  <c r="D528" i="3"/>
  <c r="AH528" i="3"/>
  <c r="C529" i="3"/>
  <c r="D529" i="3"/>
  <c r="E529" i="3"/>
  <c r="AH529" i="3"/>
  <c r="E530" i="3"/>
  <c r="C530" i="3"/>
  <c r="D530" i="3"/>
  <c r="AH530" i="3"/>
  <c r="C531" i="3"/>
  <c r="D531" i="3"/>
  <c r="E531" i="3"/>
  <c r="AH531" i="3"/>
  <c r="B533" i="3"/>
  <c r="D533" i="3"/>
  <c r="C533" i="3"/>
  <c r="C534" i="3"/>
  <c r="D534" i="3"/>
  <c r="AH534" i="3"/>
  <c r="C535" i="3"/>
  <c r="D535" i="3"/>
  <c r="AH535" i="3"/>
  <c r="C536" i="3"/>
  <c r="D536" i="3"/>
  <c r="AH536" i="3"/>
  <c r="C537" i="3"/>
  <c r="D537" i="3"/>
  <c r="AH537" i="3"/>
  <c r="C538" i="3"/>
  <c r="D538" i="3"/>
  <c r="AH538" i="3"/>
  <c r="C539" i="3"/>
  <c r="D539" i="3"/>
  <c r="AH539" i="3"/>
  <c r="C540" i="3"/>
  <c r="D540" i="3"/>
  <c r="AH540" i="3"/>
  <c r="C541" i="3"/>
  <c r="D541" i="3"/>
  <c r="AH541" i="3"/>
  <c r="C542" i="3"/>
  <c r="D542" i="3"/>
  <c r="AH542" i="3"/>
  <c r="C543" i="3"/>
  <c r="D543" i="3"/>
  <c r="AH543" i="3"/>
  <c r="C544" i="3"/>
  <c r="D544" i="3"/>
  <c r="AH544" i="3"/>
  <c r="C545" i="3"/>
  <c r="D545" i="3"/>
  <c r="AH545" i="3"/>
  <c r="C546" i="3"/>
  <c r="D546" i="3"/>
  <c r="AH546" i="3"/>
  <c r="C547" i="3"/>
  <c r="D547" i="3"/>
  <c r="AH547" i="3"/>
  <c r="C548" i="3"/>
  <c r="D548" i="3"/>
  <c r="AH548" i="3"/>
  <c r="C549" i="3"/>
  <c r="D549" i="3"/>
  <c r="AH549" i="3"/>
  <c r="C550" i="3"/>
  <c r="D550" i="3"/>
  <c r="AH550" i="3"/>
  <c r="C551" i="3"/>
  <c r="D551" i="3"/>
  <c r="AH551" i="3"/>
  <c r="C552" i="3"/>
  <c r="D552" i="3"/>
  <c r="AH552" i="3"/>
  <c r="C553" i="3"/>
  <c r="D553" i="3"/>
  <c r="AH553" i="3"/>
  <c r="C554" i="3"/>
  <c r="D554" i="3"/>
  <c r="AH554" i="3"/>
  <c r="C555" i="3"/>
  <c r="D555" i="3"/>
  <c r="AH555" i="3"/>
  <c r="C556" i="3"/>
  <c r="D556" i="3"/>
  <c r="AH556" i="3"/>
  <c r="C557" i="3"/>
  <c r="D557" i="3"/>
  <c r="AH557" i="3"/>
  <c r="C558" i="3"/>
  <c r="D558" i="3"/>
  <c r="AH558" i="3"/>
  <c r="C559" i="3"/>
  <c r="D559" i="3"/>
  <c r="AH559" i="3"/>
  <c r="B561" i="3"/>
  <c r="D561" i="3"/>
  <c r="C561" i="3"/>
  <c r="C562" i="3"/>
  <c r="D562" i="3"/>
  <c r="AH562" i="3"/>
  <c r="C563" i="3"/>
  <c r="D563" i="3"/>
  <c r="AH563" i="3"/>
  <c r="C564" i="3"/>
  <c r="D564" i="3"/>
  <c r="AH564" i="3"/>
  <c r="C565" i="3"/>
  <c r="D565" i="3"/>
  <c r="AH565" i="3"/>
  <c r="C566" i="3"/>
  <c r="D566" i="3"/>
  <c r="AH566" i="3"/>
  <c r="C567" i="3"/>
  <c r="D567" i="3"/>
  <c r="AH567" i="3"/>
  <c r="C568" i="3"/>
  <c r="D568" i="3"/>
  <c r="AH568" i="3"/>
  <c r="C569" i="3"/>
  <c r="D569" i="3"/>
  <c r="AH569" i="3"/>
  <c r="C570" i="3"/>
  <c r="D570" i="3"/>
  <c r="AH570" i="3"/>
  <c r="C571" i="3"/>
  <c r="D571" i="3"/>
  <c r="AH571" i="3"/>
  <c r="C572" i="3"/>
  <c r="D572" i="3"/>
  <c r="AH572" i="3"/>
  <c r="C573" i="3"/>
  <c r="D573" i="3"/>
  <c r="AH573" i="3"/>
  <c r="C574" i="3"/>
  <c r="D574" i="3"/>
  <c r="AH574" i="3"/>
  <c r="C575" i="3"/>
  <c r="D575" i="3"/>
  <c r="AH575" i="3"/>
  <c r="C576" i="3"/>
  <c r="D576" i="3"/>
  <c r="AH576" i="3"/>
  <c r="C577" i="3"/>
  <c r="D577" i="3"/>
  <c r="AH577" i="3"/>
  <c r="C578" i="3"/>
  <c r="D578" i="3"/>
  <c r="AH578" i="3"/>
  <c r="C579" i="3"/>
  <c r="D579" i="3"/>
  <c r="AH579" i="3"/>
  <c r="C580" i="3"/>
  <c r="D580" i="3"/>
  <c r="AH580" i="3"/>
  <c r="C581" i="3"/>
  <c r="D581" i="3"/>
  <c r="AH581" i="3"/>
  <c r="C582" i="3"/>
  <c r="D582" i="3"/>
  <c r="AH582" i="3"/>
  <c r="C583" i="3"/>
  <c r="D583" i="3"/>
  <c r="AH583" i="3"/>
  <c r="C584" i="3"/>
  <c r="D584" i="3"/>
  <c r="AH584" i="3"/>
  <c r="C585" i="3"/>
  <c r="D585" i="3"/>
  <c r="AH585" i="3"/>
  <c r="C586" i="3"/>
  <c r="D586" i="3"/>
  <c r="AH586" i="3"/>
  <c r="C587" i="3"/>
  <c r="D587" i="3"/>
  <c r="AH587" i="3"/>
  <c r="B589" i="3"/>
  <c r="D589" i="3"/>
  <c r="C589" i="3"/>
  <c r="C590" i="3"/>
  <c r="D590" i="3"/>
  <c r="AH590" i="3"/>
  <c r="C591" i="3"/>
  <c r="D591" i="3"/>
  <c r="AH591" i="3"/>
  <c r="C592" i="3"/>
  <c r="D592" i="3"/>
  <c r="AH592" i="3"/>
  <c r="C593" i="3"/>
  <c r="D593" i="3"/>
  <c r="AH593" i="3"/>
  <c r="C594" i="3"/>
  <c r="D594" i="3"/>
  <c r="AH594" i="3"/>
  <c r="C595" i="3"/>
  <c r="D595" i="3"/>
  <c r="AH595" i="3"/>
  <c r="C596" i="3"/>
  <c r="D596" i="3"/>
  <c r="AH596" i="3"/>
  <c r="C597" i="3"/>
  <c r="D597" i="3"/>
  <c r="AH597" i="3"/>
  <c r="C598" i="3"/>
  <c r="D598" i="3"/>
  <c r="AH598" i="3"/>
  <c r="C599" i="3"/>
  <c r="D599" i="3"/>
  <c r="AH599" i="3"/>
  <c r="C600" i="3"/>
  <c r="D600" i="3"/>
  <c r="AH600" i="3"/>
  <c r="C601" i="3"/>
  <c r="D601" i="3"/>
  <c r="AH601" i="3"/>
  <c r="C602" i="3"/>
  <c r="D602" i="3"/>
  <c r="AH602" i="3"/>
  <c r="C603" i="3"/>
  <c r="D603" i="3"/>
  <c r="AH603" i="3"/>
  <c r="C604" i="3"/>
  <c r="D604" i="3"/>
  <c r="AH604" i="3"/>
  <c r="C605" i="3"/>
  <c r="D605" i="3"/>
  <c r="AH605" i="3"/>
  <c r="C606" i="3"/>
  <c r="D606" i="3"/>
  <c r="AH606" i="3"/>
  <c r="C607" i="3"/>
  <c r="D607" i="3"/>
  <c r="AH607" i="3"/>
  <c r="C608" i="3"/>
  <c r="D608" i="3"/>
  <c r="AH608" i="3"/>
  <c r="C609" i="3"/>
  <c r="D609" i="3"/>
  <c r="AH609" i="3"/>
  <c r="C610" i="3"/>
  <c r="D610" i="3"/>
  <c r="AH610" i="3"/>
  <c r="C611" i="3"/>
  <c r="D611" i="3"/>
  <c r="AH611" i="3"/>
  <c r="C612" i="3"/>
  <c r="D612" i="3"/>
  <c r="AH612" i="3"/>
  <c r="C613" i="3"/>
  <c r="D613" i="3"/>
  <c r="AH613" i="3"/>
  <c r="C614" i="3"/>
  <c r="D614" i="3"/>
  <c r="AH614" i="3"/>
  <c r="E615" i="3"/>
  <c r="C615" i="3"/>
  <c r="D615" i="3"/>
  <c r="AH615" i="3"/>
  <c r="C617" i="3"/>
  <c r="C618" i="3"/>
  <c r="D618" i="3"/>
  <c r="AH618" i="3"/>
  <c r="C619" i="3"/>
  <c r="D619" i="3"/>
  <c r="AH619" i="3"/>
  <c r="C620" i="3"/>
  <c r="D620" i="3"/>
  <c r="AH620" i="3"/>
  <c r="C621" i="3"/>
  <c r="D621" i="3"/>
  <c r="AH621" i="3"/>
  <c r="C622" i="3"/>
  <c r="D622" i="3"/>
  <c r="AH622" i="3"/>
  <c r="C623" i="3"/>
  <c r="D623" i="3"/>
  <c r="AH623" i="3"/>
  <c r="C624" i="3"/>
  <c r="D624" i="3"/>
  <c r="AH624" i="3"/>
  <c r="C625" i="3"/>
  <c r="D625" i="3"/>
  <c r="AH625" i="3"/>
  <c r="C626" i="3"/>
  <c r="D626" i="3"/>
  <c r="AH626" i="3"/>
  <c r="C627" i="3"/>
  <c r="D627" i="3"/>
  <c r="AH627" i="3"/>
  <c r="C628" i="3"/>
  <c r="D628" i="3"/>
  <c r="AH628" i="3"/>
  <c r="C629" i="3"/>
  <c r="D629" i="3"/>
  <c r="AH629" i="3"/>
  <c r="C630" i="3"/>
  <c r="D630" i="3"/>
  <c r="AH630" i="3"/>
  <c r="C631" i="3"/>
  <c r="D631" i="3"/>
  <c r="AH631" i="3"/>
  <c r="C632" i="3"/>
  <c r="D632" i="3"/>
  <c r="AH632" i="3"/>
  <c r="C633" i="3"/>
  <c r="D633" i="3"/>
  <c r="AH633" i="3"/>
  <c r="C634" i="3"/>
  <c r="D634" i="3"/>
  <c r="AH634" i="3"/>
  <c r="C635" i="3"/>
  <c r="D635" i="3"/>
  <c r="AH635" i="3"/>
  <c r="C636" i="3"/>
  <c r="D636" i="3"/>
  <c r="AH636" i="3"/>
  <c r="C637" i="3"/>
  <c r="D637" i="3"/>
  <c r="AH637" i="3"/>
  <c r="C638" i="3"/>
  <c r="D638" i="3"/>
  <c r="AH638" i="3"/>
  <c r="C639" i="3"/>
  <c r="D639" i="3"/>
  <c r="AH639" i="3"/>
  <c r="C640" i="3"/>
  <c r="D640" i="3"/>
  <c r="AH640" i="3"/>
  <c r="C641" i="3"/>
  <c r="D641" i="3"/>
  <c r="AH641" i="3"/>
  <c r="C642" i="3"/>
  <c r="D642" i="3"/>
  <c r="AH642" i="3"/>
  <c r="C643" i="3"/>
  <c r="D643" i="3"/>
  <c r="AH643" i="3"/>
  <c r="B645" i="3"/>
  <c r="D645" i="3"/>
  <c r="C645" i="3"/>
  <c r="C646" i="3"/>
  <c r="D646" i="3"/>
  <c r="AH646" i="3"/>
  <c r="C647" i="3"/>
  <c r="D647" i="3"/>
  <c r="AH647" i="3"/>
  <c r="C648" i="3"/>
  <c r="D648" i="3"/>
  <c r="AH648" i="3"/>
  <c r="C649" i="3"/>
  <c r="D649" i="3"/>
  <c r="AH649" i="3"/>
  <c r="C650" i="3"/>
  <c r="D650" i="3"/>
  <c r="AH650" i="3"/>
  <c r="C651" i="3"/>
  <c r="D651" i="3"/>
  <c r="AH651" i="3"/>
  <c r="C652" i="3"/>
  <c r="D652" i="3"/>
  <c r="AH652" i="3"/>
  <c r="C653" i="3"/>
  <c r="D653" i="3"/>
  <c r="AH653" i="3"/>
  <c r="C654" i="3"/>
  <c r="D654" i="3"/>
  <c r="AH654" i="3"/>
  <c r="C655" i="3"/>
  <c r="D655" i="3"/>
  <c r="AH655" i="3"/>
  <c r="C656" i="3"/>
  <c r="D656" i="3"/>
  <c r="AH656" i="3"/>
  <c r="C657" i="3"/>
  <c r="D657" i="3"/>
  <c r="AH657" i="3"/>
  <c r="C658" i="3"/>
  <c r="D658" i="3"/>
  <c r="AH658" i="3"/>
  <c r="C659" i="3"/>
  <c r="D659" i="3"/>
  <c r="AH659" i="3"/>
  <c r="C660" i="3"/>
  <c r="D660" i="3"/>
  <c r="AH660" i="3"/>
  <c r="C661" i="3"/>
  <c r="D661" i="3"/>
  <c r="AH661" i="3"/>
  <c r="C662" i="3"/>
  <c r="D662" i="3"/>
  <c r="AH662" i="3"/>
  <c r="C663" i="3"/>
  <c r="D663" i="3"/>
  <c r="AH663" i="3"/>
  <c r="C664" i="3"/>
  <c r="D664" i="3"/>
  <c r="AH664" i="3"/>
  <c r="C665" i="3"/>
  <c r="D665" i="3"/>
  <c r="AH665" i="3"/>
  <c r="C666" i="3"/>
  <c r="D666" i="3"/>
  <c r="AH666" i="3"/>
  <c r="C667" i="3"/>
  <c r="D667" i="3"/>
  <c r="AH667" i="3"/>
  <c r="C668" i="3"/>
  <c r="D668" i="3"/>
  <c r="AH668" i="3"/>
  <c r="C669" i="3"/>
  <c r="D669" i="3"/>
  <c r="AH669" i="3"/>
  <c r="C670" i="3"/>
  <c r="D670" i="3"/>
  <c r="AH670" i="3"/>
  <c r="C671" i="3"/>
  <c r="D671" i="3"/>
  <c r="AH671" i="3"/>
  <c r="B673" i="3"/>
  <c r="C673" i="3"/>
  <c r="D673" i="3"/>
  <c r="C674" i="3"/>
  <c r="D674" i="3"/>
  <c r="AH674" i="3"/>
  <c r="C675" i="3"/>
  <c r="D675" i="3"/>
  <c r="AH675" i="3"/>
  <c r="C676" i="3"/>
  <c r="D676" i="3"/>
  <c r="AH676" i="3"/>
  <c r="C677" i="3"/>
  <c r="D677" i="3"/>
  <c r="AH677" i="3"/>
  <c r="C678" i="3"/>
  <c r="D678" i="3"/>
  <c r="AH678" i="3"/>
  <c r="C679" i="3"/>
  <c r="D679" i="3"/>
  <c r="AH679" i="3"/>
  <c r="C680" i="3"/>
  <c r="D680" i="3"/>
  <c r="AH680" i="3"/>
  <c r="C681" i="3"/>
  <c r="D681" i="3"/>
  <c r="AH681" i="3"/>
  <c r="C682" i="3"/>
  <c r="D682" i="3"/>
  <c r="AH682" i="3"/>
  <c r="C683" i="3"/>
  <c r="D683" i="3"/>
  <c r="AH683" i="3"/>
  <c r="C684" i="3"/>
  <c r="D684" i="3"/>
  <c r="AH684" i="3"/>
  <c r="C685" i="3"/>
  <c r="D685" i="3"/>
  <c r="AH685" i="3"/>
  <c r="C686" i="3"/>
  <c r="D686" i="3"/>
  <c r="AH686" i="3"/>
  <c r="C687" i="3"/>
  <c r="D687" i="3"/>
  <c r="AH687" i="3"/>
  <c r="C688" i="3"/>
  <c r="D688" i="3"/>
  <c r="AH688" i="3"/>
  <c r="C689" i="3"/>
  <c r="D689" i="3"/>
  <c r="AH689" i="3"/>
  <c r="C690" i="3"/>
  <c r="D690" i="3"/>
  <c r="AH690" i="3"/>
  <c r="C691" i="3"/>
  <c r="D691" i="3"/>
  <c r="AH691" i="3"/>
  <c r="C692" i="3"/>
  <c r="D692" i="3"/>
  <c r="AH692" i="3"/>
  <c r="C693" i="3"/>
  <c r="D693" i="3"/>
  <c r="AH693" i="3"/>
  <c r="C694" i="3"/>
  <c r="D694" i="3"/>
  <c r="AH694" i="3"/>
  <c r="C695" i="3"/>
  <c r="D695" i="3"/>
  <c r="AH695" i="3"/>
  <c r="C696" i="3"/>
  <c r="D696" i="3"/>
  <c r="AH696" i="3"/>
  <c r="C697" i="3"/>
  <c r="D697" i="3"/>
  <c r="AH697" i="3"/>
  <c r="C698" i="3"/>
  <c r="D698" i="3"/>
  <c r="AH698" i="3"/>
  <c r="C699" i="3"/>
  <c r="D699" i="3"/>
  <c r="AH699" i="3"/>
  <c r="B701" i="3"/>
  <c r="D701" i="3"/>
  <c r="C701" i="3"/>
  <c r="C702" i="3"/>
  <c r="D702" i="3"/>
  <c r="AH702" i="3"/>
  <c r="C703" i="3"/>
  <c r="D703" i="3"/>
  <c r="AH703" i="3"/>
  <c r="C704" i="3"/>
  <c r="D704" i="3"/>
  <c r="AH704" i="3"/>
  <c r="C705" i="3"/>
  <c r="D705" i="3"/>
  <c r="AH705" i="3"/>
  <c r="C706" i="3"/>
  <c r="D706" i="3"/>
  <c r="AH706" i="3"/>
  <c r="C707" i="3"/>
  <c r="D707" i="3"/>
  <c r="AH707" i="3"/>
  <c r="C708" i="3"/>
  <c r="D708" i="3"/>
  <c r="AH708" i="3"/>
  <c r="C709" i="3"/>
  <c r="D709" i="3"/>
  <c r="AH709" i="3"/>
  <c r="C710" i="3"/>
  <c r="D710" i="3"/>
  <c r="AH710" i="3"/>
  <c r="C711" i="3"/>
  <c r="D711" i="3"/>
  <c r="AH711" i="3"/>
  <c r="C712" i="3"/>
  <c r="D712" i="3"/>
  <c r="AH712" i="3"/>
  <c r="C713" i="3"/>
  <c r="D713" i="3"/>
  <c r="AH713" i="3"/>
  <c r="C714" i="3"/>
  <c r="AH714" i="3"/>
  <c r="C715" i="3"/>
  <c r="D715" i="3"/>
  <c r="AH715" i="3"/>
  <c r="C716" i="3"/>
  <c r="D716" i="3"/>
  <c r="AH716" i="3"/>
  <c r="C717" i="3"/>
  <c r="D717" i="3"/>
  <c r="AH717" i="3"/>
  <c r="C718" i="3"/>
  <c r="D718" i="3"/>
  <c r="AH718" i="3"/>
  <c r="C719" i="3"/>
  <c r="D719" i="3"/>
  <c r="AH719" i="3"/>
  <c r="C720" i="3"/>
  <c r="D720" i="3"/>
  <c r="AH720" i="3"/>
  <c r="C721" i="3"/>
  <c r="D721" i="3"/>
  <c r="AH721" i="3"/>
  <c r="C722" i="3"/>
  <c r="D722" i="3"/>
  <c r="AH722" i="3"/>
  <c r="C723" i="3"/>
  <c r="D723" i="3"/>
  <c r="AH723" i="3"/>
  <c r="C724" i="3"/>
  <c r="D724" i="3"/>
  <c r="AH724" i="3"/>
  <c r="C725" i="3"/>
  <c r="D725" i="3"/>
  <c r="AH725" i="3"/>
  <c r="C726" i="3"/>
  <c r="D726" i="3"/>
  <c r="AH726" i="3"/>
  <c r="C727" i="3"/>
  <c r="D727" i="3"/>
  <c r="E727" i="3"/>
  <c r="AH727" i="3"/>
  <c r="C729" i="3"/>
  <c r="C730" i="3"/>
  <c r="D730" i="3"/>
  <c r="AH730" i="3"/>
  <c r="C731" i="3"/>
  <c r="D731" i="3"/>
  <c r="AH731" i="3"/>
  <c r="C732" i="3"/>
  <c r="D732" i="3"/>
  <c r="AH732" i="3"/>
  <c r="C733" i="3"/>
  <c r="D733" i="3"/>
  <c r="AH733" i="3"/>
  <c r="C734" i="3"/>
  <c r="D734" i="3"/>
  <c r="AH734" i="3"/>
  <c r="C735" i="3"/>
  <c r="D735" i="3"/>
  <c r="AH735" i="3"/>
  <c r="C736" i="3"/>
  <c r="D736" i="3"/>
  <c r="AH736" i="3"/>
  <c r="C737" i="3"/>
  <c r="D737" i="3"/>
  <c r="AH737" i="3"/>
  <c r="C738" i="3"/>
  <c r="D738" i="3"/>
  <c r="AH738" i="3"/>
  <c r="C739" i="3"/>
  <c r="D739" i="3"/>
  <c r="AH739" i="3"/>
  <c r="E740" i="3"/>
  <c r="C740" i="3"/>
  <c r="D740" i="3"/>
  <c r="AH740" i="3"/>
  <c r="C741" i="3"/>
  <c r="D741" i="3"/>
  <c r="E741" i="3"/>
  <c r="AH741" i="3"/>
  <c r="E742" i="3"/>
  <c r="C742" i="3"/>
  <c r="D742" i="3"/>
  <c r="AH742" i="3"/>
  <c r="C743" i="3"/>
  <c r="D743" i="3"/>
  <c r="E743" i="3"/>
  <c r="AH743" i="3"/>
  <c r="E744" i="3"/>
  <c r="C744" i="3"/>
  <c r="D744" i="3"/>
  <c r="AH744" i="3"/>
  <c r="C745" i="3"/>
  <c r="D745" i="3"/>
  <c r="E745" i="3"/>
  <c r="AH745" i="3"/>
  <c r="E746" i="3"/>
  <c r="C746" i="3"/>
  <c r="D746" i="3"/>
  <c r="AH746" i="3"/>
  <c r="C747" i="3"/>
  <c r="D747" i="3"/>
  <c r="E747" i="3"/>
  <c r="AH747" i="3"/>
  <c r="E748" i="3"/>
  <c r="C748" i="3"/>
  <c r="D748" i="3"/>
  <c r="AH748" i="3"/>
  <c r="C749" i="3"/>
  <c r="D749" i="3"/>
  <c r="E749" i="3"/>
  <c r="AH749" i="3"/>
  <c r="E750" i="3"/>
  <c r="C750" i="3"/>
  <c r="D750" i="3"/>
  <c r="AH750" i="3"/>
  <c r="C751" i="3"/>
  <c r="D751" i="3"/>
  <c r="E751" i="3"/>
  <c r="AH751" i="3"/>
  <c r="E752" i="3"/>
  <c r="C752" i="3"/>
  <c r="D752" i="3"/>
  <c r="AH752" i="3"/>
  <c r="C753" i="3"/>
  <c r="D753" i="3"/>
  <c r="E753" i="3"/>
  <c r="AH753" i="3"/>
  <c r="E754" i="3"/>
  <c r="C754" i="3"/>
  <c r="D754" i="3"/>
  <c r="AH754" i="3"/>
  <c r="C755" i="3"/>
  <c r="D755" i="3"/>
  <c r="E755" i="3"/>
  <c r="AH755" i="3"/>
  <c r="B757" i="3"/>
  <c r="C757" i="3"/>
  <c r="D757" i="3"/>
  <c r="C758" i="3"/>
  <c r="D758" i="3"/>
  <c r="AH758" i="3"/>
  <c r="C759" i="3"/>
  <c r="D759" i="3"/>
  <c r="AH759" i="3"/>
  <c r="C760" i="3"/>
  <c r="D760" i="3"/>
  <c r="AH760" i="3"/>
  <c r="C761" i="3"/>
  <c r="D761" i="3"/>
  <c r="AH761" i="3"/>
  <c r="C762" i="3"/>
  <c r="D762" i="3"/>
  <c r="AH762" i="3"/>
  <c r="C763" i="3"/>
  <c r="D763" i="3"/>
  <c r="AH763" i="3"/>
  <c r="C764" i="3"/>
  <c r="D764" i="3"/>
  <c r="AH764" i="3"/>
  <c r="C765" i="3"/>
  <c r="D765" i="3"/>
  <c r="AH765" i="3"/>
  <c r="C766" i="3"/>
  <c r="D766" i="3"/>
  <c r="AH766" i="3"/>
  <c r="C767" i="3"/>
  <c r="D767" i="3"/>
  <c r="AH767" i="3"/>
  <c r="C768" i="3"/>
  <c r="D768" i="3"/>
  <c r="AH768" i="3"/>
  <c r="C769" i="3"/>
  <c r="D769" i="3"/>
  <c r="AH769" i="3"/>
  <c r="C770" i="3"/>
  <c r="D770" i="3"/>
  <c r="AH770" i="3"/>
  <c r="C771" i="3"/>
  <c r="D771" i="3"/>
  <c r="AH771" i="3"/>
  <c r="C772" i="3"/>
  <c r="D772" i="3"/>
  <c r="AH772" i="3"/>
  <c r="C773" i="3"/>
  <c r="D773" i="3"/>
  <c r="AH773" i="3"/>
  <c r="C774" i="3"/>
  <c r="D774" i="3"/>
  <c r="AH774" i="3"/>
  <c r="C775" i="3"/>
  <c r="D775" i="3"/>
  <c r="AH775" i="3"/>
  <c r="C776" i="3"/>
  <c r="D776" i="3"/>
  <c r="AH776" i="3"/>
  <c r="C777" i="3"/>
  <c r="D777" i="3"/>
  <c r="AH777" i="3"/>
  <c r="C778" i="3"/>
  <c r="D778" i="3"/>
  <c r="AH778" i="3"/>
  <c r="C779" i="3"/>
  <c r="D779" i="3"/>
  <c r="AH779" i="3"/>
  <c r="C780" i="3"/>
  <c r="D780" i="3"/>
  <c r="AH780" i="3"/>
  <c r="C781" i="3"/>
  <c r="D781" i="3"/>
  <c r="AH781" i="3"/>
  <c r="C782" i="3"/>
  <c r="D782" i="3"/>
  <c r="AH782" i="3"/>
  <c r="E783" i="3"/>
  <c r="C783" i="3"/>
  <c r="D783" i="3"/>
  <c r="B785" i="3"/>
  <c r="C785" i="3"/>
  <c r="D785" i="3"/>
  <c r="C786" i="3"/>
  <c r="D786" i="3"/>
  <c r="AH786" i="3"/>
  <c r="C787" i="3"/>
  <c r="D787" i="3"/>
  <c r="AH787" i="3"/>
  <c r="C788" i="3"/>
  <c r="D788" i="3"/>
  <c r="AH788" i="3"/>
  <c r="C789" i="3"/>
  <c r="D789" i="3"/>
  <c r="AH789" i="3"/>
  <c r="C790" i="3"/>
  <c r="D790" i="3"/>
  <c r="AH790" i="3"/>
  <c r="C791" i="3"/>
  <c r="D791" i="3"/>
  <c r="AH791" i="3"/>
  <c r="C792" i="3"/>
  <c r="D792" i="3"/>
  <c r="AH792" i="3"/>
  <c r="C793" i="3"/>
  <c r="D793" i="3"/>
  <c r="AH793" i="3"/>
  <c r="C794" i="3"/>
  <c r="D794" i="3"/>
  <c r="AH794" i="3"/>
  <c r="C795" i="3"/>
  <c r="D795" i="3"/>
  <c r="AH795" i="3"/>
  <c r="C796" i="3"/>
  <c r="D796" i="3"/>
  <c r="AH796" i="3"/>
  <c r="C797" i="3"/>
  <c r="D797" i="3"/>
  <c r="AH797" i="3"/>
  <c r="C798" i="3"/>
  <c r="D798" i="3"/>
  <c r="AH798" i="3"/>
  <c r="C799" i="3"/>
  <c r="D799" i="3"/>
  <c r="AH799" i="3"/>
  <c r="C800" i="3"/>
  <c r="D800" i="3"/>
  <c r="AH800" i="3"/>
  <c r="C801" i="3"/>
  <c r="D801" i="3"/>
  <c r="AH801" i="3"/>
  <c r="C802" i="3"/>
  <c r="D802" i="3"/>
  <c r="AH802" i="3"/>
  <c r="C803" i="3"/>
  <c r="D803" i="3"/>
  <c r="AH803" i="3"/>
  <c r="C804" i="3"/>
  <c r="D804" i="3"/>
  <c r="AH804" i="3"/>
  <c r="C805" i="3"/>
  <c r="D805" i="3"/>
  <c r="AH805" i="3"/>
  <c r="C806" i="3"/>
  <c r="D806" i="3"/>
  <c r="AH806" i="3"/>
  <c r="C807" i="3"/>
  <c r="D807" i="3"/>
  <c r="AH807" i="3"/>
  <c r="C808" i="3"/>
  <c r="D808" i="3"/>
  <c r="AH808" i="3"/>
  <c r="C809" i="3"/>
  <c r="D809" i="3"/>
  <c r="AH809" i="3"/>
  <c r="C810" i="3"/>
  <c r="D810" i="3"/>
  <c r="AH810" i="3"/>
  <c r="C811" i="3"/>
  <c r="D811" i="3"/>
  <c r="AH811" i="3"/>
  <c r="B813" i="3"/>
  <c r="D813" i="3"/>
  <c r="C813" i="3"/>
  <c r="C814" i="3"/>
  <c r="D814" i="3"/>
  <c r="AH814" i="3"/>
  <c r="C815" i="3"/>
  <c r="D815" i="3"/>
  <c r="AH815" i="3"/>
  <c r="C816" i="3"/>
  <c r="D816" i="3"/>
  <c r="AH816" i="3"/>
  <c r="C817" i="3"/>
  <c r="D817" i="3"/>
  <c r="AH817" i="3"/>
  <c r="C818" i="3"/>
  <c r="D818" i="3"/>
  <c r="AH818" i="3"/>
  <c r="C819" i="3"/>
  <c r="D819" i="3"/>
  <c r="AH819" i="3"/>
  <c r="C820" i="3"/>
  <c r="D820" i="3"/>
  <c r="AH820" i="3"/>
  <c r="C821" i="3"/>
  <c r="D821" i="3"/>
  <c r="AH821" i="3"/>
  <c r="C822" i="3"/>
  <c r="D822" i="3"/>
  <c r="AH822" i="3"/>
  <c r="C823" i="3"/>
  <c r="D823" i="3"/>
  <c r="AH823" i="3"/>
  <c r="C824" i="3"/>
  <c r="D824" i="3"/>
  <c r="AH824" i="3"/>
  <c r="C825" i="3"/>
  <c r="D825" i="3"/>
  <c r="AH825" i="3"/>
  <c r="C826" i="3"/>
  <c r="D826" i="3"/>
  <c r="AH826" i="3"/>
  <c r="C827" i="3"/>
  <c r="D827" i="3"/>
  <c r="AH827" i="3"/>
  <c r="C828" i="3"/>
  <c r="D828" i="3"/>
  <c r="AH828" i="3"/>
  <c r="C829" i="3"/>
  <c r="D829" i="3"/>
  <c r="AH829" i="3"/>
  <c r="C830" i="3"/>
  <c r="D830" i="3"/>
  <c r="AH830" i="3"/>
  <c r="C831" i="3"/>
  <c r="D831" i="3"/>
  <c r="AH831" i="3"/>
  <c r="C832" i="3"/>
  <c r="D832" i="3"/>
  <c r="AH832" i="3"/>
  <c r="C833" i="3"/>
  <c r="D833" i="3"/>
  <c r="AH833" i="3"/>
  <c r="C834" i="3"/>
  <c r="D834" i="3"/>
  <c r="AH834" i="3"/>
  <c r="C835" i="3"/>
  <c r="D835" i="3"/>
  <c r="AH835" i="3"/>
  <c r="C836" i="3"/>
  <c r="D836" i="3"/>
  <c r="AH836" i="3"/>
  <c r="C837" i="3"/>
  <c r="D837" i="3"/>
  <c r="E837" i="3"/>
  <c r="AH837" i="3"/>
  <c r="E838" i="3"/>
  <c r="C838" i="3"/>
  <c r="D838" i="3"/>
  <c r="AH838" i="3"/>
  <c r="C839" i="3"/>
  <c r="D839" i="3"/>
  <c r="E839" i="3"/>
  <c r="AH839" i="3"/>
  <c r="C841" i="3"/>
  <c r="C842" i="3"/>
  <c r="D842" i="3"/>
  <c r="AH842" i="3"/>
  <c r="C843" i="3"/>
  <c r="D843" i="3"/>
  <c r="AH843" i="3"/>
  <c r="C844" i="3"/>
  <c r="D844" i="3"/>
  <c r="AH844" i="3"/>
  <c r="C845" i="3"/>
  <c r="D845" i="3"/>
  <c r="AH845" i="3"/>
  <c r="C846" i="3"/>
  <c r="D846" i="3"/>
  <c r="AH846" i="3"/>
  <c r="C847" i="3"/>
  <c r="D847" i="3"/>
  <c r="AH847" i="3"/>
  <c r="C848" i="3"/>
  <c r="D848" i="3"/>
  <c r="AH848" i="3"/>
  <c r="C849" i="3"/>
  <c r="D849" i="3"/>
  <c r="AH849" i="3"/>
  <c r="C850" i="3"/>
  <c r="D850" i="3"/>
  <c r="AH850" i="3"/>
  <c r="C851" i="3"/>
  <c r="D851" i="3"/>
  <c r="AH851" i="3"/>
  <c r="C852" i="3"/>
  <c r="D852" i="3"/>
  <c r="AH852" i="3"/>
  <c r="C853" i="3"/>
  <c r="D853" i="3"/>
  <c r="AH853" i="3"/>
  <c r="C854" i="3"/>
  <c r="D854" i="3"/>
  <c r="AH854" i="3"/>
  <c r="C855" i="3"/>
  <c r="D855" i="3"/>
  <c r="AH855" i="3"/>
  <c r="C856" i="3"/>
  <c r="D856" i="3"/>
  <c r="AH856" i="3"/>
  <c r="C857" i="3"/>
  <c r="D857" i="3"/>
  <c r="AH857" i="3"/>
  <c r="C858" i="3"/>
  <c r="D858" i="3"/>
  <c r="AH858" i="3"/>
  <c r="C859" i="3"/>
  <c r="D859" i="3"/>
  <c r="AH859" i="3"/>
  <c r="C860" i="3"/>
  <c r="D860" i="3"/>
  <c r="AH860" i="3"/>
  <c r="C861" i="3"/>
  <c r="D861" i="3"/>
  <c r="AH861" i="3"/>
  <c r="C862" i="3"/>
  <c r="D862" i="3"/>
  <c r="AH862" i="3"/>
  <c r="C863" i="3"/>
  <c r="D863" i="3"/>
  <c r="AH863" i="3"/>
  <c r="C864" i="3"/>
  <c r="D864" i="3"/>
  <c r="AH864" i="3"/>
  <c r="C865" i="3"/>
  <c r="D865" i="3"/>
  <c r="AH865" i="3"/>
  <c r="C866" i="3"/>
  <c r="D866" i="3"/>
  <c r="AH866" i="3"/>
  <c r="C867" i="3"/>
  <c r="D867" i="3"/>
  <c r="AH867" i="3"/>
  <c r="B869" i="3"/>
  <c r="D869" i="3"/>
  <c r="C869" i="3"/>
  <c r="C870" i="3"/>
  <c r="D870" i="3"/>
  <c r="AH870" i="3"/>
  <c r="C871" i="3"/>
  <c r="D871" i="3"/>
  <c r="AH871" i="3"/>
  <c r="C872" i="3"/>
  <c r="D872" i="3"/>
  <c r="AH872" i="3"/>
  <c r="C873" i="3"/>
  <c r="D873" i="3"/>
  <c r="AH873" i="3"/>
  <c r="C874" i="3"/>
  <c r="D874" i="3"/>
  <c r="AH874" i="3"/>
  <c r="C875" i="3"/>
  <c r="D875" i="3"/>
  <c r="AH875" i="3"/>
  <c r="C876" i="3"/>
  <c r="D876" i="3"/>
  <c r="AH876" i="3"/>
  <c r="C877" i="3"/>
  <c r="D877" i="3"/>
  <c r="AH877" i="3"/>
  <c r="C878" i="3"/>
  <c r="D878" i="3"/>
  <c r="AH878" i="3"/>
  <c r="C879" i="3"/>
  <c r="D879" i="3"/>
  <c r="AH879" i="3"/>
  <c r="C880" i="3"/>
  <c r="D880" i="3"/>
  <c r="AH880" i="3"/>
  <c r="C881" i="3"/>
  <c r="D881" i="3"/>
  <c r="AH881" i="3"/>
  <c r="C882" i="3"/>
  <c r="D882" i="3"/>
  <c r="AH882" i="3"/>
  <c r="C883" i="3"/>
  <c r="D883" i="3"/>
  <c r="AH883" i="3"/>
  <c r="C884" i="3"/>
  <c r="D884" i="3"/>
  <c r="AH884" i="3"/>
  <c r="C885" i="3"/>
  <c r="D885" i="3"/>
  <c r="AH885" i="3"/>
  <c r="C886" i="3"/>
  <c r="D886" i="3"/>
  <c r="AH886" i="3"/>
  <c r="C887" i="3"/>
  <c r="D887" i="3"/>
  <c r="AH887" i="3"/>
  <c r="C888" i="3"/>
  <c r="D888" i="3"/>
  <c r="AH888" i="3"/>
  <c r="C889" i="3"/>
  <c r="D889" i="3"/>
  <c r="AH889" i="3"/>
  <c r="C890" i="3"/>
  <c r="D890" i="3"/>
  <c r="AH890" i="3"/>
  <c r="C891" i="3"/>
  <c r="D891" i="3"/>
  <c r="AH891" i="3"/>
  <c r="C892" i="3"/>
  <c r="D892" i="3"/>
  <c r="AH892" i="3"/>
  <c r="C893" i="3"/>
  <c r="D893" i="3"/>
  <c r="AH893" i="3"/>
  <c r="C894" i="3"/>
  <c r="D894" i="3"/>
  <c r="AH894" i="3"/>
  <c r="C895" i="3"/>
  <c r="D895" i="3"/>
  <c r="AH895" i="3"/>
  <c r="B897" i="3"/>
  <c r="C897" i="3"/>
  <c r="D897" i="3"/>
  <c r="C898" i="3"/>
  <c r="D898" i="3"/>
  <c r="AH898" i="3"/>
  <c r="C899" i="3"/>
  <c r="D899" i="3"/>
  <c r="AH899" i="3"/>
  <c r="C900" i="3"/>
  <c r="D900" i="3"/>
  <c r="AH900" i="3"/>
  <c r="C901" i="3"/>
  <c r="D901" i="3"/>
  <c r="AH901" i="3"/>
  <c r="C902" i="3"/>
  <c r="D902" i="3"/>
  <c r="AH902" i="3"/>
  <c r="C903" i="3"/>
  <c r="D903" i="3"/>
  <c r="AH903" i="3"/>
  <c r="C904" i="3"/>
  <c r="D904" i="3"/>
  <c r="AH904" i="3"/>
  <c r="C905" i="3"/>
  <c r="D905" i="3"/>
  <c r="AH905" i="3"/>
  <c r="C906" i="3"/>
  <c r="AH906" i="3"/>
  <c r="C907" i="3"/>
  <c r="D907" i="3"/>
  <c r="AH907" i="3"/>
  <c r="C908" i="3"/>
  <c r="D908" i="3"/>
  <c r="AH908" i="3"/>
  <c r="C909" i="3"/>
  <c r="D909" i="3"/>
  <c r="AH909" i="3"/>
  <c r="C910" i="3"/>
  <c r="D910" i="3"/>
  <c r="AH910" i="3"/>
  <c r="C911" i="3"/>
  <c r="D911" i="3"/>
  <c r="AH911" i="3"/>
  <c r="C912" i="3"/>
  <c r="D912" i="3"/>
  <c r="AH912" i="3"/>
  <c r="C913" i="3"/>
  <c r="D913" i="3"/>
  <c r="AH913" i="3"/>
  <c r="C914" i="3"/>
  <c r="D914" i="3"/>
  <c r="AH914" i="3"/>
  <c r="C915" i="3"/>
  <c r="D915" i="3"/>
  <c r="AH915" i="3"/>
  <c r="C916" i="3"/>
  <c r="D916" i="3"/>
  <c r="AH916" i="3"/>
  <c r="C917" i="3"/>
  <c r="D917" i="3"/>
  <c r="AH917" i="3"/>
  <c r="C918" i="3"/>
  <c r="D918" i="3"/>
  <c r="AH918" i="3"/>
  <c r="C919" i="3"/>
  <c r="D919" i="3"/>
  <c r="AH919" i="3"/>
  <c r="C920" i="3"/>
  <c r="D920" i="3"/>
  <c r="AH920" i="3"/>
  <c r="C921" i="3"/>
  <c r="D921" i="3"/>
  <c r="AH921" i="3"/>
  <c r="C922" i="3"/>
  <c r="D922" i="3"/>
  <c r="AH922" i="3"/>
  <c r="C923" i="3"/>
  <c r="AH923" i="3"/>
  <c r="C925" i="3"/>
  <c r="D925" i="3"/>
  <c r="C926" i="3"/>
  <c r="D926" i="3"/>
  <c r="AH926" i="3"/>
  <c r="C927" i="3"/>
  <c r="D927" i="3"/>
  <c r="AH927" i="3"/>
  <c r="C928" i="3"/>
  <c r="D928" i="3"/>
  <c r="AH928" i="3"/>
  <c r="C929" i="3"/>
  <c r="D929" i="3"/>
  <c r="AH929" i="3"/>
  <c r="C930" i="3"/>
  <c r="D930" i="3"/>
  <c r="AH930" i="3"/>
  <c r="C931" i="3"/>
  <c r="D931" i="3"/>
  <c r="AH931" i="3"/>
  <c r="C932" i="3"/>
  <c r="D932" i="3"/>
  <c r="AH932" i="3"/>
  <c r="C933" i="3"/>
  <c r="D933" i="3"/>
  <c r="AH933" i="3"/>
  <c r="C934" i="3"/>
  <c r="D934" i="3"/>
  <c r="AH934" i="3"/>
  <c r="C935" i="3"/>
  <c r="D935" i="3"/>
  <c r="AH935" i="3"/>
  <c r="C936" i="3"/>
  <c r="D936" i="3"/>
  <c r="AH936" i="3"/>
  <c r="C937" i="3"/>
  <c r="D937" i="3"/>
  <c r="AH937" i="3"/>
  <c r="C938" i="3"/>
  <c r="D938" i="3"/>
  <c r="AH938" i="3"/>
  <c r="C939" i="3"/>
  <c r="D939" i="3"/>
  <c r="AH939" i="3"/>
  <c r="C940" i="3"/>
  <c r="D940" i="3"/>
  <c r="AH940" i="3"/>
  <c r="C941" i="3"/>
  <c r="D941" i="3"/>
  <c r="AH941" i="3"/>
  <c r="C942" i="3"/>
  <c r="D942" i="3"/>
  <c r="AH942" i="3"/>
  <c r="C943" i="3"/>
  <c r="D943" i="3"/>
  <c r="AH943" i="3"/>
  <c r="C944" i="3"/>
  <c r="D944" i="3"/>
  <c r="AH944" i="3"/>
  <c r="C945" i="3"/>
  <c r="D945" i="3"/>
  <c r="AH945" i="3"/>
  <c r="C946" i="3"/>
  <c r="D946" i="3"/>
  <c r="AH946" i="3"/>
  <c r="C947" i="3"/>
  <c r="D947" i="3"/>
  <c r="AH947" i="3"/>
  <c r="C948" i="3"/>
  <c r="D948" i="3"/>
  <c r="AH948" i="3"/>
  <c r="C949" i="3"/>
  <c r="D949" i="3"/>
  <c r="AH949" i="3"/>
  <c r="C950" i="3"/>
  <c r="D950" i="3"/>
  <c r="AH950" i="3"/>
  <c r="E951" i="3"/>
  <c r="C951" i="3"/>
  <c r="D951" i="3"/>
  <c r="AH951" i="3"/>
  <c r="C953" i="3"/>
  <c r="C954" i="3"/>
  <c r="D954" i="3"/>
  <c r="AH954" i="3"/>
  <c r="C955" i="3"/>
  <c r="D955" i="3"/>
  <c r="AH955" i="3"/>
  <c r="C956" i="3"/>
  <c r="D956" i="3"/>
  <c r="AH956" i="3"/>
  <c r="C957" i="3"/>
  <c r="D957" i="3"/>
  <c r="AH957" i="3"/>
  <c r="C958" i="3"/>
  <c r="D958" i="3"/>
  <c r="AH958" i="3"/>
  <c r="C959" i="3"/>
  <c r="D959" i="3"/>
  <c r="AH959" i="3"/>
  <c r="C960" i="3"/>
  <c r="D960" i="3"/>
  <c r="AH960" i="3"/>
  <c r="C961" i="3"/>
  <c r="D961" i="3"/>
  <c r="AH961" i="3"/>
  <c r="C962" i="3"/>
  <c r="D962" i="3"/>
  <c r="AH962" i="3"/>
  <c r="C963" i="3"/>
  <c r="D963" i="3"/>
  <c r="AH963" i="3"/>
  <c r="C964" i="3"/>
  <c r="D964" i="3"/>
  <c r="AH964" i="3"/>
  <c r="C965" i="3"/>
  <c r="D965" i="3"/>
  <c r="AH965" i="3"/>
  <c r="C966" i="3"/>
  <c r="D966" i="3"/>
  <c r="AH966" i="3"/>
  <c r="C967" i="3"/>
  <c r="D967" i="3"/>
  <c r="AH967" i="3"/>
  <c r="C968" i="3"/>
  <c r="D968" i="3"/>
  <c r="AH968" i="3"/>
  <c r="C969" i="3"/>
  <c r="D969" i="3"/>
  <c r="AH969" i="3"/>
  <c r="C970" i="3"/>
  <c r="D970" i="3"/>
  <c r="AH970" i="3"/>
  <c r="C971" i="3"/>
  <c r="D971" i="3"/>
  <c r="AH971" i="3"/>
  <c r="C972" i="3"/>
  <c r="D972" i="3"/>
  <c r="AH972" i="3"/>
  <c r="C973" i="3"/>
  <c r="D973" i="3"/>
  <c r="AH973" i="3"/>
  <c r="C974" i="3"/>
  <c r="D974" i="3"/>
  <c r="AH974" i="3"/>
  <c r="C975" i="3"/>
  <c r="D975" i="3"/>
  <c r="AH975" i="3"/>
  <c r="C976" i="3"/>
  <c r="D976" i="3"/>
  <c r="AH976" i="3"/>
  <c r="C977" i="3"/>
  <c r="D977" i="3"/>
  <c r="AH977" i="3"/>
  <c r="C978" i="3"/>
  <c r="D978" i="3"/>
  <c r="AH978" i="3"/>
  <c r="C979" i="3"/>
  <c r="D979" i="3"/>
  <c r="AH979" i="3"/>
  <c r="B981" i="3"/>
  <c r="D981" i="3"/>
  <c r="C981" i="3"/>
  <c r="C982" i="3"/>
  <c r="D982" i="3"/>
  <c r="AH982" i="3"/>
  <c r="C983" i="3"/>
  <c r="D983" i="3"/>
  <c r="AH983" i="3"/>
  <c r="C984" i="3"/>
  <c r="D984" i="3"/>
  <c r="AH984" i="3"/>
  <c r="C985" i="3"/>
  <c r="D985" i="3"/>
  <c r="AH985" i="3"/>
  <c r="C986" i="3"/>
  <c r="D986" i="3"/>
  <c r="AH986" i="3"/>
  <c r="C987" i="3"/>
  <c r="D987" i="3"/>
  <c r="AH987" i="3"/>
  <c r="C988" i="3"/>
  <c r="D988" i="3"/>
  <c r="AH988" i="3"/>
  <c r="C989" i="3"/>
  <c r="D989" i="3"/>
  <c r="AH989" i="3"/>
  <c r="C990" i="3"/>
  <c r="D990" i="3"/>
  <c r="AH990" i="3"/>
  <c r="C991" i="3"/>
  <c r="D991" i="3"/>
  <c r="AH991" i="3"/>
  <c r="C992" i="3"/>
  <c r="D992" i="3"/>
  <c r="AH992" i="3"/>
  <c r="C993" i="3"/>
  <c r="D993" i="3"/>
  <c r="AH993" i="3"/>
  <c r="C994" i="3"/>
  <c r="D994" i="3"/>
  <c r="AH994" i="3"/>
  <c r="C995" i="3"/>
  <c r="D995" i="3"/>
  <c r="AH995" i="3"/>
  <c r="C996" i="3"/>
  <c r="D996" i="3"/>
  <c r="AH996" i="3"/>
  <c r="C997" i="3"/>
  <c r="D997" i="3"/>
  <c r="AH997" i="3"/>
  <c r="C998" i="3"/>
  <c r="D998" i="3"/>
  <c r="AH998" i="3"/>
  <c r="C999" i="3"/>
  <c r="D999" i="3"/>
  <c r="AH999" i="3"/>
  <c r="C1000" i="3"/>
  <c r="D1000" i="3"/>
  <c r="AH1000" i="3"/>
  <c r="C1001" i="3"/>
  <c r="D1001" i="3"/>
  <c r="AH1001" i="3"/>
  <c r="C1002" i="3"/>
  <c r="D1002" i="3"/>
  <c r="AH1002" i="3"/>
  <c r="C1003" i="3"/>
  <c r="D1003" i="3"/>
  <c r="AH1003" i="3"/>
  <c r="C1004" i="3"/>
  <c r="D1004" i="3"/>
  <c r="AH1004" i="3"/>
  <c r="C1005" i="3"/>
  <c r="D1005" i="3"/>
  <c r="AH1005" i="3"/>
  <c r="C1006" i="3"/>
  <c r="D1006" i="3"/>
  <c r="AH1006" i="3"/>
  <c r="C1007" i="3"/>
  <c r="D1007" i="3"/>
  <c r="AH1007" i="3"/>
  <c r="B1009" i="3"/>
  <c r="D1009" i="3"/>
  <c r="C1009" i="3"/>
  <c r="C1010" i="3"/>
  <c r="D1010" i="3"/>
  <c r="AH1010" i="3"/>
  <c r="C1011" i="3"/>
  <c r="D1011" i="3"/>
  <c r="AH1011" i="3"/>
  <c r="C1012" i="3"/>
  <c r="D1012" i="3"/>
  <c r="AH1012" i="3"/>
  <c r="C1013" i="3"/>
  <c r="D1013" i="3"/>
  <c r="AH1013" i="3"/>
  <c r="C1014" i="3"/>
  <c r="D1014" i="3"/>
  <c r="AH1014" i="3"/>
  <c r="C1015" i="3"/>
  <c r="D1015" i="3"/>
  <c r="AH1015" i="3"/>
  <c r="C1016" i="3"/>
  <c r="D1016" i="3"/>
  <c r="AH1016" i="3"/>
  <c r="C1017" i="3"/>
  <c r="D1017" i="3"/>
  <c r="AH1017" i="3"/>
  <c r="C1018" i="3"/>
  <c r="D1018" i="3"/>
  <c r="AH1018" i="3"/>
  <c r="C1019" i="3"/>
  <c r="D1019" i="3"/>
  <c r="AH1019" i="3"/>
  <c r="C1020" i="3"/>
  <c r="D1020" i="3"/>
  <c r="AH1020" i="3"/>
  <c r="C1021" i="3"/>
  <c r="D1021" i="3"/>
  <c r="AH1021" i="3"/>
  <c r="C1022" i="3"/>
  <c r="D1022" i="3"/>
  <c r="AH1022" i="3"/>
  <c r="C1023" i="3"/>
  <c r="D1023" i="3"/>
  <c r="AH1023" i="3"/>
  <c r="C1024" i="3"/>
  <c r="D1024" i="3"/>
  <c r="AH1024" i="3"/>
  <c r="C1025" i="3"/>
  <c r="D1025" i="3"/>
  <c r="AH1025" i="3"/>
  <c r="C1026" i="3"/>
  <c r="D1026" i="3"/>
  <c r="AH1026" i="3"/>
  <c r="C1027" i="3"/>
  <c r="D1027" i="3"/>
  <c r="AH1027" i="3"/>
  <c r="C1028" i="3"/>
  <c r="D1028" i="3"/>
  <c r="AH1028" i="3"/>
  <c r="C1029" i="3"/>
  <c r="D1029" i="3"/>
  <c r="AH1029" i="3"/>
  <c r="C1030" i="3"/>
  <c r="D1030" i="3"/>
  <c r="AH1030" i="3"/>
  <c r="C1031" i="3"/>
  <c r="D1031" i="3"/>
  <c r="AH1031" i="3"/>
  <c r="C1032" i="3"/>
  <c r="D1032" i="3"/>
  <c r="AH1032" i="3"/>
  <c r="C1033" i="3"/>
  <c r="D1033" i="3"/>
  <c r="AH1033" i="3"/>
  <c r="C1034" i="3"/>
  <c r="D1034" i="3"/>
  <c r="AH1034" i="3"/>
  <c r="C1035" i="3"/>
  <c r="D1035" i="3"/>
  <c r="AH1035" i="3"/>
  <c r="C1037" i="3"/>
  <c r="D1037" i="3"/>
  <c r="C1038" i="3"/>
  <c r="D1038" i="3"/>
  <c r="AH1038" i="3"/>
  <c r="C1039" i="3"/>
  <c r="D1039" i="3"/>
  <c r="AH1039" i="3"/>
  <c r="C1040" i="3"/>
  <c r="D1040" i="3"/>
  <c r="AH1040" i="3"/>
  <c r="C1041" i="3"/>
  <c r="D1041" i="3"/>
  <c r="AH1041" i="3"/>
  <c r="C1042" i="3"/>
  <c r="D1042" i="3"/>
  <c r="AH1042" i="3"/>
  <c r="C1043" i="3"/>
  <c r="D1043" i="3"/>
  <c r="AH1043" i="3"/>
  <c r="C1044" i="3"/>
  <c r="D1044" i="3"/>
  <c r="AH1044" i="3"/>
  <c r="C1045" i="3"/>
  <c r="D1045" i="3"/>
  <c r="AH1045" i="3"/>
  <c r="C1046" i="3"/>
  <c r="AH1046" i="3"/>
  <c r="C1047" i="3"/>
  <c r="D1047" i="3"/>
  <c r="AH1047" i="3"/>
  <c r="C1048" i="3"/>
  <c r="D1048" i="3"/>
  <c r="AH1048" i="3"/>
  <c r="C1049" i="3"/>
  <c r="D1049" i="3"/>
  <c r="AH1049" i="3"/>
  <c r="C1050" i="3"/>
  <c r="D1050" i="3"/>
  <c r="AH1050" i="3"/>
  <c r="C1051" i="3"/>
  <c r="D1051" i="3"/>
  <c r="AH1051" i="3"/>
  <c r="C1052" i="3"/>
  <c r="D1052" i="3"/>
  <c r="AH1052" i="3"/>
  <c r="C1053" i="3"/>
  <c r="D1053" i="3"/>
  <c r="AH1053" i="3"/>
  <c r="C1054" i="3"/>
  <c r="D1054" i="3"/>
  <c r="AH1054" i="3"/>
  <c r="C1055" i="3"/>
  <c r="D1055" i="3"/>
  <c r="AH1055" i="3"/>
  <c r="C1056" i="3"/>
  <c r="D1056" i="3"/>
  <c r="AH1056" i="3"/>
  <c r="C1057" i="3"/>
  <c r="D1057" i="3"/>
  <c r="AH1057" i="3"/>
  <c r="C1058" i="3"/>
  <c r="D1058" i="3"/>
  <c r="AH1058" i="3"/>
  <c r="C1059" i="3"/>
  <c r="D1059" i="3"/>
  <c r="AH1059" i="3"/>
  <c r="C1060" i="3"/>
  <c r="D1060" i="3"/>
  <c r="AH1060" i="3"/>
  <c r="C1061" i="3"/>
  <c r="D1061" i="3"/>
  <c r="AH1061" i="3"/>
  <c r="C1062" i="3"/>
  <c r="D1062" i="3"/>
  <c r="AH1062" i="3"/>
  <c r="C1063" i="3"/>
  <c r="D1063" i="3"/>
  <c r="AH1063" i="3"/>
  <c r="C1065" i="3"/>
  <c r="C1066" i="3"/>
  <c r="D1066" i="3"/>
  <c r="AH1066" i="3"/>
  <c r="C1067" i="3"/>
  <c r="D1067" i="3"/>
  <c r="AH1067" i="3"/>
  <c r="C1068" i="3"/>
  <c r="D1068" i="3"/>
  <c r="AH1068" i="3"/>
  <c r="C1069" i="3"/>
  <c r="D1069" i="3"/>
  <c r="AH1069" i="3"/>
  <c r="C1070" i="3"/>
  <c r="D1070" i="3"/>
  <c r="AH1070" i="3"/>
  <c r="C1071" i="3"/>
  <c r="D1071" i="3"/>
  <c r="AH1071" i="3"/>
  <c r="C1072" i="3"/>
  <c r="D1072" i="3"/>
  <c r="AH1072" i="3"/>
  <c r="C1073" i="3"/>
  <c r="D1073" i="3"/>
  <c r="AH1073" i="3"/>
  <c r="C1074" i="3"/>
  <c r="D1074" i="3"/>
  <c r="AH1074" i="3"/>
  <c r="C1075" i="3"/>
  <c r="D1075" i="3"/>
  <c r="AH1075" i="3"/>
  <c r="C1076" i="3"/>
  <c r="D1076" i="3"/>
  <c r="AH1076" i="3"/>
  <c r="C1077" i="3"/>
  <c r="D1077" i="3"/>
  <c r="AH1077" i="3"/>
  <c r="C1078" i="3"/>
  <c r="D1078" i="3"/>
  <c r="AH1078" i="3"/>
  <c r="C1079" i="3"/>
  <c r="D1079" i="3"/>
  <c r="AH1079" i="3"/>
  <c r="C1080" i="3"/>
  <c r="D1080" i="3"/>
  <c r="AH1080" i="3"/>
  <c r="C1081" i="3"/>
  <c r="D1081" i="3"/>
  <c r="AH1081" i="3"/>
  <c r="C1082" i="3"/>
  <c r="D1082" i="3"/>
  <c r="AH1082" i="3"/>
  <c r="C1083" i="3"/>
  <c r="D1083" i="3"/>
  <c r="AH1083" i="3"/>
  <c r="C1084" i="3"/>
  <c r="D1084" i="3"/>
  <c r="AH1084" i="3"/>
  <c r="C1085" i="3"/>
  <c r="D1085" i="3"/>
  <c r="AH1085" i="3"/>
  <c r="C1086" i="3"/>
  <c r="D1086" i="3"/>
  <c r="AH1086" i="3"/>
  <c r="C1087" i="3"/>
  <c r="D1087" i="3"/>
  <c r="AH1087" i="3"/>
  <c r="C1088" i="3"/>
  <c r="D1088" i="3"/>
  <c r="AH1088" i="3"/>
  <c r="C1089" i="3"/>
  <c r="D1089" i="3"/>
  <c r="AH1089" i="3"/>
  <c r="C1090" i="3"/>
  <c r="D1090" i="3"/>
  <c r="AH1090" i="3"/>
  <c r="C1091" i="3"/>
  <c r="D1091" i="3"/>
  <c r="E1091" i="3"/>
  <c r="AH1091" i="3"/>
  <c r="B1093" i="3"/>
  <c r="D1093" i="3"/>
  <c r="C1093" i="3"/>
  <c r="C1094" i="3"/>
  <c r="D1094" i="3"/>
  <c r="AH1094" i="3"/>
  <c r="C1095" i="3"/>
  <c r="D1095" i="3"/>
  <c r="AH1095" i="3"/>
  <c r="C1096" i="3"/>
  <c r="D1096" i="3"/>
  <c r="AH1096" i="3"/>
  <c r="C1097" i="3"/>
  <c r="D1097" i="3"/>
  <c r="AH1097" i="3"/>
  <c r="C1098" i="3"/>
  <c r="D1098" i="3"/>
  <c r="AH1098" i="3"/>
  <c r="C1099" i="3"/>
  <c r="D1099" i="3"/>
  <c r="AH1099" i="3"/>
  <c r="C1100" i="3"/>
  <c r="D1100" i="3"/>
  <c r="AH1100" i="3"/>
  <c r="C1101" i="3"/>
  <c r="D1101" i="3"/>
  <c r="AH1101" i="3"/>
  <c r="C1102" i="3"/>
  <c r="D1102" i="3"/>
  <c r="AH1102" i="3"/>
  <c r="C1103" i="3"/>
  <c r="D1103" i="3"/>
  <c r="AH1103" i="3"/>
  <c r="C1104" i="3"/>
  <c r="D1104" i="3"/>
  <c r="AH1104" i="3"/>
  <c r="C1105" i="3"/>
  <c r="D1105" i="3"/>
  <c r="AH1105" i="3"/>
  <c r="C1106" i="3"/>
  <c r="D1106" i="3"/>
  <c r="AH1106" i="3"/>
  <c r="C1107" i="3"/>
  <c r="D1107" i="3"/>
  <c r="AH1107" i="3"/>
  <c r="C1108" i="3"/>
  <c r="D1108" i="3"/>
  <c r="AH1108" i="3"/>
  <c r="C1109" i="3"/>
  <c r="D1109" i="3"/>
  <c r="AH1109" i="3"/>
  <c r="C1110" i="3"/>
  <c r="D1110" i="3"/>
  <c r="AH1110" i="3"/>
  <c r="C1111" i="3"/>
  <c r="D1111" i="3"/>
  <c r="AH1111" i="3"/>
  <c r="C1112" i="3"/>
  <c r="D1112" i="3"/>
  <c r="AH1112" i="3"/>
  <c r="C1113" i="3"/>
  <c r="D1113" i="3"/>
  <c r="AH1113" i="3"/>
  <c r="C1114" i="3"/>
  <c r="D1114" i="3"/>
  <c r="AH1114" i="3"/>
  <c r="C1115" i="3"/>
  <c r="D1115" i="3"/>
  <c r="AH1115" i="3"/>
  <c r="C1116" i="3"/>
  <c r="D1116" i="3"/>
  <c r="AH1116" i="3"/>
  <c r="C1117" i="3"/>
  <c r="D1117" i="3"/>
  <c r="AH1117" i="3"/>
  <c r="C1118" i="3"/>
  <c r="D1118" i="3"/>
  <c r="AH1118" i="3"/>
  <c r="C1119" i="3"/>
  <c r="D1119" i="3"/>
  <c r="AH1119" i="3"/>
  <c r="B1121" i="3"/>
  <c r="D1121" i="3"/>
  <c r="C1121" i="3"/>
  <c r="C1122" i="3"/>
  <c r="D1122" i="3"/>
  <c r="AH1122" i="3"/>
  <c r="C1123" i="3"/>
  <c r="D1123" i="3"/>
  <c r="AH1123" i="3"/>
  <c r="C1124" i="3"/>
  <c r="D1124" i="3"/>
  <c r="AH1124" i="3"/>
  <c r="C1125" i="3"/>
  <c r="D1125" i="3"/>
  <c r="AH1125" i="3"/>
  <c r="C1126" i="3"/>
  <c r="D1126" i="3"/>
  <c r="AH1126" i="3"/>
  <c r="C1127" i="3"/>
  <c r="D1127" i="3"/>
  <c r="AH1127" i="3"/>
  <c r="C1128" i="3"/>
  <c r="D1128" i="3"/>
  <c r="AH1128" i="3"/>
  <c r="C1129" i="3"/>
  <c r="D1129" i="3"/>
  <c r="AH1129" i="3"/>
  <c r="C1130" i="3"/>
  <c r="D1130" i="3"/>
  <c r="AH1130" i="3"/>
  <c r="C1131" i="3"/>
  <c r="D1131" i="3"/>
  <c r="AH1131" i="3"/>
  <c r="C1132" i="3"/>
  <c r="D1132" i="3"/>
  <c r="AH1132" i="3"/>
  <c r="C1133" i="3"/>
  <c r="D1133" i="3"/>
  <c r="AH1133" i="3"/>
  <c r="C1134" i="3"/>
  <c r="D1134" i="3"/>
  <c r="AH1134" i="3"/>
  <c r="C1135" i="3"/>
  <c r="D1135" i="3"/>
  <c r="AH1135" i="3"/>
  <c r="C1136" i="3"/>
  <c r="D1136" i="3"/>
  <c r="AH1136" i="3"/>
  <c r="C1137" i="3"/>
  <c r="D1137" i="3"/>
  <c r="AH1137" i="3"/>
  <c r="C1138" i="3"/>
  <c r="D1138" i="3"/>
  <c r="AH1138" i="3"/>
  <c r="C1139" i="3"/>
  <c r="D1139" i="3"/>
  <c r="AH1139" i="3"/>
  <c r="C1140" i="3"/>
  <c r="D1140" i="3"/>
  <c r="AH1140" i="3"/>
  <c r="C1141" i="3"/>
  <c r="D1141" i="3"/>
  <c r="AH1141" i="3"/>
  <c r="C1142" i="3"/>
  <c r="D1142" i="3"/>
  <c r="AH1142" i="3"/>
  <c r="C1143" i="3"/>
  <c r="D1143" i="3"/>
  <c r="AH1143" i="3"/>
  <c r="C1144" i="3"/>
  <c r="D1144" i="3"/>
  <c r="AH1144" i="3"/>
  <c r="C1145" i="3"/>
  <c r="D1145" i="3"/>
  <c r="AH1145" i="3"/>
  <c r="C1146" i="3"/>
  <c r="D1146" i="3"/>
  <c r="AH1146" i="3"/>
  <c r="C1147" i="3"/>
  <c r="D1147" i="3"/>
  <c r="AH1147" i="3"/>
  <c r="C1149" i="3"/>
  <c r="C1150" i="3"/>
  <c r="D1150" i="3"/>
  <c r="AH1150" i="3"/>
  <c r="C1151" i="3"/>
  <c r="D1151" i="3"/>
  <c r="AH1151" i="3"/>
  <c r="C1152" i="3"/>
  <c r="D1152" i="3"/>
  <c r="AH1152" i="3"/>
  <c r="C1153" i="3"/>
  <c r="D1153" i="3"/>
  <c r="AH1153" i="3"/>
  <c r="C1154" i="3"/>
  <c r="D1154" i="3"/>
  <c r="AH1154" i="3"/>
  <c r="C1155" i="3"/>
  <c r="D1155" i="3"/>
  <c r="AH1155" i="3"/>
  <c r="C1156" i="3"/>
  <c r="D1156" i="3"/>
  <c r="AH1156" i="3"/>
  <c r="C1157" i="3"/>
  <c r="D1157" i="3"/>
  <c r="AH1157" i="3"/>
  <c r="C1158" i="3"/>
  <c r="D1158" i="3"/>
  <c r="AH1158" i="3"/>
  <c r="C1159" i="3"/>
  <c r="D1159" i="3"/>
  <c r="AH1159" i="3"/>
  <c r="C1160" i="3"/>
  <c r="D1160" i="3"/>
  <c r="AH1160" i="3"/>
  <c r="C1161" i="3"/>
  <c r="D1161" i="3"/>
  <c r="AH1161" i="3"/>
  <c r="C1162" i="3"/>
  <c r="D1162" i="3"/>
  <c r="AH1162" i="3"/>
  <c r="C1163" i="3"/>
  <c r="D1163" i="3"/>
  <c r="AH1163" i="3"/>
  <c r="C1164" i="3"/>
  <c r="D1164" i="3"/>
  <c r="AH1164" i="3"/>
  <c r="C1165" i="3"/>
  <c r="D1165" i="3"/>
  <c r="AH1165" i="3"/>
  <c r="C1166" i="3"/>
  <c r="D1166" i="3"/>
  <c r="AH1166" i="3"/>
  <c r="C1167" i="3"/>
  <c r="D1167" i="3"/>
  <c r="AH1167" i="3"/>
  <c r="C1168" i="3"/>
  <c r="D1168" i="3"/>
  <c r="AH1168" i="3"/>
  <c r="C1169" i="3"/>
  <c r="D1169" i="3"/>
  <c r="AH1169" i="3"/>
  <c r="C1170" i="3"/>
  <c r="D1170" i="3"/>
  <c r="AH1170" i="3"/>
  <c r="C1171" i="3"/>
  <c r="D1171" i="3"/>
  <c r="AH1171" i="3"/>
  <c r="C1172" i="3"/>
  <c r="D1172" i="3"/>
  <c r="AH1172" i="3"/>
  <c r="C1173" i="3"/>
  <c r="D1173" i="3"/>
  <c r="AH1173" i="3"/>
  <c r="C1174" i="3"/>
  <c r="D1174" i="3"/>
  <c r="AH1174" i="3"/>
  <c r="C1175" i="3"/>
  <c r="D1175" i="3"/>
  <c r="AH1175" i="3"/>
  <c r="C1177" i="3"/>
  <c r="C1178" i="3"/>
  <c r="D1178" i="3"/>
  <c r="AH1178" i="3"/>
  <c r="C1179" i="3"/>
  <c r="D1179" i="3"/>
  <c r="AH1179" i="3"/>
  <c r="C1180" i="3"/>
  <c r="D1180" i="3"/>
  <c r="AH1180" i="3"/>
  <c r="C1181" i="3"/>
  <c r="D1181" i="3"/>
  <c r="AH1181" i="3"/>
  <c r="C1182" i="3"/>
  <c r="D1182" i="3"/>
  <c r="AH1182" i="3"/>
  <c r="C1183" i="3"/>
  <c r="D1183" i="3"/>
  <c r="AH1183" i="3"/>
  <c r="C1184" i="3"/>
  <c r="D1184" i="3"/>
  <c r="AH1184" i="3"/>
  <c r="C1185" i="3"/>
  <c r="D1185" i="3"/>
  <c r="AH1185" i="3"/>
  <c r="C1186" i="3"/>
  <c r="D1186" i="3"/>
  <c r="AH1186" i="3"/>
  <c r="C1187" i="3"/>
  <c r="D1187" i="3"/>
  <c r="AH1187" i="3"/>
  <c r="C1188" i="3"/>
  <c r="D1188" i="3"/>
  <c r="AH1188" i="3"/>
  <c r="C1189" i="3"/>
  <c r="D1189" i="3"/>
  <c r="AH1189" i="3"/>
  <c r="C1190" i="3"/>
  <c r="D1190" i="3"/>
  <c r="AH1190" i="3"/>
  <c r="C1191" i="3"/>
  <c r="D1191" i="3"/>
  <c r="AH1191" i="3"/>
  <c r="C1192" i="3"/>
  <c r="D1192" i="3"/>
  <c r="AH1192" i="3"/>
  <c r="C1193" i="3"/>
  <c r="D1193" i="3"/>
  <c r="AH1193" i="3"/>
  <c r="C1194" i="3"/>
  <c r="D1194" i="3"/>
  <c r="AH1194" i="3"/>
  <c r="C1195" i="3"/>
  <c r="D1195" i="3"/>
  <c r="AH1195" i="3"/>
  <c r="C1196" i="3"/>
  <c r="D1196" i="3"/>
  <c r="AH1196" i="3"/>
  <c r="C1197" i="3"/>
  <c r="D1197" i="3"/>
  <c r="AH1197" i="3"/>
  <c r="C1198" i="3"/>
  <c r="D1198" i="3"/>
  <c r="AH1198" i="3"/>
  <c r="C1199" i="3"/>
  <c r="D1199" i="3"/>
  <c r="AH1199" i="3"/>
  <c r="C1200" i="3"/>
  <c r="D1200" i="3"/>
  <c r="AH1200" i="3"/>
  <c r="C1201" i="3"/>
  <c r="D1201" i="3"/>
  <c r="AH1201" i="3"/>
  <c r="C1202" i="3"/>
  <c r="D1202" i="3"/>
  <c r="AH1202" i="3"/>
  <c r="C1203" i="3"/>
  <c r="D1203" i="3"/>
  <c r="AH1203" i="3"/>
  <c r="B1205" i="3"/>
  <c r="C1205" i="3"/>
  <c r="D1205" i="3"/>
  <c r="C1206" i="3"/>
  <c r="D1206" i="3"/>
  <c r="AH1206" i="3"/>
  <c r="C1207" i="3"/>
  <c r="D1207" i="3"/>
  <c r="AH1207" i="3"/>
  <c r="C1208" i="3"/>
  <c r="D1208" i="3"/>
  <c r="AH1208" i="3"/>
  <c r="C1209" i="3"/>
  <c r="D1209" i="3"/>
  <c r="AH1209" i="3"/>
  <c r="C1210" i="3"/>
  <c r="D1210" i="3"/>
  <c r="AH1210" i="3"/>
  <c r="C1211" i="3"/>
  <c r="D1211" i="3"/>
  <c r="AH1211" i="3"/>
  <c r="C1212" i="3"/>
  <c r="D1212" i="3"/>
  <c r="AH1212" i="3"/>
  <c r="C1213" i="3"/>
  <c r="D1213" i="3"/>
  <c r="AH1213" i="3"/>
  <c r="C1214" i="3"/>
  <c r="D1214" i="3"/>
  <c r="AH1214" i="3"/>
  <c r="C1215" i="3"/>
  <c r="D1215" i="3"/>
  <c r="AH1215" i="3"/>
  <c r="C1216" i="3"/>
  <c r="D1216" i="3"/>
  <c r="AH1216" i="3"/>
  <c r="C1217" i="3"/>
  <c r="D1217" i="3"/>
  <c r="AH1217" i="3"/>
  <c r="C1218" i="3"/>
  <c r="D1218" i="3"/>
  <c r="AH1218" i="3"/>
  <c r="C1219" i="3"/>
  <c r="D1219" i="3"/>
  <c r="AH1219" i="3"/>
  <c r="C1220" i="3"/>
  <c r="D1220" i="3"/>
  <c r="AH1220" i="3"/>
  <c r="C1221" i="3"/>
  <c r="D1221" i="3"/>
  <c r="AH1221" i="3"/>
  <c r="C1222" i="3"/>
  <c r="D1222" i="3"/>
  <c r="AH1222" i="3"/>
  <c r="C1223" i="3"/>
  <c r="D1223" i="3"/>
  <c r="AH1223" i="3"/>
  <c r="C1224" i="3"/>
  <c r="D1224" i="3"/>
  <c r="AH1224" i="3"/>
  <c r="C1225" i="3"/>
  <c r="D1225" i="3"/>
  <c r="AH1225" i="3"/>
  <c r="C1226" i="3"/>
  <c r="D1226" i="3"/>
  <c r="AH1226" i="3"/>
  <c r="C1227" i="3"/>
  <c r="D1227" i="3"/>
  <c r="AH1227" i="3"/>
  <c r="C1228" i="3"/>
  <c r="D1228" i="3"/>
  <c r="AH1228" i="3"/>
  <c r="C1229" i="3"/>
  <c r="D1229" i="3"/>
  <c r="AH1229" i="3"/>
  <c r="C1230" i="3"/>
  <c r="D1230" i="3"/>
  <c r="AH1230" i="3"/>
  <c r="C1231" i="3"/>
  <c r="D1231" i="3"/>
  <c r="AH1231" i="3"/>
  <c r="B1233" i="3"/>
  <c r="C1233" i="3"/>
  <c r="D1233" i="3"/>
  <c r="C1234" i="3"/>
  <c r="D1234" i="3"/>
  <c r="AH1234" i="3"/>
  <c r="C1235" i="3"/>
  <c r="D1235" i="3"/>
  <c r="AH1235" i="3"/>
  <c r="C1236" i="3"/>
  <c r="D1236" i="3"/>
  <c r="AH1236" i="3"/>
  <c r="C1237" i="3"/>
  <c r="D1237" i="3"/>
  <c r="AH1237" i="3"/>
  <c r="C1238" i="3"/>
  <c r="D1238" i="3"/>
  <c r="AH1238" i="3"/>
  <c r="C1239" i="3"/>
  <c r="D1239" i="3"/>
  <c r="AH1239" i="3"/>
  <c r="C1240" i="3"/>
  <c r="D1240" i="3"/>
  <c r="AH1240" i="3"/>
  <c r="C1241" i="3"/>
  <c r="D1241" i="3"/>
  <c r="AH1241" i="3"/>
  <c r="C1242" i="3"/>
  <c r="D1242" i="3"/>
  <c r="AH1242" i="3"/>
  <c r="C1243" i="3"/>
  <c r="D1243" i="3"/>
  <c r="AH1243" i="3"/>
  <c r="C1244" i="3"/>
  <c r="D1244" i="3"/>
  <c r="AH1244" i="3"/>
  <c r="C1245" i="3"/>
  <c r="D1245" i="3"/>
  <c r="AH1245" i="3"/>
  <c r="C1246" i="3"/>
  <c r="D1246" i="3"/>
  <c r="AH1246" i="3"/>
  <c r="C1247" i="3"/>
  <c r="D1247" i="3"/>
  <c r="AH1247" i="3"/>
  <c r="C1248" i="3"/>
  <c r="D1248" i="3"/>
  <c r="AH1248" i="3"/>
  <c r="C1249" i="3"/>
  <c r="D1249" i="3"/>
  <c r="AH1249" i="3"/>
  <c r="C1250" i="3"/>
  <c r="D1250" i="3"/>
  <c r="AH1250" i="3"/>
  <c r="C1251" i="3"/>
  <c r="D1251" i="3"/>
  <c r="AH1251" i="3"/>
  <c r="C1252" i="3"/>
  <c r="D1252" i="3"/>
  <c r="AH1252" i="3"/>
  <c r="C1253" i="3"/>
  <c r="D1253" i="3"/>
  <c r="AH1253" i="3"/>
  <c r="C1254" i="3"/>
  <c r="D1254" i="3"/>
  <c r="AH1254" i="3"/>
  <c r="C1255" i="3"/>
  <c r="D1255" i="3"/>
  <c r="AH1255" i="3"/>
  <c r="C1256" i="3"/>
  <c r="D1256" i="3"/>
  <c r="AH1256" i="3"/>
  <c r="C1257" i="3"/>
  <c r="D1257" i="3"/>
  <c r="AH1257" i="3"/>
  <c r="C1258" i="3"/>
  <c r="D1258" i="3"/>
  <c r="AH1258" i="3"/>
  <c r="C1259" i="3"/>
  <c r="D1259" i="3"/>
  <c r="AH1259" i="3"/>
  <c r="B1261" i="3"/>
  <c r="D1261" i="3"/>
  <c r="C1261" i="3"/>
  <c r="C1262" i="3"/>
  <c r="D1262" i="3"/>
  <c r="AH1262" i="3"/>
  <c r="C1263" i="3"/>
  <c r="D1263" i="3"/>
  <c r="AH1263" i="3"/>
  <c r="C1264" i="3"/>
  <c r="D1264" i="3"/>
  <c r="AH1264" i="3"/>
  <c r="C1265" i="3"/>
  <c r="D1265" i="3"/>
  <c r="AH1265" i="3"/>
  <c r="C1266" i="3"/>
  <c r="D1266" i="3"/>
  <c r="AH1266" i="3"/>
  <c r="C1267" i="3"/>
  <c r="D1267" i="3"/>
  <c r="AH1267" i="3"/>
  <c r="C1268" i="3"/>
  <c r="D1268" i="3"/>
  <c r="AH1268" i="3"/>
  <c r="C1269" i="3"/>
  <c r="D1269" i="3"/>
  <c r="AH1269" i="3"/>
  <c r="C1270" i="3"/>
  <c r="D1270" i="3"/>
  <c r="AH1270" i="3"/>
  <c r="C1271" i="3"/>
  <c r="D1271" i="3"/>
  <c r="AH1271" i="3"/>
  <c r="C1272" i="3"/>
  <c r="D1272" i="3"/>
  <c r="AH1272" i="3"/>
  <c r="C1273" i="3"/>
  <c r="D1273" i="3"/>
  <c r="AH1273" i="3"/>
  <c r="C1274" i="3"/>
  <c r="D1274" i="3"/>
  <c r="AH1274" i="3"/>
  <c r="C1275" i="3"/>
  <c r="D1275" i="3"/>
  <c r="AH1275" i="3"/>
  <c r="C1276" i="3"/>
  <c r="D1276" i="3"/>
  <c r="AH1276" i="3"/>
  <c r="C1277" i="3"/>
  <c r="D1277" i="3"/>
  <c r="AH1277" i="3"/>
  <c r="C1278" i="3"/>
  <c r="D1278" i="3"/>
  <c r="AH1278" i="3"/>
  <c r="C1279" i="3"/>
  <c r="D1279" i="3"/>
  <c r="AH1279" i="3"/>
  <c r="C1280" i="3"/>
  <c r="D1280" i="3"/>
  <c r="AH1280" i="3"/>
  <c r="C1281" i="3"/>
  <c r="D1281" i="3"/>
  <c r="AH1281" i="3"/>
  <c r="C1282" i="3"/>
  <c r="D1282" i="3"/>
  <c r="AH1282" i="3"/>
  <c r="C1283" i="3"/>
  <c r="D1283" i="3"/>
  <c r="AH1283" i="3"/>
  <c r="C1284" i="3"/>
  <c r="D1284" i="3"/>
  <c r="AH1284" i="3"/>
  <c r="C1285" i="3"/>
  <c r="D1285" i="3"/>
  <c r="AH1285" i="3"/>
  <c r="C1286" i="3"/>
  <c r="D1286" i="3"/>
  <c r="AH1286" i="3"/>
  <c r="C1287" i="3"/>
  <c r="D1287" i="3"/>
  <c r="AH1287" i="3"/>
  <c r="C1289" i="3"/>
  <c r="C1290" i="3"/>
  <c r="D1290" i="3"/>
  <c r="AH1290" i="3"/>
  <c r="C1291" i="3"/>
  <c r="D1291" i="3"/>
  <c r="AH1291" i="3"/>
  <c r="C1292" i="3"/>
  <c r="D1292" i="3"/>
  <c r="AH1292" i="3"/>
  <c r="C1293" i="3"/>
  <c r="D1293" i="3"/>
  <c r="AH1293" i="3"/>
  <c r="C1294" i="3"/>
  <c r="D1294" i="3"/>
  <c r="AH1294" i="3"/>
  <c r="C1295" i="3"/>
  <c r="D1295" i="3"/>
  <c r="AH1295" i="3"/>
  <c r="C1296" i="3"/>
  <c r="D1296" i="3"/>
  <c r="AH1296" i="3"/>
  <c r="C1297" i="3"/>
  <c r="D1297" i="3"/>
  <c r="AH1297" i="3"/>
  <c r="C1298" i="3"/>
  <c r="D1298" i="3"/>
  <c r="AH1298" i="3"/>
  <c r="C1299" i="3"/>
  <c r="D1299" i="3"/>
  <c r="AH1299" i="3"/>
  <c r="C1300" i="3"/>
  <c r="D1300" i="3"/>
  <c r="AH1300" i="3"/>
  <c r="C1301" i="3"/>
  <c r="D1301" i="3"/>
  <c r="AH1301" i="3"/>
  <c r="C1302" i="3"/>
  <c r="D1302" i="3"/>
  <c r="AH1302" i="3"/>
  <c r="C1303" i="3"/>
  <c r="D1303" i="3"/>
  <c r="AH1303" i="3"/>
  <c r="C1304" i="3"/>
  <c r="D1304" i="3"/>
  <c r="AH1304" i="3"/>
  <c r="C1305" i="3"/>
  <c r="D1305" i="3"/>
  <c r="AH1305" i="3"/>
  <c r="C1306" i="3"/>
  <c r="D1306" i="3"/>
  <c r="AH1306" i="3"/>
  <c r="C1307" i="3"/>
  <c r="D1307" i="3"/>
  <c r="AH1307" i="3"/>
  <c r="C1308" i="3"/>
  <c r="D1308" i="3"/>
  <c r="AH1308" i="3"/>
  <c r="C1309" i="3"/>
  <c r="D1309" i="3"/>
  <c r="AH1309" i="3"/>
  <c r="C1310" i="3"/>
  <c r="D1310" i="3"/>
  <c r="AH1310" i="3"/>
  <c r="C1311" i="3"/>
  <c r="D1311" i="3"/>
  <c r="AH1311" i="3"/>
  <c r="C1312" i="3"/>
  <c r="D1312" i="3"/>
  <c r="AH1312" i="3"/>
  <c r="C1313" i="3"/>
  <c r="D1313" i="3"/>
  <c r="AH1313" i="3"/>
  <c r="C1314" i="3"/>
  <c r="D1314" i="3"/>
  <c r="AH1314" i="3"/>
  <c r="C1315" i="3"/>
  <c r="D1315" i="3"/>
  <c r="AH1315" i="3"/>
  <c r="B1317" i="3"/>
  <c r="D1317" i="3"/>
  <c r="C1317" i="3"/>
  <c r="C1318" i="3"/>
  <c r="D1318" i="3"/>
  <c r="AH1318" i="3"/>
  <c r="C1319" i="3"/>
  <c r="D1319" i="3"/>
  <c r="AH1319" i="3"/>
  <c r="C1320" i="3"/>
  <c r="D1320" i="3"/>
  <c r="AH1320" i="3"/>
  <c r="C1321" i="3"/>
  <c r="D1321" i="3"/>
  <c r="AH1321" i="3"/>
  <c r="C1322" i="3"/>
  <c r="D1322" i="3"/>
  <c r="AH1322" i="3"/>
  <c r="C1323" i="3"/>
  <c r="D1323" i="3"/>
  <c r="AH1323" i="3"/>
  <c r="C1324" i="3"/>
  <c r="D1324" i="3"/>
  <c r="AH1324" i="3"/>
  <c r="C1325" i="3"/>
  <c r="D1325" i="3"/>
  <c r="AH1325" i="3"/>
  <c r="C1326" i="3"/>
  <c r="D1326" i="3"/>
  <c r="AH1326" i="3"/>
  <c r="C1327" i="3"/>
  <c r="D1327" i="3"/>
  <c r="AH1327" i="3"/>
  <c r="C1328" i="3"/>
  <c r="D1328" i="3"/>
  <c r="AH1328" i="3"/>
  <c r="C1329" i="3"/>
  <c r="D1329" i="3"/>
  <c r="AH1329" i="3"/>
  <c r="C1330" i="3"/>
  <c r="D1330" i="3"/>
  <c r="AH1330" i="3"/>
  <c r="C1331" i="3"/>
  <c r="D1331" i="3"/>
  <c r="AH1331" i="3"/>
  <c r="C1332" i="3"/>
  <c r="D1332" i="3"/>
  <c r="AH1332" i="3"/>
  <c r="C1333" i="3"/>
  <c r="D1333" i="3"/>
  <c r="AH1333" i="3"/>
  <c r="C1334" i="3"/>
  <c r="D1334" i="3"/>
  <c r="AH1334" i="3"/>
  <c r="C1335" i="3"/>
  <c r="D1335" i="3"/>
  <c r="AH1335" i="3"/>
  <c r="C1336" i="3"/>
  <c r="D1336" i="3"/>
  <c r="AH1336" i="3"/>
  <c r="C1337" i="3"/>
  <c r="D1337" i="3"/>
  <c r="AH1337" i="3"/>
  <c r="C1338" i="3"/>
  <c r="D1338" i="3"/>
  <c r="AH1338" i="3"/>
  <c r="C1339" i="3"/>
  <c r="D1339" i="3"/>
  <c r="AH1339" i="3"/>
  <c r="C1340" i="3"/>
  <c r="D1340" i="3"/>
  <c r="AH1340" i="3"/>
  <c r="C1341" i="3"/>
  <c r="D1341" i="3"/>
  <c r="AH1341" i="3"/>
  <c r="C1342" i="3"/>
  <c r="D1342" i="3"/>
  <c r="AH1342" i="3"/>
  <c r="C1343" i="3"/>
  <c r="D1343" i="3"/>
  <c r="AH1343" i="3"/>
  <c r="B1345" i="3"/>
  <c r="D1345" i="3"/>
  <c r="C1345" i="3"/>
  <c r="C1346" i="3"/>
  <c r="D1346" i="3"/>
  <c r="AH1346" i="3"/>
  <c r="C1347" i="3"/>
  <c r="D1347" i="3"/>
  <c r="AH1347" i="3"/>
  <c r="C1348" i="3"/>
  <c r="D1348" i="3"/>
  <c r="AH1348" i="3"/>
  <c r="C1349" i="3"/>
  <c r="D1349" i="3"/>
  <c r="AH1349" i="3"/>
  <c r="C1350" i="3"/>
  <c r="D1350" i="3"/>
  <c r="AH1350" i="3"/>
  <c r="C1351" i="3"/>
  <c r="D1351" i="3"/>
  <c r="AH1351" i="3"/>
  <c r="C1352" i="3"/>
  <c r="D1352" i="3"/>
  <c r="AH1352" i="3"/>
  <c r="C1353" i="3"/>
  <c r="D1353" i="3"/>
  <c r="AH1353" i="3"/>
  <c r="C1354" i="3"/>
  <c r="D1354" i="3"/>
  <c r="AH1354" i="3"/>
  <c r="C1355" i="3"/>
  <c r="D1355" i="3"/>
  <c r="AH1355" i="3"/>
  <c r="C1356" i="3"/>
  <c r="D1356" i="3"/>
  <c r="AH1356" i="3"/>
  <c r="C1357" i="3"/>
  <c r="D1357" i="3"/>
  <c r="AH1357" i="3"/>
  <c r="C1358" i="3"/>
  <c r="D1358" i="3"/>
  <c r="AH1358" i="3"/>
  <c r="C1359" i="3"/>
  <c r="D1359" i="3"/>
  <c r="AH1359" i="3"/>
  <c r="C1360" i="3"/>
  <c r="D1360" i="3"/>
  <c r="AH1360" i="3"/>
  <c r="C1361" i="3"/>
  <c r="D1361" i="3"/>
  <c r="AH1361" i="3"/>
  <c r="C1362" i="3"/>
  <c r="D1362" i="3"/>
  <c r="AH1362" i="3"/>
  <c r="C1363" i="3"/>
  <c r="D1363" i="3"/>
  <c r="AH1363" i="3"/>
  <c r="C1364" i="3"/>
  <c r="D1364" i="3"/>
  <c r="AH1364" i="3"/>
  <c r="C1365" i="3"/>
  <c r="D1365" i="3"/>
  <c r="AH1365" i="3"/>
  <c r="C1366" i="3"/>
  <c r="D1366" i="3"/>
  <c r="AH1366" i="3"/>
  <c r="C1367" i="3"/>
  <c r="D1367" i="3"/>
  <c r="AH1367" i="3"/>
  <c r="C1368" i="3"/>
  <c r="D1368" i="3"/>
  <c r="AH1368" i="3"/>
  <c r="C1369" i="3"/>
  <c r="D1369" i="3"/>
  <c r="AH1369" i="3"/>
  <c r="C1370" i="3"/>
  <c r="D1370" i="3"/>
  <c r="AH1370" i="3"/>
  <c r="E1371" i="3"/>
  <c r="C1371" i="3"/>
  <c r="D1371" i="3"/>
  <c r="AH1371" i="3"/>
  <c r="C1373" i="3"/>
  <c r="C1374" i="3"/>
  <c r="D1374" i="3"/>
  <c r="AH1374" i="3"/>
  <c r="C1375" i="3"/>
  <c r="D1375" i="3"/>
  <c r="AH1375" i="3"/>
  <c r="C1376" i="3"/>
  <c r="D1376" i="3"/>
  <c r="AH1376" i="3"/>
  <c r="C1377" i="3"/>
  <c r="D1377" i="3"/>
  <c r="AH1377" i="3"/>
  <c r="C1378" i="3"/>
  <c r="D1378" i="3"/>
  <c r="AH1378" i="3"/>
  <c r="C1379" i="3"/>
  <c r="D1379" i="3"/>
  <c r="AH1379" i="3"/>
  <c r="C1380" i="3"/>
  <c r="D1380" i="3"/>
  <c r="AH1380" i="3"/>
  <c r="C1381" i="3"/>
  <c r="D1381" i="3"/>
  <c r="AH1381" i="3"/>
  <c r="C1382" i="3"/>
  <c r="D1382" i="3"/>
  <c r="AH1382" i="3"/>
  <c r="C1383" i="3"/>
  <c r="AH1383" i="3"/>
  <c r="C1384" i="3"/>
  <c r="AH1384" i="3"/>
  <c r="C1385" i="3"/>
  <c r="AH1385" i="3"/>
  <c r="C1386" i="3"/>
  <c r="AH1386" i="3"/>
  <c r="C1387" i="3"/>
  <c r="AH1387" i="3"/>
  <c r="C1388" i="3"/>
  <c r="AH1388" i="3"/>
  <c r="C1389" i="3"/>
  <c r="AH1389" i="3"/>
  <c r="C1390" i="3"/>
  <c r="AH1390" i="3"/>
  <c r="C1391" i="3"/>
  <c r="D1391" i="3"/>
  <c r="AH1391" i="3"/>
  <c r="C1392" i="3"/>
  <c r="D1392" i="3"/>
  <c r="AH1392" i="3"/>
  <c r="C1393" i="3"/>
  <c r="D1393" i="3"/>
  <c r="AH1393" i="3"/>
  <c r="C1394" i="3"/>
  <c r="D1394" i="3"/>
  <c r="AH1394" i="3"/>
  <c r="C1395" i="3"/>
  <c r="D1395" i="3"/>
  <c r="AH1395" i="3"/>
  <c r="C1396" i="3"/>
  <c r="D1396" i="3"/>
  <c r="AH1396" i="3"/>
  <c r="C1397" i="3"/>
  <c r="D1397" i="3"/>
  <c r="AH1397" i="3"/>
  <c r="C1398" i="3"/>
  <c r="D1398" i="3"/>
  <c r="AH1398" i="3"/>
  <c r="C1399" i="3"/>
  <c r="D1399" i="3"/>
  <c r="AH1399" i="3"/>
  <c r="C1401" i="3"/>
  <c r="C1402" i="3"/>
  <c r="AH1402" i="3"/>
  <c r="C1403" i="3"/>
  <c r="D1403" i="3"/>
  <c r="AH1403" i="3"/>
  <c r="C1404" i="3"/>
  <c r="D1404" i="3"/>
  <c r="AH1404" i="3"/>
  <c r="C1405" i="3"/>
  <c r="D1405" i="3"/>
  <c r="AH1405" i="3"/>
  <c r="C1406" i="3"/>
  <c r="D1406" i="3"/>
  <c r="AH1406" i="3"/>
  <c r="C1407" i="3"/>
  <c r="D1407" i="3"/>
  <c r="AH1407" i="3"/>
  <c r="C1408" i="3"/>
  <c r="D1408" i="3"/>
  <c r="AH1408" i="3"/>
  <c r="C1409" i="3"/>
  <c r="D1409" i="3"/>
  <c r="AH1409" i="3"/>
  <c r="C1410" i="3"/>
  <c r="D1410" i="3"/>
  <c r="AH1410" i="3"/>
  <c r="C1411" i="3"/>
  <c r="D1411" i="3"/>
  <c r="AH1411" i="3"/>
  <c r="C1412" i="3"/>
  <c r="D1412" i="3"/>
  <c r="AH1412" i="3"/>
  <c r="C1413" i="3"/>
  <c r="D1413" i="3"/>
  <c r="AH1413" i="3"/>
  <c r="C1414" i="3"/>
  <c r="D1414" i="3"/>
  <c r="AH1414" i="3"/>
  <c r="C1415" i="3"/>
  <c r="D1415" i="3"/>
  <c r="AH1415" i="3"/>
  <c r="C1416" i="3"/>
  <c r="D1416" i="3"/>
  <c r="AH1416" i="3"/>
  <c r="C1417" i="3"/>
  <c r="D1417" i="3"/>
  <c r="AH1417" i="3"/>
  <c r="C1418" i="3"/>
  <c r="D1418" i="3"/>
  <c r="AH1418" i="3"/>
  <c r="C1419" i="3"/>
  <c r="D1419" i="3"/>
  <c r="AH1419" i="3"/>
  <c r="C1420" i="3"/>
  <c r="D1420" i="3"/>
  <c r="AH1420" i="3"/>
  <c r="C1421" i="3"/>
  <c r="D1421" i="3"/>
  <c r="AH1421" i="3"/>
  <c r="C1422" i="3"/>
  <c r="D1422" i="3"/>
  <c r="AH1422" i="3"/>
  <c r="C1423" i="3"/>
  <c r="D1423" i="3"/>
  <c r="AH1423" i="3"/>
  <c r="C1424" i="3"/>
  <c r="D1424" i="3"/>
  <c r="AH1424" i="3"/>
  <c r="C1425" i="3"/>
  <c r="D1425" i="3"/>
  <c r="E1425" i="3"/>
  <c r="AH1425" i="3"/>
  <c r="E1426" i="3"/>
  <c r="C1426" i="3"/>
  <c r="D1426" i="3"/>
  <c r="AH1426" i="3"/>
  <c r="C1427" i="3"/>
  <c r="D1427" i="3"/>
  <c r="E1427" i="3"/>
  <c r="AH1427" i="3"/>
  <c r="B1429" i="3"/>
  <c r="C1429" i="3"/>
  <c r="D1429" i="3"/>
  <c r="C1430" i="3"/>
  <c r="D1430" i="3"/>
  <c r="AH1430" i="3"/>
  <c r="C1431" i="3"/>
  <c r="D1431" i="3"/>
  <c r="AH1431" i="3"/>
  <c r="C1432" i="3"/>
  <c r="D1432" i="3"/>
  <c r="AH1432" i="3"/>
  <c r="C1433" i="3"/>
  <c r="D1433" i="3"/>
  <c r="AH1433" i="3"/>
  <c r="C1434" i="3"/>
  <c r="D1434" i="3"/>
  <c r="AH1434" i="3"/>
  <c r="C1435" i="3"/>
  <c r="D1435" i="3"/>
  <c r="AH1435" i="3"/>
  <c r="C1436" i="3"/>
  <c r="D1436" i="3"/>
  <c r="AH1436" i="3"/>
  <c r="C1437" i="3"/>
  <c r="D1437" i="3"/>
  <c r="AH1437" i="3"/>
  <c r="C1438" i="3"/>
  <c r="D1438" i="3"/>
  <c r="AH1438" i="3"/>
  <c r="C1439" i="3"/>
  <c r="D1439" i="3"/>
  <c r="AH1439" i="3"/>
  <c r="C1440" i="3"/>
  <c r="D1440" i="3"/>
  <c r="AH1440" i="3"/>
  <c r="C1441" i="3"/>
  <c r="D1441" i="3"/>
  <c r="AH1441" i="3"/>
  <c r="C1442" i="3"/>
  <c r="D1442" i="3"/>
  <c r="AH1442" i="3"/>
  <c r="C1443" i="3"/>
  <c r="D1443" i="3"/>
  <c r="AH1443" i="3"/>
  <c r="C1444" i="3"/>
  <c r="D1444" i="3"/>
  <c r="AH1444" i="3"/>
  <c r="C1445" i="3"/>
  <c r="D1445" i="3"/>
  <c r="AH1445" i="3"/>
  <c r="C1446" i="3"/>
  <c r="D1446" i="3"/>
  <c r="AH1446" i="3"/>
  <c r="C1447" i="3"/>
  <c r="D1447" i="3"/>
  <c r="AH1447" i="3"/>
  <c r="C1448" i="3"/>
  <c r="D1448" i="3"/>
  <c r="AH1448" i="3"/>
  <c r="C1449" i="3"/>
  <c r="D1449" i="3"/>
  <c r="AH1449" i="3"/>
  <c r="C1450" i="3"/>
  <c r="D1450" i="3"/>
  <c r="AH1450" i="3"/>
  <c r="C1451" i="3"/>
  <c r="D1451" i="3"/>
  <c r="AH1451" i="3"/>
  <c r="C1452" i="3"/>
  <c r="D1452" i="3"/>
  <c r="AH1452" i="3"/>
  <c r="C1453" i="3"/>
  <c r="D1453" i="3"/>
  <c r="AH1453" i="3"/>
  <c r="C1454" i="3"/>
  <c r="D1454" i="3"/>
  <c r="AH1454" i="3"/>
  <c r="C1455" i="3"/>
  <c r="D1455" i="3"/>
  <c r="AH1455" i="3"/>
  <c r="B1457" i="3"/>
  <c r="D1457" i="3"/>
  <c r="C1457" i="3"/>
  <c r="C1458" i="3"/>
  <c r="D1458" i="3"/>
  <c r="AH1458" i="3"/>
  <c r="C1459" i="3"/>
  <c r="D1459" i="3"/>
  <c r="AH1459" i="3"/>
  <c r="C1460" i="3"/>
  <c r="D1460" i="3"/>
  <c r="AH1460" i="3"/>
  <c r="C1461" i="3"/>
  <c r="D1461" i="3"/>
  <c r="AH1461" i="3"/>
  <c r="C1462" i="3"/>
  <c r="D1462" i="3"/>
  <c r="AH1462" i="3"/>
  <c r="C1463" i="3"/>
  <c r="D1463" i="3"/>
  <c r="AH1463" i="3"/>
  <c r="C1464" i="3"/>
  <c r="D1464" i="3"/>
  <c r="AH1464" i="3"/>
  <c r="C1465" i="3"/>
  <c r="D1465" i="3"/>
  <c r="AH1465" i="3"/>
  <c r="C1466" i="3"/>
  <c r="D1466" i="3"/>
  <c r="AH1466" i="3"/>
  <c r="C1467" i="3"/>
  <c r="D1467" i="3"/>
  <c r="AH1467" i="3"/>
  <c r="C1468" i="3"/>
  <c r="D1468" i="3"/>
  <c r="AH1468" i="3"/>
  <c r="C1469" i="3"/>
  <c r="D1469" i="3"/>
  <c r="AH1469" i="3"/>
  <c r="C1470" i="3"/>
  <c r="D1470" i="3"/>
  <c r="AH1470" i="3"/>
  <c r="C1471" i="3"/>
  <c r="D1471" i="3"/>
  <c r="AH1471" i="3"/>
  <c r="C1472" i="3"/>
  <c r="D1472" i="3"/>
  <c r="AH1472" i="3"/>
  <c r="C1473" i="3"/>
  <c r="D1473" i="3"/>
  <c r="AH1473" i="3"/>
  <c r="C1474" i="3"/>
  <c r="D1474" i="3"/>
  <c r="AH1474" i="3"/>
  <c r="C1475" i="3"/>
  <c r="D1475" i="3"/>
  <c r="AH1475" i="3"/>
  <c r="C1476" i="3"/>
  <c r="D1476" i="3"/>
  <c r="AH1476" i="3"/>
  <c r="C1477" i="3"/>
  <c r="D1477" i="3"/>
  <c r="AH1477" i="3"/>
  <c r="C1478" i="3"/>
  <c r="D1478" i="3"/>
  <c r="AH1478" i="3"/>
  <c r="C1479" i="3"/>
  <c r="D1479" i="3"/>
  <c r="AH1479" i="3"/>
  <c r="C1480" i="3"/>
  <c r="D1480" i="3"/>
  <c r="AH1480" i="3"/>
  <c r="C1481" i="3"/>
  <c r="D1481" i="3"/>
  <c r="AH1481" i="3"/>
  <c r="C1482" i="3"/>
  <c r="D1482" i="3"/>
  <c r="AH1482" i="3"/>
  <c r="C1483" i="3"/>
  <c r="D1483" i="3"/>
  <c r="AH1483" i="3"/>
  <c r="B1485" i="3"/>
  <c r="D1485" i="3"/>
  <c r="C1485" i="3"/>
  <c r="C1486" i="3"/>
  <c r="D1486" i="3"/>
  <c r="AH1486" i="3"/>
  <c r="C1487" i="3"/>
  <c r="D1487" i="3"/>
  <c r="AH1487" i="3"/>
  <c r="C1488" i="3"/>
  <c r="D1488" i="3"/>
  <c r="AH1488" i="3"/>
  <c r="C1489" i="3"/>
  <c r="D1489" i="3"/>
  <c r="AH1489" i="3"/>
  <c r="C1490" i="3"/>
  <c r="D1490" i="3"/>
  <c r="AH1490" i="3"/>
  <c r="C1491" i="3"/>
  <c r="D1491" i="3"/>
  <c r="AH1491" i="3"/>
  <c r="C1492" i="3"/>
  <c r="D1492" i="3"/>
  <c r="AH1492" i="3"/>
  <c r="C1493" i="3"/>
  <c r="D1493" i="3"/>
  <c r="AH1493" i="3"/>
  <c r="C1494" i="3"/>
  <c r="D1494" i="3"/>
  <c r="AH1494" i="3"/>
  <c r="C1495" i="3"/>
  <c r="D1495" i="3"/>
  <c r="AH1495" i="3"/>
  <c r="C1496" i="3"/>
  <c r="D1496" i="3"/>
  <c r="AH1496" i="3"/>
  <c r="C1497" i="3"/>
  <c r="AH1497" i="3"/>
  <c r="C1498" i="3"/>
  <c r="D1498" i="3"/>
  <c r="AH1498" i="3"/>
  <c r="C1499" i="3"/>
  <c r="D1499" i="3"/>
  <c r="AH1499" i="3"/>
  <c r="C1500" i="3"/>
  <c r="D1500" i="3"/>
  <c r="AH1500" i="3"/>
  <c r="C1501" i="3"/>
  <c r="D1501" i="3"/>
  <c r="AH1501" i="3"/>
  <c r="C1502" i="3"/>
  <c r="D1502" i="3"/>
  <c r="AH1502" i="3"/>
  <c r="C1503" i="3"/>
  <c r="D1503" i="3"/>
  <c r="AH1503" i="3"/>
  <c r="C1504" i="3"/>
  <c r="D1504" i="3"/>
  <c r="AH1504" i="3"/>
  <c r="C1505" i="3"/>
  <c r="D1505" i="3"/>
  <c r="AH1505" i="3"/>
  <c r="C1506" i="3"/>
  <c r="D1506" i="3"/>
  <c r="AH1506" i="3"/>
  <c r="C1507" i="3"/>
  <c r="D1507" i="3"/>
  <c r="AH1507" i="3"/>
  <c r="C1508" i="3"/>
  <c r="D1508" i="3"/>
  <c r="AH1508" i="3"/>
  <c r="C1509" i="3"/>
  <c r="D1509" i="3"/>
  <c r="AH1509" i="3"/>
  <c r="C1510" i="3"/>
  <c r="D1510" i="3"/>
  <c r="AH1510" i="3"/>
  <c r="C1511" i="3"/>
  <c r="D1511" i="3"/>
  <c r="AH1511" i="3"/>
  <c r="C1513" i="3"/>
  <c r="E1514" i="3"/>
  <c r="C1514" i="3"/>
  <c r="D1514" i="3"/>
  <c r="AH1514" i="3"/>
  <c r="C1515" i="3"/>
  <c r="D1515" i="3"/>
  <c r="E1515" i="3"/>
  <c r="AH1515" i="3"/>
  <c r="E1516" i="3"/>
  <c r="C1516" i="3"/>
  <c r="D1516" i="3"/>
  <c r="AH1516" i="3"/>
  <c r="C1517" i="3"/>
  <c r="D1517" i="3"/>
  <c r="E1517" i="3"/>
  <c r="AH1517" i="3"/>
  <c r="E1518" i="3"/>
  <c r="C1518" i="3"/>
  <c r="D1518" i="3"/>
  <c r="AH1518" i="3"/>
  <c r="C1519" i="3"/>
  <c r="D1519" i="3"/>
  <c r="E1519" i="3"/>
  <c r="AH1519" i="3"/>
  <c r="E1520" i="3"/>
  <c r="C1520" i="3"/>
  <c r="D1520" i="3"/>
  <c r="AH1520" i="3"/>
  <c r="C1521" i="3"/>
  <c r="D1521" i="3"/>
  <c r="E1521" i="3"/>
  <c r="AH1521" i="3"/>
  <c r="E1522" i="3"/>
  <c r="C1522" i="3"/>
  <c r="D1522" i="3"/>
  <c r="AH1522" i="3"/>
  <c r="C1523" i="3"/>
  <c r="D1523" i="3"/>
  <c r="E1523" i="3"/>
  <c r="AH1523" i="3"/>
  <c r="E1524" i="3"/>
  <c r="C1524" i="3"/>
  <c r="D1524" i="3"/>
  <c r="AH1524" i="3"/>
  <c r="C1525" i="3"/>
  <c r="D1525" i="3"/>
  <c r="E1525" i="3"/>
  <c r="AH1525" i="3"/>
  <c r="E1526" i="3"/>
  <c r="C1526" i="3"/>
  <c r="D1526" i="3"/>
  <c r="AH1526" i="3"/>
  <c r="C1527" i="3"/>
  <c r="D1527" i="3"/>
  <c r="E1527" i="3"/>
  <c r="AH1527" i="3"/>
  <c r="E1528" i="3"/>
  <c r="C1528" i="3"/>
  <c r="D1528" i="3"/>
  <c r="AH1528" i="3"/>
  <c r="C1529" i="3"/>
  <c r="D1529" i="3"/>
  <c r="E1529" i="3"/>
  <c r="AH1529" i="3"/>
  <c r="E1530" i="3"/>
  <c r="C1530" i="3"/>
  <c r="D1530" i="3"/>
  <c r="AH1530" i="3"/>
  <c r="C1531" i="3"/>
  <c r="D1531" i="3"/>
  <c r="E1531" i="3"/>
  <c r="AH1531" i="3"/>
  <c r="E1532" i="3"/>
  <c r="C1532" i="3"/>
  <c r="D1532" i="3"/>
  <c r="AH1532" i="3"/>
  <c r="C1533" i="3"/>
  <c r="D1533" i="3"/>
  <c r="E1533" i="3"/>
  <c r="AH1533" i="3"/>
  <c r="E1534" i="3"/>
  <c r="C1534" i="3"/>
  <c r="D1534" i="3"/>
  <c r="AH1534" i="3"/>
  <c r="C1535" i="3"/>
  <c r="D1535" i="3"/>
  <c r="E1535" i="3"/>
  <c r="AH1535" i="3"/>
  <c r="E1536" i="3"/>
  <c r="C1536" i="3"/>
  <c r="D1536" i="3"/>
  <c r="AH1536" i="3"/>
  <c r="C1537" i="3"/>
  <c r="D1537" i="3"/>
  <c r="E1537" i="3"/>
  <c r="AH1537" i="3"/>
  <c r="E1538" i="3"/>
  <c r="C1538" i="3"/>
  <c r="D1538" i="3"/>
  <c r="AH1538" i="3"/>
  <c r="C1539" i="3"/>
  <c r="D1539" i="3"/>
  <c r="E1539" i="3"/>
  <c r="AH1539" i="3"/>
  <c r="B1541" i="3"/>
  <c r="D1541" i="3"/>
  <c r="C1541" i="3"/>
  <c r="C1542" i="3"/>
  <c r="D1542" i="3"/>
  <c r="AH1542" i="3"/>
  <c r="C1543" i="3"/>
  <c r="D1543" i="3"/>
  <c r="AH1543" i="3"/>
  <c r="C1544" i="3"/>
  <c r="D1544" i="3"/>
  <c r="AH1544" i="3"/>
  <c r="C1545" i="3"/>
  <c r="D1545" i="3"/>
  <c r="AH1545" i="3"/>
  <c r="C1546" i="3"/>
  <c r="D1546" i="3"/>
  <c r="AH1546" i="3"/>
  <c r="C1547" i="3"/>
  <c r="D1547" i="3"/>
  <c r="AH1547" i="3"/>
  <c r="C1548" i="3"/>
  <c r="D1548" i="3"/>
  <c r="AH1548" i="3"/>
  <c r="C1549" i="3"/>
  <c r="D1549" i="3"/>
  <c r="AH1549" i="3"/>
  <c r="C1550" i="3"/>
  <c r="D1550" i="3"/>
  <c r="AH1550" i="3"/>
  <c r="C1551" i="3"/>
  <c r="D1551" i="3"/>
  <c r="AH1551" i="3"/>
  <c r="C1552" i="3"/>
  <c r="D1552" i="3"/>
  <c r="AH1552" i="3"/>
  <c r="C1553" i="3"/>
  <c r="D1553" i="3"/>
  <c r="AH1553" i="3"/>
  <c r="C1554" i="3"/>
  <c r="D1554" i="3"/>
  <c r="AH1554" i="3"/>
  <c r="C1555" i="3"/>
  <c r="D1555" i="3"/>
  <c r="AH1555" i="3"/>
  <c r="C1556" i="3"/>
  <c r="D1556" i="3"/>
  <c r="AH1556" i="3"/>
  <c r="C1557" i="3"/>
  <c r="D1557" i="3"/>
  <c r="AH1557" i="3"/>
  <c r="C1558" i="3"/>
  <c r="D1558" i="3"/>
  <c r="AH1558" i="3"/>
  <c r="C1559" i="3"/>
  <c r="D1559" i="3"/>
  <c r="AH1559" i="3"/>
  <c r="C1560" i="3"/>
  <c r="D1560" i="3"/>
  <c r="AH1560" i="3"/>
  <c r="E1561" i="3"/>
  <c r="C1561" i="3"/>
  <c r="D1561" i="3"/>
  <c r="AH1561" i="3"/>
  <c r="C1562" i="3"/>
  <c r="D1562" i="3"/>
  <c r="E1562" i="3"/>
  <c r="AH1562" i="3"/>
  <c r="E1563" i="3"/>
  <c r="C1563" i="3"/>
  <c r="D1563" i="3"/>
  <c r="AH1563" i="3"/>
  <c r="C1564" i="3"/>
  <c r="D1564" i="3"/>
  <c r="E1564" i="3"/>
  <c r="AH1564" i="3"/>
  <c r="E1565" i="3"/>
  <c r="C1565" i="3"/>
  <c r="D1565" i="3"/>
  <c r="AH1565" i="3"/>
  <c r="C1566" i="3"/>
  <c r="D1566" i="3"/>
  <c r="E1566" i="3"/>
  <c r="AH1566" i="3"/>
  <c r="E1567" i="3"/>
  <c r="C1567" i="3"/>
  <c r="D1567" i="3"/>
  <c r="AH1567" i="3"/>
  <c r="D1569" i="3"/>
  <c r="C1569" i="3"/>
  <c r="C1570" i="3"/>
  <c r="D1570" i="3"/>
  <c r="AH1570" i="3"/>
  <c r="C1571" i="3"/>
  <c r="D1571" i="3"/>
  <c r="AH1571" i="3"/>
  <c r="C1572" i="3"/>
  <c r="D1572" i="3"/>
  <c r="AH1572" i="3"/>
  <c r="C1573" i="3"/>
  <c r="D1573" i="3"/>
  <c r="AH1573" i="3"/>
  <c r="C1574" i="3"/>
  <c r="D1574" i="3"/>
  <c r="AH1574" i="3"/>
  <c r="C1575" i="3"/>
  <c r="D1575" i="3"/>
  <c r="AH1575" i="3"/>
  <c r="C1576" i="3"/>
  <c r="D1576" i="3"/>
  <c r="AH1576" i="3"/>
  <c r="C1577" i="3"/>
  <c r="D1577" i="3"/>
  <c r="AH1577" i="3"/>
  <c r="C1578" i="3"/>
  <c r="D1578" i="3"/>
  <c r="AH1578" i="3"/>
  <c r="C1579" i="3"/>
  <c r="D1579" i="3"/>
  <c r="AH1579" i="3"/>
  <c r="C1580" i="3"/>
  <c r="D1580" i="3"/>
  <c r="AH1580" i="3"/>
  <c r="C1581" i="3"/>
  <c r="D1581" i="3"/>
  <c r="AH1581" i="3"/>
  <c r="C1582" i="3"/>
  <c r="D1582" i="3"/>
  <c r="AH1582" i="3"/>
  <c r="C1583" i="3"/>
  <c r="D1583" i="3"/>
  <c r="AH1583" i="3"/>
  <c r="C1584" i="3"/>
  <c r="D1584" i="3"/>
  <c r="AH1584" i="3"/>
  <c r="C1585" i="3"/>
  <c r="D1585" i="3"/>
  <c r="AH1585" i="3"/>
  <c r="C1586" i="3"/>
  <c r="AH1586" i="3"/>
  <c r="C1587" i="3"/>
  <c r="D1587" i="3"/>
  <c r="AH1587" i="3"/>
  <c r="C1588" i="3"/>
  <c r="D1588" i="3"/>
  <c r="AH1588" i="3"/>
  <c r="C1589" i="3"/>
  <c r="D1589" i="3"/>
  <c r="AH1589" i="3"/>
  <c r="C1590" i="3"/>
  <c r="D1590" i="3"/>
  <c r="AH1590" i="3"/>
  <c r="C1591" i="3"/>
  <c r="D1591" i="3"/>
  <c r="AH1591" i="3"/>
  <c r="C1592" i="3"/>
  <c r="D1592" i="3"/>
  <c r="AH1592" i="3"/>
  <c r="C1593" i="3"/>
  <c r="D1593" i="3"/>
  <c r="AH1593" i="3"/>
  <c r="C1594" i="3"/>
  <c r="D1594" i="3"/>
  <c r="AH1594" i="3"/>
  <c r="C1595" i="3"/>
  <c r="D1595" i="3"/>
  <c r="AH1595" i="3"/>
  <c r="C1597" i="3"/>
  <c r="C1598" i="3"/>
  <c r="D1598" i="3"/>
  <c r="AH1598" i="3"/>
  <c r="C1599" i="3"/>
  <c r="D1599" i="3"/>
  <c r="AH1599" i="3"/>
  <c r="C1600" i="3"/>
  <c r="D1600" i="3"/>
  <c r="AH1600" i="3"/>
  <c r="C1601" i="3"/>
  <c r="D1601" i="3"/>
  <c r="AH1601" i="3"/>
  <c r="C1602" i="3"/>
  <c r="D1602" i="3"/>
  <c r="AH1602" i="3"/>
  <c r="C1603" i="3"/>
  <c r="D1603" i="3"/>
  <c r="AH1603" i="3"/>
  <c r="C1604" i="3"/>
  <c r="D1604" i="3"/>
  <c r="AH1604" i="3"/>
  <c r="C1605" i="3"/>
  <c r="D1605" i="3"/>
  <c r="AH1605" i="3"/>
  <c r="C1606" i="3"/>
  <c r="D1606" i="3"/>
  <c r="AH1606" i="3"/>
  <c r="C1607" i="3"/>
  <c r="D1607" i="3"/>
  <c r="AH1607" i="3"/>
  <c r="C1608" i="3"/>
  <c r="D1608" i="3"/>
  <c r="AH1608" i="3"/>
  <c r="C1609" i="3"/>
  <c r="D1609" i="3"/>
  <c r="AH1609" i="3"/>
  <c r="C1610" i="3"/>
  <c r="D1610" i="3"/>
  <c r="AH1610" i="3"/>
  <c r="C1611" i="3"/>
  <c r="D1611" i="3"/>
  <c r="AH1611" i="3"/>
  <c r="C1612" i="3"/>
  <c r="D1612" i="3"/>
  <c r="AH1612" i="3"/>
  <c r="C1613" i="3"/>
  <c r="D1613" i="3"/>
  <c r="AH1613" i="3"/>
  <c r="C1614" i="3"/>
  <c r="D1614" i="3"/>
  <c r="AH1614" i="3"/>
  <c r="C1615" i="3"/>
  <c r="D1615" i="3"/>
  <c r="AH1615" i="3"/>
  <c r="C1616" i="3"/>
  <c r="D1616" i="3"/>
  <c r="AH1616" i="3"/>
  <c r="C1617" i="3"/>
  <c r="D1617" i="3"/>
  <c r="AH1617" i="3"/>
  <c r="C1618" i="3"/>
  <c r="D1618" i="3"/>
  <c r="AH1618" i="3"/>
  <c r="C1619" i="3"/>
  <c r="D1619" i="3"/>
  <c r="AH1619" i="3"/>
  <c r="C1620" i="3"/>
  <c r="D1620" i="3"/>
  <c r="AH1620" i="3"/>
  <c r="C1621" i="3"/>
  <c r="D1621" i="3"/>
  <c r="AH1621" i="3"/>
  <c r="C1622" i="3"/>
  <c r="D1622" i="3"/>
  <c r="AH1622" i="3"/>
  <c r="C1623" i="3"/>
  <c r="D1623" i="3"/>
  <c r="E1623" i="3"/>
  <c r="AH1623" i="3"/>
  <c r="C1625" i="3"/>
  <c r="C1626" i="3"/>
  <c r="D1626" i="3"/>
  <c r="AH1626" i="3"/>
  <c r="C1627" i="3"/>
  <c r="D1627" i="3"/>
  <c r="AH1627" i="3"/>
  <c r="C1628" i="3"/>
  <c r="D1628" i="3"/>
  <c r="AH1628" i="3"/>
  <c r="C1629" i="3"/>
  <c r="D1629" i="3"/>
  <c r="AH1629" i="3"/>
  <c r="C1630" i="3"/>
  <c r="D1630" i="3"/>
  <c r="AH1630" i="3"/>
  <c r="C1631" i="3"/>
  <c r="D1631" i="3"/>
  <c r="AH1631" i="3"/>
  <c r="C1632" i="3"/>
  <c r="D1632" i="3"/>
  <c r="AH1632" i="3"/>
  <c r="C1633" i="3"/>
  <c r="D1633" i="3"/>
  <c r="AH1633" i="3"/>
  <c r="C1634" i="3"/>
  <c r="D1634" i="3"/>
  <c r="AH1634" i="3"/>
  <c r="C1635" i="3"/>
  <c r="D1635" i="3"/>
  <c r="AH1635" i="3"/>
  <c r="C1636" i="3"/>
  <c r="D1636" i="3"/>
  <c r="AH1636" i="3"/>
  <c r="C1637" i="3"/>
  <c r="D1637" i="3"/>
  <c r="AH1637" i="3"/>
  <c r="C1638" i="3"/>
  <c r="D1638" i="3"/>
  <c r="AH1638" i="3"/>
  <c r="C1639" i="3"/>
  <c r="D1639" i="3"/>
  <c r="AH1639" i="3"/>
  <c r="C1640" i="3"/>
  <c r="D1640" i="3"/>
  <c r="AH1640" i="3"/>
  <c r="E1641" i="3"/>
  <c r="C1641" i="3"/>
  <c r="D1641" i="3"/>
  <c r="AH1641" i="3"/>
  <c r="C1642" i="3"/>
  <c r="D1642" i="3"/>
  <c r="E1642" i="3"/>
  <c r="AH1642" i="3"/>
  <c r="E1643" i="3"/>
  <c r="C1643" i="3"/>
  <c r="D1643" i="3"/>
  <c r="AH1643" i="3"/>
  <c r="C1644" i="3"/>
  <c r="D1644" i="3"/>
  <c r="E1644" i="3"/>
  <c r="AH1644" i="3"/>
  <c r="E1645" i="3"/>
  <c r="C1645" i="3"/>
  <c r="D1645" i="3"/>
  <c r="AH1645" i="3"/>
  <c r="C1646" i="3"/>
  <c r="D1646" i="3"/>
  <c r="E1646" i="3"/>
  <c r="AH1646" i="3"/>
  <c r="E1647" i="3"/>
  <c r="C1647" i="3"/>
  <c r="D1647" i="3"/>
  <c r="AH1647" i="3"/>
  <c r="C1648" i="3"/>
  <c r="D1648" i="3"/>
  <c r="E1648" i="3"/>
  <c r="AH1648" i="3"/>
  <c r="E1649" i="3"/>
  <c r="C1649" i="3"/>
  <c r="D1649" i="3"/>
  <c r="AH1649" i="3"/>
  <c r="C1650" i="3"/>
  <c r="D1650" i="3"/>
  <c r="E1650" i="3"/>
  <c r="AH1650" i="3"/>
  <c r="E1651" i="3"/>
  <c r="C1651" i="3"/>
  <c r="D1651" i="3"/>
  <c r="AH1651" i="3"/>
  <c r="B1653" i="3"/>
  <c r="C1653" i="3"/>
  <c r="D1653" i="3"/>
  <c r="C1654" i="3"/>
  <c r="D1654" i="3"/>
  <c r="AH1654" i="3"/>
  <c r="C1655" i="3"/>
  <c r="D1655" i="3"/>
  <c r="AH1655" i="3"/>
  <c r="C1656" i="3"/>
  <c r="D1656" i="3"/>
  <c r="AH1656" i="3"/>
  <c r="C1657" i="3"/>
  <c r="D1657" i="3"/>
  <c r="AH1657" i="3"/>
  <c r="C1658" i="3"/>
  <c r="D1658" i="3"/>
  <c r="AH1658" i="3"/>
  <c r="C1659" i="3"/>
  <c r="D1659" i="3"/>
  <c r="AH1659" i="3"/>
  <c r="C1660" i="3"/>
  <c r="D1660" i="3"/>
  <c r="AH1660" i="3"/>
  <c r="C1661" i="3"/>
  <c r="D1661" i="3"/>
  <c r="AH1661" i="3"/>
  <c r="C1662" i="3"/>
  <c r="D1662" i="3"/>
  <c r="AH1662" i="3"/>
  <c r="C1663" i="3"/>
  <c r="D1663" i="3"/>
  <c r="AH1663" i="3"/>
  <c r="C1664" i="3"/>
  <c r="D1664" i="3"/>
  <c r="AH1664" i="3"/>
  <c r="C1665" i="3"/>
  <c r="D1665" i="3"/>
  <c r="AH1665" i="3"/>
  <c r="C1666" i="3"/>
  <c r="D1666" i="3"/>
  <c r="AH1666" i="3"/>
  <c r="C1667" i="3"/>
  <c r="D1667" i="3"/>
  <c r="AH1667" i="3"/>
  <c r="C1668" i="3"/>
  <c r="D1668" i="3"/>
  <c r="AH1668" i="3"/>
  <c r="C1669" i="3"/>
  <c r="D1669" i="3"/>
  <c r="AH1669" i="3"/>
  <c r="C1670" i="3"/>
  <c r="D1670" i="3"/>
  <c r="AH1670" i="3"/>
  <c r="C1671" i="3"/>
  <c r="D1671" i="3"/>
  <c r="AH1671" i="3"/>
  <c r="C1672" i="3"/>
  <c r="D1672" i="3"/>
  <c r="AH1672" i="3"/>
  <c r="E1673" i="3"/>
  <c r="C1673" i="3"/>
  <c r="D1673" i="3"/>
  <c r="AH1673" i="3"/>
  <c r="C1674" i="3"/>
  <c r="D1674" i="3"/>
  <c r="E1674" i="3"/>
  <c r="AH1674" i="3"/>
  <c r="E1675" i="3"/>
  <c r="C1675" i="3"/>
  <c r="D1675" i="3"/>
  <c r="AH1675" i="3"/>
  <c r="C1676" i="3"/>
  <c r="D1676" i="3"/>
  <c r="E1676" i="3"/>
  <c r="AH1676" i="3"/>
  <c r="E1677" i="3"/>
  <c r="C1677" i="3"/>
  <c r="D1677" i="3"/>
  <c r="AH1677" i="3"/>
  <c r="C1678" i="3"/>
  <c r="D1678" i="3"/>
  <c r="E1678" i="3"/>
  <c r="AH1678" i="3"/>
  <c r="E1679" i="3"/>
  <c r="C1679" i="3"/>
  <c r="D1679" i="3"/>
  <c r="AH1679" i="3"/>
  <c r="B1681" i="3"/>
  <c r="D1681" i="3"/>
  <c r="C1681" i="3"/>
  <c r="C1682" i="3"/>
  <c r="D1682" i="3"/>
  <c r="AH1682" i="3"/>
  <c r="C1683" i="3"/>
  <c r="D1683" i="3"/>
  <c r="AH1683" i="3"/>
  <c r="C1684" i="3"/>
  <c r="D1684" i="3"/>
  <c r="AH1684" i="3"/>
  <c r="C1685" i="3"/>
  <c r="D1685" i="3"/>
  <c r="AH1685" i="3"/>
  <c r="C1686" i="3"/>
  <c r="D1686" i="3"/>
  <c r="AH1686" i="3"/>
  <c r="C1687" i="3"/>
  <c r="D1687" i="3"/>
  <c r="AH1687" i="3"/>
  <c r="C1688" i="3"/>
  <c r="D1688" i="3"/>
  <c r="AH1688" i="3"/>
  <c r="C1689" i="3"/>
  <c r="D1689" i="3"/>
  <c r="AH1689" i="3"/>
  <c r="C1690" i="3"/>
  <c r="D1690" i="3"/>
  <c r="AH1690" i="3"/>
  <c r="C1691" i="3"/>
  <c r="D1691" i="3"/>
  <c r="AH1691" i="3"/>
  <c r="C1692" i="3"/>
  <c r="D1692" i="3"/>
  <c r="AH1692" i="3"/>
  <c r="C1693" i="3"/>
  <c r="D1693" i="3"/>
  <c r="AH1693" i="3"/>
  <c r="C1694" i="3"/>
  <c r="D1694" i="3"/>
  <c r="AH1694" i="3"/>
  <c r="C1695" i="3"/>
  <c r="D1695" i="3"/>
  <c r="AH1695" i="3"/>
  <c r="C1696" i="3"/>
  <c r="D1696" i="3"/>
  <c r="AH1696" i="3"/>
  <c r="C1697" i="3"/>
  <c r="D1697" i="3"/>
  <c r="AH1697" i="3"/>
  <c r="C1698" i="3"/>
  <c r="D1698" i="3"/>
  <c r="AH1698" i="3"/>
  <c r="C1699" i="3"/>
  <c r="D1699" i="3"/>
  <c r="AH1699" i="3"/>
  <c r="C1700" i="3"/>
  <c r="D1700" i="3"/>
  <c r="AH1700" i="3"/>
  <c r="C1701" i="3"/>
  <c r="D1701" i="3"/>
  <c r="AH1701" i="3"/>
  <c r="C1702" i="3"/>
  <c r="D1702" i="3"/>
  <c r="AH1702" i="3"/>
  <c r="C1703" i="3"/>
  <c r="D1703" i="3"/>
  <c r="AH1703" i="3"/>
  <c r="C1704" i="3"/>
  <c r="D1704" i="3"/>
  <c r="AH1704" i="3"/>
  <c r="C1705" i="3"/>
  <c r="D1705" i="3"/>
  <c r="AH1705" i="3"/>
  <c r="C1706" i="3"/>
  <c r="D1706" i="3"/>
  <c r="AH1706" i="3"/>
  <c r="C1707" i="3"/>
  <c r="D1707" i="3"/>
  <c r="AH1707" i="3"/>
  <c r="B1709" i="3"/>
  <c r="D1709" i="3"/>
  <c r="C1709" i="3"/>
  <c r="C1710" i="3"/>
  <c r="D1710" i="3"/>
  <c r="AH1710" i="3"/>
  <c r="C1711" i="3"/>
  <c r="D1711" i="3"/>
  <c r="AH1711" i="3"/>
  <c r="C1712" i="3"/>
  <c r="D1712" i="3"/>
  <c r="AH1712" i="3"/>
  <c r="C1713" i="3"/>
  <c r="D1713" i="3"/>
  <c r="AH1713" i="3"/>
  <c r="C1714" i="3"/>
  <c r="D1714" i="3"/>
  <c r="AH1714" i="3"/>
  <c r="C1715" i="3"/>
  <c r="D1715" i="3"/>
  <c r="AH1715" i="3"/>
  <c r="C1716" i="3"/>
  <c r="D1716" i="3"/>
  <c r="AH1716" i="3"/>
  <c r="C1717" i="3"/>
  <c r="D1717" i="3"/>
  <c r="AH1717" i="3"/>
  <c r="C1718" i="3"/>
  <c r="D1718" i="3"/>
  <c r="AH1718" i="3"/>
  <c r="C1719" i="3"/>
  <c r="D1719" i="3"/>
  <c r="AH1719" i="3"/>
  <c r="C1720" i="3"/>
  <c r="D1720" i="3"/>
  <c r="AH1720" i="3"/>
  <c r="C1721" i="3"/>
  <c r="D1721" i="3"/>
  <c r="AH1721" i="3"/>
  <c r="C1722" i="3"/>
  <c r="D1722" i="3"/>
  <c r="AH1722" i="3"/>
  <c r="C1723" i="3"/>
  <c r="D1723" i="3"/>
  <c r="AH1723" i="3"/>
  <c r="C1724" i="3"/>
  <c r="AH1724" i="3"/>
  <c r="C1725" i="3"/>
  <c r="D1725" i="3"/>
  <c r="AH1725" i="3"/>
  <c r="C1726" i="3"/>
  <c r="D1726" i="3"/>
  <c r="AH1726" i="3"/>
  <c r="C1727" i="3"/>
  <c r="D1727" i="3"/>
  <c r="AH1727" i="3"/>
  <c r="C1728" i="3"/>
  <c r="D1728" i="3"/>
  <c r="AH1728" i="3"/>
  <c r="C1729" i="3"/>
  <c r="D1729" i="3"/>
  <c r="AH1729" i="3"/>
  <c r="C1730" i="3"/>
  <c r="D1730" i="3"/>
  <c r="AH1730" i="3"/>
  <c r="C1731" i="3"/>
  <c r="D1731" i="3"/>
  <c r="AH1731" i="3"/>
  <c r="C1732" i="3"/>
  <c r="D1732" i="3"/>
  <c r="AH1732" i="3"/>
  <c r="C1733" i="3"/>
  <c r="D1733" i="3"/>
  <c r="AH1733" i="3"/>
  <c r="C1734" i="3"/>
  <c r="D1734" i="3"/>
  <c r="E1734" i="3"/>
  <c r="AH1734" i="3"/>
  <c r="E1735" i="3"/>
  <c r="C1735" i="3"/>
  <c r="D1735" i="3"/>
  <c r="AH1735" i="3"/>
  <c r="C1737" i="3"/>
  <c r="C1738" i="3"/>
  <c r="D1738" i="3"/>
  <c r="AH1738" i="3"/>
  <c r="C1739" i="3"/>
  <c r="D1739" i="3"/>
  <c r="AH1739" i="3"/>
  <c r="C1740" i="3"/>
  <c r="D1740" i="3"/>
  <c r="AH1740" i="3"/>
  <c r="C1741" i="3"/>
  <c r="D1741" i="3"/>
  <c r="AH1741" i="3"/>
  <c r="C1742" i="3"/>
  <c r="D1742" i="3"/>
  <c r="AH1742" i="3"/>
  <c r="C1743" i="3"/>
  <c r="D1743" i="3"/>
  <c r="AH1743" i="3"/>
  <c r="C1744" i="3"/>
  <c r="D1744" i="3"/>
  <c r="AH1744" i="3"/>
  <c r="C1745" i="3"/>
  <c r="D1745" i="3"/>
  <c r="AH1745" i="3"/>
  <c r="C1746" i="3"/>
  <c r="D1746" i="3"/>
  <c r="AH1746" i="3"/>
  <c r="C1747" i="3"/>
  <c r="D1747" i="3"/>
  <c r="AH1747" i="3"/>
  <c r="C1748" i="3"/>
  <c r="D1748" i="3"/>
  <c r="AH1748" i="3"/>
  <c r="C1749" i="3"/>
  <c r="D1749" i="3"/>
  <c r="AH1749" i="3"/>
  <c r="C1750" i="3"/>
  <c r="D1750" i="3"/>
  <c r="AH1750" i="3"/>
  <c r="C1751" i="3"/>
  <c r="D1751" i="3"/>
  <c r="AH1751" i="3"/>
  <c r="C1752" i="3"/>
  <c r="D1752" i="3"/>
  <c r="AH1752" i="3"/>
  <c r="C1753" i="3"/>
  <c r="D1753" i="3"/>
  <c r="AH1753" i="3"/>
  <c r="C1754" i="3"/>
  <c r="D1754" i="3"/>
  <c r="AH1754" i="3"/>
  <c r="C1755" i="3"/>
  <c r="D1755" i="3"/>
  <c r="AH1755" i="3"/>
  <c r="C1756" i="3"/>
  <c r="D1756" i="3"/>
  <c r="AH1756" i="3"/>
  <c r="C1757" i="3"/>
  <c r="D1757" i="3"/>
  <c r="AH1757" i="3"/>
  <c r="C1758" i="3"/>
  <c r="D1758" i="3"/>
  <c r="AH1758" i="3"/>
  <c r="C1759" i="3"/>
  <c r="D1759" i="3"/>
  <c r="AH1759" i="3"/>
  <c r="C1760" i="3"/>
  <c r="D1760" i="3"/>
  <c r="AH1760" i="3"/>
  <c r="C1761" i="3"/>
  <c r="D1761" i="3"/>
  <c r="AH1761" i="3"/>
  <c r="C1762" i="3"/>
  <c r="D1762" i="3"/>
  <c r="AH1762" i="3"/>
  <c r="C1763" i="3"/>
  <c r="D1763" i="3"/>
  <c r="AH1763" i="3"/>
  <c r="B1765" i="3"/>
  <c r="D1765" i="3"/>
  <c r="C1765" i="3"/>
  <c r="C1766" i="3"/>
  <c r="D1766" i="3"/>
  <c r="AH1766" i="3"/>
  <c r="C1767" i="3"/>
  <c r="D1767" i="3"/>
  <c r="AH1767" i="3"/>
  <c r="C1768" i="3"/>
  <c r="D1768" i="3"/>
  <c r="AH1768" i="3"/>
  <c r="C1769" i="3"/>
  <c r="D1769" i="3"/>
  <c r="AH1769" i="3"/>
  <c r="C1770" i="3"/>
  <c r="D1770" i="3"/>
  <c r="AH1770" i="3"/>
  <c r="C1771" i="3"/>
  <c r="D1771" i="3"/>
  <c r="AH1771" i="3"/>
  <c r="C1772" i="3"/>
  <c r="D1772" i="3"/>
  <c r="AH1772" i="3"/>
  <c r="C1773" i="3"/>
  <c r="D1773" i="3"/>
  <c r="AH1773" i="3"/>
  <c r="C1774" i="3"/>
  <c r="D1774" i="3"/>
  <c r="AH1774" i="3"/>
  <c r="C1775" i="3"/>
  <c r="D1775" i="3"/>
  <c r="AH1775" i="3"/>
  <c r="C1776" i="3"/>
  <c r="D1776" i="3"/>
  <c r="AH1776" i="3"/>
  <c r="C1777" i="3"/>
  <c r="D1777" i="3"/>
  <c r="AH1777" i="3"/>
  <c r="C1778" i="3"/>
  <c r="D1778" i="3"/>
  <c r="AH1778" i="3"/>
  <c r="C1779" i="3"/>
  <c r="D1779" i="3"/>
  <c r="AH1779" i="3"/>
  <c r="C1780" i="3"/>
  <c r="D1780" i="3"/>
  <c r="AH1780" i="3"/>
  <c r="C1781" i="3"/>
  <c r="D1781" i="3"/>
  <c r="AH1781" i="3"/>
  <c r="C1782" i="3"/>
  <c r="D1782" i="3"/>
  <c r="AH1782" i="3"/>
  <c r="C1783" i="3"/>
  <c r="D1783" i="3"/>
  <c r="AH1783" i="3"/>
  <c r="C1784" i="3"/>
  <c r="D1784" i="3"/>
  <c r="AH1784" i="3"/>
  <c r="C1785" i="3"/>
  <c r="D1785" i="3"/>
  <c r="AH1785" i="3"/>
  <c r="C1786" i="3"/>
  <c r="D1786" i="3"/>
  <c r="AH1786" i="3"/>
  <c r="C1787" i="3"/>
  <c r="D1787" i="3"/>
  <c r="AH1787" i="3"/>
  <c r="C1788" i="3"/>
  <c r="D1788" i="3"/>
  <c r="E1788" i="3"/>
  <c r="AH1788" i="3"/>
  <c r="C1789" i="3"/>
  <c r="D1789" i="3"/>
  <c r="AH1789" i="3"/>
  <c r="C1790" i="3"/>
  <c r="D1790" i="3"/>
  <c r="AH1790" i="3"/>
  <c r="C1791" i="3"/>
  <c r="D1791" i="3"/>
  <c r="AH1791" i="3"/>
  <c r="C1793" i="3"/>
  <c r="E1794" i="3"/>
  <c r="C1794" i="3"/>
  <c r="D1794" i="3"/>
  <c r="AH1794" i="3"/>
  <c r="C1795" i="3"/>
  <c r="D1795" i="3"/>
  <c r="E1795" i="3"/>
  <c r="AH1795" i="3"/>
  <c r="E1796" i="3"/>
  <c r="C1796" i="3"/>
  <c r="D1796" i="3"/>
  <c r="AH1796" i="3"/>
  <c r="C1797" i="3"/>
  <c r="D1797" i="3"/>
  <c r="E1797" i="3"/>
  <c r="AH1797" i="3"/>
  <c r="E1798" i="3"/>
  <c r="C1798" i="3"/>
  <c r="D1798" i="3"/>
  <c r="AH1798" i="3"/>
  <c r="C1799" i="3"/>
  <c r="D1799" i="3"/>
  <c r="E1799" i="3"/>
  <c r="AH1799" i="3"/>
  <c r="E1800" i="3"/>
  <c r="C1800" i="3"/>
  <c r="D1800" i="3"/>
  <c r="AH1800" i="3"/>
  <c r="C1801" i="3"/>
  <c r="D1801" i="3"/>
  <c r="E1801" i="3"/>
  <c r="AH1801" i="3"/>
  <c r="E1802" i="3"/>
  <c r="C1802" i="3"/>
  <c r="D1802" i="3"/>
  <c r="AH1802" i="3"/>
  <c r="C1803" i="3"/>
  <c r="D1803" i="3"/>
  <c r="E1803" i="3"/>
  <c r="AH1803" i="3"/>
  <c r="E1804" i="3"/>
  <c r="C1804" i="3"/>
  <c r="D1804" i="3"/>
  <c r="AH1804" i="3"/>
  <c r="C1805" i="3"/>
  <c r="D1805" i="3"/>
  <c r="E1805" i="3"/>
  <c r="AH1805" i="3"/>
  <c r="E1806" i="3"/>
  <c r="C1806" i="3"/>
  <c r="D1806" i="3"/>
  <c r="AH1806" i="3"/>
  <c r="C1807" i="3"/>
  <c r="D1807" i="3"/>
  <c r="E1807" i="3"/>
  <c r="AH1807" i="3"/>
  <c r="E1808" i="3"/>
  <c r="C1808" i="3"/>
  <c r="D1808" i="3"/>
  <c r="AH1808" i="3"/>
  <c r="C1809" i="3"/>
  <c r="D1809" i="3"/>
  <c r="E1809" i="3"/>
  <c r="AH1809" i="3"/>
  <c r="E1810" i="3"/>
  <c r="C1810" i="3"/>
  <c r="D1810" i="3"/>
  <c r="AH1810" i="3"/>
  <c r="C1811" i="3"/>
  <c r="D1811" i="3"/>
  <c r="E1811" i="3"/>
  <c r="AH1811" i="3"/>
  <c r="E1812" i="3"/>
  <c r="C1812" i="3"/>
  <c r="D1812" i="3"/>
  <c r="AH1812" i="3"/>
  <c r="C1813" i="3"/>
  <c r="D1813" i="3"/>
  <c r="E1813" i="3"/>
  <c r="AH1813" i="3"/>
  <c r="E1814" i="3"/>
  <c r="C1814" i="3"/>
  <c r="D1814" i="3"/>
  <c r="AH1814" i="3"/>
  <c r="C1815" i="3"/>
  <c r="D1815" i="3"/>
  <c r="E1815" i="3"/>
  <c r="AH1815" i="3"/>
  <c r="E1816" i="3"/>
  <c r="C1816" i="3"/>
  <c r="D1816" i="3"/>
  <c r="AH1816" i="3"/>
  <c r="C1817" i="3"/>
  <c r="D1817" i="3"/>
  <c r="E1817" i="3"/>
  <c r="AH1817" i="3"/>
  <c r="E1818" i="3"/>
  <c r="C1818" i="3"/>
  <c r="D1818" i="3"/>
  <c r="AH1818" i="3"/>
  <c r="C1819" i="3"/>
  <c r="D1819" i="3"/>
  <c r="E1819" i="3"/>
  <c r="AH1819" i="3"/>
  <c r="B1821" i="3"/>
  <c r="D1821" i="3"/>
  <c r="C1821" i="3"/>
  <c r="C1822" i="3"/>
  <c r="D1822" i="3"/>
  <c r="AH1822" i="3"/>
  <c r="C1823" i="3"/>
  <c r="D1823" i="3"/>
  <c r="AH1823" i="3"/>
  <c r="C1824" i="3"/>
  <c r="D1824" i="3"/>
  <c r="AH1824" i="3"/>
  <c r="C1825" i="3"/>
  <c r="D1825" i="3"/>
  <c r="AH1825" i="3"/>
  <c r="C1826" i="3"/>
  <c r="D1826" i="3"/>
  <c r="AH1826" i="3"/>
  <c r="C1827" i="3"/>
  <c r="D1827" i="3"/>
  <c r="AH1827" i="3"/>
  <c r="C1828" i="3"/>
  <c r="D1828" i="3"/>
  <c r="AH1828" i="3"/>
  <c r="C1829" i="3"/>
  <c r="D1829" i="3"/>
  <c r="AH1829" i="3"/>
  <c r="C1830" i="3"/>
  <c r="D1830" i="3"/>
  <c r="AH1830" i="3"/>
  <c r="C1831" i="3"/>
  <c r="D1831" i="3"/>
  <c r="AH1831" i="3"/>
  <c r="C1832" i="3"/>
  <c r="D1832" i="3"/>
  <c r="AH1832" i="3"/>
  <c r="C1833" i="3"/>
  <c r="D1833" i="3"/>
  <c r="AH1833" i="3"/>
  <c r="C1834" i="3"/>
  <c r="D1834" i="3"/>
  <c r="AH1834" i="3"/>
  <c r="C1835" i="3"/>
  <c r="D1835" i="3"/>
  <c r="AH1835" i="3"/>
  <c r="C1836" i="3"/>
  <c r="D1836" i="3"/>
  <c r="AH1836" i="3"/>
  <c r="C1837" i="3"/>
  <c r="D1837" i="3"/>
  <c r="AH1837" i="3"/>
  <c r="C1838" i="3"/>
  <c r="D1838" i="3"/>
  <c r="AH1838" i="3"/>
  <c r="C1839" i="3"/>
  <c r="D1839" i="3"/>
  <c r="AH1839" i="3"/>
  <c r="C1840" i="3"/>
  <c r="D1840" i="3"/>
  <c r="AH1840" i="3"/>
  <c r="C1841" i="3"/>
  <c r="D1841" i="3"/>
  <c r="AH1841" i="3"/>
  <c r="C1842" i="3"/>
  <c r="D1842" i="3"/>
  <c r="AH1842" i="3"/>
  <c r="C1843" i="3"/>
  <c r="D1843" i="3"/>
  <c r="AH1843" i="3"/>
  <c r="C1844" i="3"/>
  <c r="D1844" i="3"/>
  <c r="AH1844" i="3"/>
  <c r="C1845" i="3"/>
  <c r="D1845" i="3"/>
  <c r="AH1845" i="3"/>
  <c r="C1846" i="3"/>
  <c r="D1846" i="3"/>
  <c r="AH1846" i="3"/>
  <c r="C1847" i="3"/>
  <c r="D1847" i="3"/>
  <c r="AH1847" i="3"/>
  <c r="B1849" i="3"/>
  <c r="D1849" i="3"/>
  <c r="C1849" i="3"/>
  <c r="C1850" i="3"/>
  <c r="D1850" i="3"/>
  <c r="AH1850" i="3"/>
  <c r="C1851" i="3"/>
  <c r="D1851" i="3"/>
  <c r="AH1851" i="3"/>
  <c r="C1852" i="3"/>
  <c r="D1852" i="3"/>
  <c r="AH1852" i="3"/>
  <c r="C1853" i="3"/>
  <c r="D1853" i="3"/>
  <c r="AH1853" i="3"/>
  <c r="C1854" i="3"/>
  <c r="D1854" i="3"/>
  <c r="AH1854" i="3"/>
  <c r="C1855" i="3"/>
  <c r="D1855" i="3"/>
  <c r="AH1855" i="3"/>
  <c r="C1856" i="3"/>
  <c r="D1856" i="3"/>
  <c r="AH1856" i="3"/>
  <c r="C1857" i="3"/>
  <c r="D1857" i="3"/>
  <c r="AH1857" i="3"/>
  <c r="C1858" i="3"/>
  <c r="D1858" i="3"/>
  <c r="AH1858" i="3"/>
  <c r="C1859" i="3"/>
  <c r="D1859" i="3"/>
  <c r="AH1859" i="3"/>
  <c r="C1860" i="3"/>
  <c r="D1860" i="3"/>
  <c r="AH1860" i="3"/>
  <c r="C1861" i="3"/>
  <c r="D1861" i="3"/>
  <c r="AH1861" i="3"/>
  <c r="C1862" i="3"/>
  <c r="D1862" i="3"/>
  <c r="AH1862" i="3"/>
  <c r="C1863" i="3"/>
  <c r="D1863" i="3"/>
  <c r="AH1863" i="3"/>
  <c r="C1864" i="3"/>
  <c r="D1864" i="3"/>
  <c r="AH1864" i="3"/>
  <c r="C1865" i="3"/>
  <c r="D1865" i="3"/>
  <c r="AH1865" i="3"/>
  <c r="C1866" i="3"/>
  <c r="D1866" i="3"/>
  <c r="AH1866" i="3"/>
  <c r="C1867" i="3"/>
  <c r="D1867" i="3"/>
  <c r="AH1867" i="3"/>
  <c r="C1868" i="3"/>
  <c r="D1868" i="3"/>
  <c r="AH1868" i="3"/>
  <c r="C1869" i="3"/>
  <c r="D1869" i="3"/>
  <c r="AH1869" i="3"/>
  <c r="C1870" i="3"/>
  <c r="D1870" i="3"/>
  <c r="AH1870" i="3"/>
  <c r="C1871" i="3"/>
  <c r="D1871" i="3"/>
  <c r="AH1871" i="3"/>
  <c r="C1872" i="3"/>
  <c r="D1872" i="3"/>
  <c r="AH1872" i="3"/>
  <c r="C1873" i="3"/>
  <c r="D1873" i="3"/>
  <c r="AH1873" i="3"/>
  <c r="C1874" i="3"/>
  <c r="D1874" i="3"/>
  <c r="AH1874" i="3"/>
  <c r="C1875" i="3"/>
  <c r="D1875" i="3"/>
  <c r="AH1875" i="3"/>
  <c r="B1877" i="3"/>
  <c r="D1877" i="3"/>
  <c r="C1877" i="3"/>
  <c r="C1878" i="3"/>
  <c r="D1878" i="3"/>
  <c r="AH1878" i="3"/>
  <c r="C1879" i="3"/>
  <c r="D1879" i="3"/>
  <c r="AH1879" i="3"/>
  <c r="C1880" i="3"/>
  <c r="D1880" i="3"/>
  <c r="AH1880" i="3"/>
  <c r="C1881" i="3"/>
  <c r="D1881" i="3"/>
  <c r="AH1881" i="3"/>
  <c r="C1882" i="3"/>
  <c r="D1882" i="3"/>
  <c r="AH1882" i="3"/>
  <c r="C1883" i="3"/>
  <c r="D1883" i="3"/>
  <c r="AH1883" i="3"/>
  <c r="C1884" i="3"/>
  <c r="D1884" i="3"/>
  <c r="AH1884" i="3"/>
  <c r="C1885" i="3"/>
  <c r="D1885" i="3"/>
  <c r="AH1885" i="3"/>
  <c r="C1886" i="3"/>
  <c r="D1886" i="3"/>
  <c r="AH1886" i="3"/>
  <c r="C1887" i="3"/>
  <c r="D1887" i="3"/>
  <c r="AH1887" i="3"/>
  <c r="C1888" i="3"/>
  <c r="D1888" i="3"/>
  <c r="AH1888" i="3"/>
  <c r="C1889" i="3"/>
  <c r="D1889" i="3"/>
  <c r="AH1889" i="3"/>
  <c r="C1890" i="3"/>
  <c r="D1890" i="3"/>
  <c r="AH1890" i="3"/>
  <c r="C1891" i="3"/>
  <c r="D1891" i="3"/>
  <c r="AH1891" i="3"/>
  <c r="C1892" i="3"/>
  <c r="D1892" i="3"/>
  <c r="AH1892" i="3"/>
  <c r="C1893" i="3"/>
  <c r="D1893" i="3"/>
  <c r="AH1893" i="3"/>
  <c r="C1894" i="3"/>
  <c r="D1894" i="3"/>
  <c r="AH1894" i="3"/>
  <c r="C1895" i="3"/>
  <c r="D1895" i="3"/>
  <c r="AH1895" i="3"/>
  <c r="C1896" i="3"/>
  <c r="D1896" i="3"/>
  <c r="AH1896" i="3"/>
  <c r="E1897" i="3"/>
  <c r="C1897" i="3"/>
  <c r="D1897" i="3"/>
  <c r="AH1897" i="3"/>
  <c r="C1898" i="3"/>
  <c r="D1898" i="3"/>
  <c r="E1898" i="3"/>
  <c r="AH1898" i="3"/>
  <c r="E1899" i="3"/>
  <c r="C1899" i="3"/>
  <c r="D1899" i="3"/>
  <c r="AH1899" i="3"/>
  <c r="C1900" i="3"/>
  <c r="D1900" i="3"/>
  <c r="E1900" i="3"/>
  <c r="AH1900" i="3"/>
  <c r="E1901" i="3"/>
  <c r="C1901" i="3"/>
  <c r="D1901" i="3"/>
  <c r="AH1901" i="3"/>
  <c r="C1902" i="3"/>
  <c r="D1902" i="3"/>
  <c r="E1902" i="3"/>
  <c r="AH1902" i="3"/>
  <c r="E1903" i="3"/>
  <c r="C1903" i="3"/>
  <c r="D1903" i="3"/>
  <c r="AH1903" i="3"/>
  <c r="C1905" i="3"/>
  <c r="C1906" i="3"/>
  <c r="D1906" i="3"/>
  <c r="AH1906" i="3"/>
  <c r="C1907" i="3"/>
  <c r="D1907" i="3"/>
  <c r="AH1907" i="3"/>
  <c r="C1908" i="3"/>
  <c r="D1908" i="3"/>
  <c r="AH1908" i="3"/>
  <c r="C1909" i="3"/>
  <c r="D1909" i="3"/>
  <c r="AH1909" i="3"/>
  <c r="C1910" i="3"/>
  <c r="D1910" i="3"/>
  <c r="AH1910" i="3"/>
  <c r="C1911" i="3"/>
  <c r="D1911" i="3"/>
  <c r="AH1911" i="3"/>
  <c r="C1912" i="3"/>
  <c r="D1912" i="3"/>
  <c r="AH1912" i="3"/>
  <c r="C1913" i="3"/>
  <c r="D1913" i="3"/>
  <c r="AH1913" i="3"/>
  <c r="C1914" i="3"/>
  <c r="D1914" i="3"/>
  <c r="AH1914" i="3"/>
  <c r="C1915" i="3"/>
  <c r="D1915" i="3"/>
  <c r="AH1915" i="3"/>
  <c r="C1916" i="3"/>
  <c r="D1916" i="3"/>
  <c r="E1916" i="3"/>
  <c r="AH1916" i="3"/>
  <c r="E1917" i="3"/>
  <c r="C1917" i="3"/>
  <c r="D1917" i="3"/>
  <c r="AH1917" i="3"/>
  <c r="C1918" i="3"/>
  <c r="D1918" i="3"/>
  <c r="E1918" i="3"/>
  <c r="AH1918" i="3"/>
  <c r="E1919" i="3"/>
  <c r="C1919" i="3"/>
  <c r="D1919" i="3"/>
  <c r="AH1919" i="3"/>
  <c r="C1920" i="3"/>
  <c r="D1920" i="3"/>
  <c r="E1920" i="3"/>
  <c r="AH1920" i="3"/>
  <c r="E1921" i="3"/>
  <c r="C1921" i="3"/>
  <c r="D1921" i="3"/>
  <c r="AH1921" i="3"/>
  <c r="C1922" i="3"/>
  <c r="D1922" i="3"/>
  <c r="E1922" i="3"/>
  <c r="AH1922" i="3"/>
  <c r="E1923" i="3"/>
  <c r="C1923" i="3"/>
  <c r="D1923" i="3"/>
  <c r="AH1923" i="3"/>
  <c r="C1924" i="3"/>
  <c r="D1924" i="3"/>
  <c r="E1924" i="3"/>
  <c r="AH1924" i="3"/>
  <c r="E1925" i="3"/>
  <c r="C1925" i="3"/>
  <c r="D1925" i="3"/>
  <c r="AH1925" i="3"/>
  <c r="C1926" i="3"/>
  <c r="D1926" i="3"/>
  <c r="E1926" i="3"/>
  <c r="AH1926" i="3"/>
  <c r="E1927" i="3"/>
  <c r="C1927" i="3"/>
  <c r="D1927" i="3"/>
  <c r="AH1927" i="3"/>
  <c r="C1928" i="3"/>
  <c r="D1928" i="3"/>
  <c r="E1928" i="3"/>
  <c r="AH1928" i="3"/>
  <c r="E1929" i="3"/>
  <c r="C1929" i="3"/>
  <c r="D1929" i="3"/>
  <c r="AH1929" i="3"/>
  <c r="C1930" i="3"/>
  <c r="D1930" i="3"/>
  <c r="E1930" i="3"/>
  <c r="AH1930" i="3"/>
  <c r="E1931" i="3"/>
  <c r="C1931" i="3"/>
  <c r="D1931" i="3"/>
  <c r="AH1931" i="3"/>
  <c r="B1933" i="3"/>
  <c r="C1933" i="3"/>
  <c r="D1933" i="3"/>
  <c r="C1934" i="3"/>
  <c r="D1934" i="3"/>
  <c r="AH1934" i="3"/>
  <c r="C1935" i="3"/>
  <c r="D1935" i="3"/>
  <c r="AH1935" i="3"/>
  <c r="C1936" i="3"/>
  <c r="D1936" i="3"/>
  <c r="AH1936" i="3"/>
  <c r="C1937" i="3"/>
  <c r="D1937" i="3"/>
  <c r="AH1937" i="3"/>
  <c r="C1938" i="3"/>
  <c r="D1938" i="3"/>
  <c r="AH1938" i="3"/>
  <c r="C1939" i="3"/>
  <c r="D1939" i="3"/>
  <c r="AH1939" i="3"/>
  <c r="C1940" i="3"/>
  <c r="D1940" i="3"/>
  <c r="AH1940" i="3"/>
  <c r="C1941" i="3"/>
  <c r="D1941" i="3"/>
  <c r="AH1941" i="3"/>
  <c r="C1942" i="3"/>
  <c r="D1942" i="3"/>
  <c r="AH1942" i="3"/>
  <c r="C1943" i="3"/>
  <c r="D1943" i="3"/>
  <c r="AH1943" i="3"/>
  <c r="C1944" i="3"/>
  <c r="D1944" i="3"/>
  <c r="AH1944" i="3"/>
  <c r="C1945" i="3"/>
  <c r="D1945" i="3"/>
  <c r="AH1945" i="3"/>
  <c r="C1946" i="3"/>
  <c r="D1946" i="3"/>
  <c r="AH1946" i="3"/>
  <c r="C1947" i="3"/>
  <c r="D1947" i="3"/>
  <c r="AH1947" i="3"/>
  <c r="C1948" i="3"/>
  <c r="D1948" i="3"/>
  <c r="AH1948" i="3"/>
  <c r="C1949" i="3"/>
  <c r="D1949" i="3"/>
  <c r="AH1949" i="3"/>
  <c r="C1950" i="3"/>
  <c r="D1950" i="3"/>
  <c r="AH1950" i="3"/>
  <c r="C1951" i="3"/>
  <c r="D1951" i="3"/>
  <c r="AH1951" i="3"/>
  <c r="C1952" i="3"/>
  <c r="D1952" i="3"/>
  <c r="AH1952" i="3"/>
  <c r="C1953" i="3"/>
  <c r="D1953" i="3"/>
  <c r="AH1953" i="3"/>
  <c r="C1954" i="3"/>
  <c r="D1954" i="3"/>
  <c r="AH1954" i="3"/>
  <c r="C1955" i="3"/>
  <c r="D1955" i="3"/>
  <c r="AH1955" i="3"/>
  <c r="C1956" i="3"/>
  <c r="D1956" i="3"/>
  <c r="AH1956" i="3"/>
  <c r="C1957" i="3"/>
  <c r="D1957" i="3"/>
  <c r="AH1957" i="3"/>
  <c r="C1958" i="3"/>
  <c r="D1958" i="3"/>
  <c r="AH1958" i="3"/>
  <c r="C1959" i="3"/>
  <c r="D1959" i="3"/>
  <c r="E1959" i="3"/>
  <c r="AH1959" i="3"/>
  <c r="B1961" i="3"/>
  <c r="D1961" i="3"/>
  <c r="C1961" i="3"/>
  <c r="C1962" i="3"/>
  <c r="D1962" i="3"/>
  <c r="AH1962" i="3"/>
  <c r="C1963" i="3"/>
  <c r="D1963" i="3"/>
  <c r="AH1963" i="3"/>
  <c r="C1964" i="3"/>
  <c r="D1964" i="3"/>
  <c r="AH1964" i="3"/>
  <c r="C1965" i="3"/>
  <c r="D1965" i="3"/>
  <c r="AH1965" i="3"/>
  <c r="C1966" i="3"/>
  <c r="D1966" i="3"/>
  <c r="AH1966" i="3"/>
  <c r="C1967" i="3"/>
  <c r="D1967" i="3"/>
  <c r="AH1967" i="3"/>
  <c r="C1968" i="3"/>
  <c r="D1968" i="3"/>
  <c r="AH1968" i="3"/>
  <c r="C1969" i="3"/>
  <c r="D1969" i="3"/>
  <c r="AH1969" i="3"/>
  <c r="C1970" i="3"/>
  <c r="D1970" i="3"/>
  <c r="AH1970" i="3"/>
  <c r="C1971" i="3"/>
  <c r="D1971" i="3"/>
  <c r="AH1971" i="3"/>
  <c r="C1972" i="3"/>
  <c r="D1972" i="3"/>
  <c r="AH1972" i="3"/>
  <c r="C1973" i="3"/>
  <c r="D1973" i="3"/>
  <c r="AH1973" i="3"/>
  <c r="C1974" i="3"/>
  <c r="D1974" i="3"/>
  <c r="AH1974" i="3"/>
  <c r="C1975" i="3"/>
  <c r="D1975" i="3"/>
  <c r="AH1975" i="3"/>
  <c r="C1976" i="3"/>
  <c r="D1976" i="3"/>
  <c r="AH1976" i="3"/>
  <c r="C1977" i="3"/>
  <c r="D1977" i="3"/>
  <c r="AH1977" i="3"/>
  <c r="C1978" i="3"/>
  <c r="D1978" i="3"/>
  <c r="AH1978" i="3"/>
  <c r="C1979" i="3"/>
  <c r="D1979" i="3"/>
  <c r="AH1979" i="3"/>
  <c r="C1980" i="3"/>
  <c r="D1980" i="3"/>
  <c r="AH1980" i="3"/>
  <c r="C1981" i="3"/>
  <c r="D1981" i="3"/>
  <c r="AH1981" i="3"/>
  <c r="C1982" i="3"/>
  <c r="D1982" i="3"/>
  <c r="AH1982" i="3"/>
  <c r="C1983" i="3"/>
  <c r="D1983" i="3"/>
  <c r="AH1983" i="3"/>
  <c r="C1984" i="3"/>
  <c r="D1984" i="3"/>
  <c r="AH1984" i="3"/>
  <c r="C1985" i="3"/>
  <c r="D1985" i="3"/>
  <c r="AH1985" i="3"/>
  <c r="C1986" i="3"/>
  <c r="D1986" i="3"/>
  <c r="AH1986" i="3"/>
  <c r="C1987" i="3"/>
  <c r="D1987" i="3"/>
  <c r="AH1987" i="3"/>
  <c r="B1989" i="3"/>
  <c r="D1989" i="3"/>
  <c r="C1989" i="3"/>
  <c r="C1990" i="3"/>
  <c r="D1990" i="3"/>
  <c r="AH1990" i="3"/>
  <c r="C1991" i="3"/>
  <c r="D1991" i="3"/>
  <c r="AH1991" i="3"/>
  <c r="C1992" i="3"/>
  <c r="D1992" i="3"/>
  <c r="AH1992" i="3"/>
  <c r="C1993" i="3"/>
  <c r="D1993" i="3"/>
  <c r="AH1993" i="3"/>
  <c r="C1994" i="3"/>
  <c r="D1994" i="3"/>
  <c r="AH1994" i="3"/>
  <c r="C1995" i="3"/>
  <c r="D1995" i="3"/>
  <c r="AH1995" i="3"/>
  <c r="C1996" i="3"/>
  <c r="D1996" i="3"/>
  <c r="AH1996" i="3"/>
  <c r="C1997" i="3"/>
  <c r="D1997" i="3"/>
  <c r="AH1997" i="3"/>
  <c r="C1998" i="3"/>
  <c r="D1998" i="3"/>
  <c r="AH1998" i="3"/>
  <c r="C1999" i="3"/>
  <c r="D1999" i="3"/>
  <c r="AH1999" i="3"/>
  <c r="C2000" i="3"/>
  <c r="D2000" i="3"/>
  <c r="AH2000" i="3"/>
  <c r="C2001" i="3"/>
  <c r="D2001" i="3"/>
  <c r="AH2001" i="3"/>
  <c r="C2002" i="3"/>
  <c r="D2002" i="3"/>
  <c r="AH2002" i="3"/>
  <c r="C2003" i="3"/>
  <c r="D2003" i="3"/>
  <c r="AH2003" i="3"/>
  <c r="C2004" i="3"/>
  <c r="D2004" i="3"/>
  <c r="AH2004" i="3"/>
  <c r="C2005" i="3"/>
  <c r="D2005" i="3"/>
  <c r="AH2005" i="3"/>
  <c r="C2006" i="3"/>
  <c r="D2006" i="3"/>
  <c r="AH2006" i="3"/>
  <c r="C2007" i="3"/>
  <c r="D2007" i="3"/>
  <c r="AH2007" i="3"/>
  <c r="C2008" i="3"/>
  <c r="D2008" i="3"/>
  <c r="AH2008" i="3"/>
  <c r="C2009" i="3"/>
  <c r="D2009" i="3"/>
  <c r="AH2009" i="3"/>
  <c r="C2010" i="3"/>
  <c r="D2010" i="3"/>
  <c r="AH2010" i="3"/>
  <c r="C2011" i="3"/>
  <c r="D2011" i="3"/>
  <c r="AH2011" i="3"/>
  <c r="C2012" i="3"/>
  <c r="D2012" i="3"/>
  <c r="AH2012" i="3"/>
  <c r="C2013" i="3"/>
  <c r="D2013" i="3"/>
  <c r="AH2013" i="3"/>
  <c r="C2014" i="3"/>
  <c r="D2014" i="3"/>
  <c r="AH2014" i="3"/>
  <c r="C2015" i="3"/>
  <c r="D2015" i="3"/>
  <c r="AH2015" i="3"/>
  <c r="B2017" i="3"/>
  <c r="D2017" i="3"/>
  <c r="C2017" i="3"/>
  <c r="C2018" i="3"/>
  <c r="D2018" i="3"/>
  <c r="AH2018" i="3"/>
  <c r="C2019" i="3"/>
  <c r="D2019" i="3"/>
  <c r="AH2019" i="3"/>
  <c r="C2020" i="3"/>
  <c r="D2020" i="3"/>
  <c r="AH2020" i="3"/>
  <c r="C2021" i="3"/>
  <c r="D2021" i="3"/>
  <c r="AH2021" i="3"/>
  <c r="C2022" i="3"/>
  <c r="D2022" i="3"/>
  <c r="AH2022" i="3"/>
  <c r="C2023" i="3"/>
  <c r="D2023" i="3"/>
  <c r="AH2023" i="3"/>
  <c r="C2024" i="3"/>
  <c r="D2024" i="3"/>
  <c r="AH2024" i="3"/>
  <c r="C2025" i="3"/>
  <c r="D2025" i="3"/>
  <c r="AH2025" i="3"/>
  <c r="C2026" i="3"/>
  <c r="D2026" i="3"/>
  <c r="AH2026" i="3"/>
  <c r="C2027" i="3"/>
  <c r="D2027" i="3"/>
  <c r="AH2027" i="3"/>
  <c r="C2028" i="3"/>
  <c r="D2028" i="3"/>
  <c r="AH2028" i="3"/>
  <c r="C2029" i="3"/>
  <c r="D2029" i="3"/>
  <c r="AH2029" i="3"/>
  <c r="C2030" i="3"/>
  <c r="D2030" i="3"/>
  <c r="AH2030" i="3"/>
  <c r="C2031" i="3"/>
  <c r="D2031" i="3"/>
  <c r="AH2031" i="3"/>
  <c r="C2032" i="3"/>
  <c r="D2032" i="3"/>
  <c r="AH2032" i="3"/>
  <c r="C2033" i="3"/>
  <c r="D2033" i="3"/>
  <c r="AH2033" i="3"/>
  <c r="C2034" i="3"/>
  <c r="D2034" i="3"/>
  <c r="AH2034" i="3"/>
  <c r="C2035" i="3"/>
  <c r="D2035" i="3"/>
  <c r="AH2035" i="3"/>
  <c r="C2036" i="3"/>
  <c r="D2036" i="3"/>
  <c r="AH2036" i="3"/>
  <c r="C2037" i="3"/>
  <c r="D2037" i="3"/>
  <c r="AH2037" i="3"/>
  <c r="C2038" i="3"/>
  <c r="D2038" i="3"/>
  <c r="AH2038" i="3"/>
  <c r="C2039" i="3"/>
  <c r="D2039" i="3"/>
  <c r="AH2039" i="3"/>
  <c r="C2040" i="3"/>
  <c r="D2040" i="3"/>
  <c r="AH2040" i="3"/>
  <c r="C2041" i="3"/>
  <c r="D2041" i="3"/>
  <c r="AH2041" i="3"/>
  <c r="C2042" i="3"/>
  <c r="D2042" i="3"/>
  <c r="AH2042" i="3"/>
  <c r="C2043" i="3"/>
  <c r="D2043" i="3"/>
  <c r="AH2043" i="3"/>
  <c r="C2045" i="3"/>
  <c r="C2046" i="3"/>
  <c r="D2046" i="3"/>
  <c r="AH2046" i="3"/>
  <c r="C2047" i="3"/>
  <c r="D2047" i="3"/>
  <c r="AH2047" i="3"/>
  <c r="C2048" i="3"/>
  <c r="D2048" i="3"/>
  <c r="AH2048" i="3"/>
  <c r="C2049" i="3"/>
  <c r="D2049" i="3"/>
  <c r="AH2049" i="3"/>
  <c r="C2050" i="3"/>
  <c r="D2050" i="3"/>
  <c r="AH2050" i="3"/>
  <c r="C2051" i="3"/>
  <c r="D2051" i="3"/>
  <c r="AH2051" i="3"/>
  <c r="C2052" i="3"/>
  <c r="D2052" i="3"/>
  <c r="AH2052" i="3"/>
  <c r="C2053" i="3"/>
  <c r="D2053" i="3"/>
  <c r="AH2053" i="3"/>
  <c r="C2054" i="3"/>
  <c r="D2054" i="3"/>
  <c r="AH2054" i="3"/>
  <c r="C2055" i="3"/>
  <c r="D2055" i="3"/>
  <c r="AH2055" i="3"/>
  <c r="C2056" i="3"/>
  <c r="D2056" i="3"/>
  <c r="AH2056" i="3"/>
  <c r="C2057" i="3"/>
  <c r="D2057" i="3"/>
  <c r="AH2057" i="3"/>
  <c r="C2058" i="3"/>
  <c r="D2058" i="3"/>
  <c r="AH2058" i="3"/>
  <c r="C2059" i="3"/>
  <c r="D2059" i="3"/>
  <c r="AH2059" i="3"/>
  <c r="C2060" i="3"/>
  <c r="D2060" i="3"/>
  <c r="AH2060" i="3"/>
  <c r="C2061" i="3"/>
  <c r="D2061" i="3"/>
  <c r="AH2061" i="3"/>
  <c r="C2062" i="3"/>
  <c r="D2062" i="3"/>
  <c r="AH2062" i="3"/>
  <c r="C2063" i="3"/>
  <c r="D2063" i="3"/>
  <c r="AH2063" i="3"/>
  <c r="C2064" i="3"/>
  <c r="D2064" i="3"/>
  <c r="AH2064" i="3"/>
  <c r="C2065" i="3"/>
  <c r="D2065" i="3"/>
  <c r="AH2065" i="3"/>
  <c r="C2066" i="3"/>
  <c r="D2066" i="3"/>
  <c r="AH2066" i="3"/>
  <c r="C2067" i="3"/>
  <c r="D2067" i="3"/>
  <c r="AH2067" i="3"/>
  <c r="C2068" i="3"/>
  <c r="D2068" i="3"/>
  <c r="AH2068" i="3"/>
  <c r="E2069" i="3"/>
  <c r="C2069" i="3"/>
  <c r="D2069" i="3"/>
  <c r="C2070" i="3"/>
  <c r="D2070" i="3"/>
  <c r="AH2070" i="3"/>
  <c r="C2071" i="3"/>
  <c r="D2071" i="3"/>
  <c r="AH2071" i="3"/>
  <c r="B2073" i="3"/>
  <c r="D2073" i="3"/>
  <c r="C2073" i="3"/>
  <c r="C2074" i="3"/>
  <c r="D2074" i="3"/>
  <c r="AH2074" i="3"/>
  <c r="C2075" i="3"/>
  <c r="D2075" i="3"/>
  <c r="AH2075" i="3"/>
  <c r="C2076" i="3"/>
  <c r="D2076" i="3"/>
  <c r="AH2076" i="3"/>
  <c r="C2077" i="3"/>
  <c r="D2077" i="3"/>
  <c r="AH2077" i="3"/>
  <c r="C2078" i="3"/>
  <c r="D2078" i="3"/>
  <c r="AH2078" i="3"/>
  <c r="C2079" i="3"/>
  <c r="D2079" i="3"/>
  <c r="AH2079" i="3"/>
  <c r="C2080" i="3"/>
  <c r="D2080" i="3"/>
  <c r="AH2080" i="3"/>
  <c r="C2081" i="3"/>
  <c r="D2081" i="3"/>
  <c r="AH2081" i="3"/>
  <c r="C2082" i="3"/>
  <c r="D2082" i="3"/>
  <c r="AH2082" i="3"/>
  <c r="C2083" i="3"/>
  <c r="D2083" i="3"/>
  <c r="AH2083" i="3"/>
  <c r="C2084" i="3"/>
  <c r="D2084" i="3"/>
  <c r="AH2084" i="3"/>
  <c r="C2085" i="3"/>
  <c r="D2085" i="3"/>
  <c r="AH2085" i="3"/>
  <c r="C2086" i="3"/>
  <c r="D2086" i="3"/>
  <c r="AH2086" i="3"/>
  <c r="C2087" i="3"/>
  <c r="D2087" i="3"/>
  <c r="AH2087" i="3"/>
  <c r="C2088" i="3"/>
  <c r="D2088" i="3"/>
  <c r="AH2088" i="3"/>
  <c r="C2089" i="3"/>
  <c r="D2089" i="3"/>
  <c r="AH2089" i="3"/>
  <c r="C2090" i="3"/>
  <c r="D2090" i="3"/>
  <c r="AH2090" i="3"/>
  <c r="C2091" i="3"/>
  <c r="D2091" i="3"/>
  <c r="AH2091" i="3"/>
  <c r="C2092" i="3"/>
  <c r="D2092" i="3"/>
  <c r="AH2092" i="3"/>
  <c r="C2093" i="3"/>
  <c r="D2093" i="3"/>
  <c r="AH2093" i="3"/>
  <c r="C2094" i="3"/>
  <c r="D2094" i="3"/>
  <c r="AH2094" i="3"/>
  <c r="C2095" i="3"/>
  <c r="D2095" i="3"/>
  <c r="AH2095" i="3"/>
  <c r="C2096" i="3"/>
  <c r="D2096" i="3"/>
  <c r="AH2096" i="3"/>
  <c r="C2097" i="3"/>
  <c r="D2097" i="3"/>
  <c r="AH2097" i="3"/>
  <c r="C2098" i="3"/>
  <c r="D2098" i="3"/>
  <c r="E2098" i="3"/>
  <c r="AH2098" i="3"/>
  <c r="E2099" i="3"/>
  <c r="C2099" i="3"/>
  <c r="D2099" i="3"/>
  <c r="C2101" i="3"/>
  <c r="C2102" i="3"/>
  <c r="D2102" i="3"/>
  <c r="AH2102" i="3"/>
  <c r="C2103" i="3"/>
  <c r="D2103" i="3"/>
  <c r="AH2103" i="3"/>
  <c r="C2104" i="3"/>
  <c r="D2104" i="3"/>
  <c r="AH2104" i="3"/>
  <c r="C2105" i="3"/>
  <c r="D2105" i="3"/>
  <c r="AH2105" i="3"/>
  <c r="C2106" i="3"/>
  <c r="D2106" i="3"/>
  <c r="AH2106" i="3"/>
  <c r="C2107" i="3"/>
  <c r="D2107" i="3"/>
  <c r="AH2107" i="3"/>
  <c r="C2108" i="3"/>
  <c r="D2108" i="3"/>
  <c r="AH2108" i="3"/>
  <c r="C2109" i="3"/>
  <c r="D2109" i="3"/>
  <c r="AH2109" i="3"/>
  <c r="C2110" i="3"/>
  <c r="D2110" i="3"/>
  <c r="AH2110" i="3"/>
  <c r="C2111" i="3"/>
  <c r="D2111" i="3"/>
  <c r="AH2111" i="3"/>
  <c r="C2112" i="3"/>
  <c r="D2112" i="3"/>
  <c r="AH2112" i="3"/>
  <c r="C2113" i="3"/>
  <c r="D2113" i="3"/>
  <c r="AH2113" i="3"/>
  <c r="C2114" i="3"/>
  <c r="AH2114" i="3"/>
  <c r="C2115" i="3"/>
  <c r="D2115" i="3"/>
  <c r="AH2115" i="3"/>
  <c r="C2116" i="3"/>
  <c r="D2116" i="3"/>
  <c r="AH2116" i="3"/>
  <c r="C2117" i="3"/>
  <c r="AH2117" i="3"/>
  <c r="C2118" i="3"/>
  <c r="D2118" i="3"/>
  <c r="AH2118" i="3"/>
  <c r="C2119" i="3"/>
  <c r="D2119" i="3"/>
  <c r="AH2119" i="3"/>
  <c r="C2120" i="3"/>
  <c r="D2120" i="3"/>
  <c r="AH2120" i="3"/>
  <c r="C2121" i="3"/>
  <c r="D2121" i="3"/>
  <c r="AH2121" i="3"/>
  <c r="C2122" i="3"/>
  <c r="D2122" i="3"/>
  <c r="AH2122" i="3"/>
  <c r="C2123" i="3"/>
  <c r="D2123" i="3"/>
  <c r="AH2123" i="3"/>
  <c r="C2124" i="3"/>
  <c r="D2124" i="3"/>
  <c r="AH2124" i="3"/>
  <c r="C2125" i="3"/>
  <c r="D2125" i="3"/>
  <c r="AH2125" i="3"/>
  <c r="C2126" i="3"/>
  <c r="D2126" i="3"/>
  <c r="AH2126" i="3"/>
  <c r="C2127" i="3"/>
  <c r="D2127" i="3"/>
  <c r="AH2127" i="3"/>
  <c r="B2129" i="3"/>
  <c r="D2129" i="3"/>
  <c r="C2129" i="3"/>
  <c r="C2130" i="3"/>
  <c r="D2130" i="3"/>
  <c r="AH2130" i="3"/>
  <c r="C2131" i="3"/>
  <c r="D2131" i="3"/>
  <c r="AH2131" i="3"/>
  <c r="C2132" i="3"/>
  <c r="D2132" i="3"/>
  <c r="AH2132" i="3"/>
  <c r="C2133" i="3"/>
  <c r="D2133" i="3"/>
  <c r="AH2133" i="3"/>
  <c r="C2134" i="3"/>
  <c r="D2134" i="3"/>
  <c r="AH2134" i="3"/>
  <c r="C2135" i="3"/>
  <c r="D2135" i="3"/>
  <c r="AH2135" i="3"/>
  <c r="C2136" i="3"/>
  <c r="D2136" i="3"/>
  <c r="AH2136" i="3"/>
  <c r="C2137" i="3"/>
  <c r="D2137" i="3"/>
  <c r="AH2137" i="3"/>
  <c r="C2138" i="3"/>
  <c r="D2138" i="3"/>
  <c r="AH2138" i="3"/>
  <c r="C2139" i="3"/>
  <c r="D2139" i="3"/>
  <c r="AH2139" i="3"/>
  <c r="C2140" i="3"/>
  <c r="D2140" i="3"/>
  <c r="AH2140" i="3"/>
  <c r="C2141" i="3"/>
  <c r="D2141" i="3"/>
  <c r="AH2141" i="3"/>
  <c r="C2142" i="3"/>
  <c r="D2142" i="3"/>
  <c r="AH2142" i="3"/>
  <c r="C2143" i="3"/>
  <c r="D2143" i="3"/>
  <c r="AH2143" i="3"/>
  <c r="C2144" i="3"/>
  <c r="D2144" i="3"/>
  <c r="AH2144" i="3"/>
  <c r="C2145" i="3"/>
  <c r="D2145" i="3"/>
  <c r="AH2145" i="3"/>
  <c r="C2146" i="3"/>
  <c r="D2146" i="3"/>
  <c r="AH2146" i="3"/>
  <c r="C2147" i="3"/>
  <c r="D2147" i="3"/>
  <c r="AH2147" i="3"/>
  <c r="C2148" i="3"/>
  <c r="D2148" i="3"/>
  <c r="AH2148" i="3"/>
  <c r="C2149" i="3"/>
  <c r="D2149" i="3"/>
  <c r="AH2149" i="3"/>
  <c r="C2150" i="3"/>
  <c r="D2150" i="3"/>
  <c r="AH2150" i="3"/>
  <c r="C2151" i="3"/>
  <c r="D2151" i="3"/>
  <c r="AH2151" i="3"/>
  <c r="C2152" i="3"/>
  <c r="D2152" i="3"/>
  <c r="AH2152" i="3"/>
  <c r="C2153" i="3"/>
  <c r="D2153" i="3"/>
  <c r="AH2153" i="3"/>
  <c r="C2154" i="3"/>
  <c r="D2154" i="3"/>
  <c r="AH2154" i="3"/>
  <c r="C2155" i="3"/>
  <c r="D2155" i="3"/>
  <c r="AH2155" i="3"/>
  <c r="C2157" i="3"/>
  <c r="C2158" i="3"/>
  <c r="D2158" i="3"/>
  <c r="AH2158" i="3"/>
  <c r="C2159" i="3"/>
  <c r="D2159" i="3"/>
  <c r="AH2159" i="3"/>
  <c r="C2160" i="3"/>
  <c r="D2160" i="3"/>
  <c r="AH2160" i="3"/>
  <c r="C2161" i="3"/>
  <c r="D2161" i="3"/>
  <c r="AH2161" i="3"/>
  <c r="C2162" i="3"/>
  <c r="D2162" i="3"/>
  <c r="AH2162" i="3"/>
  <c r="C2163" i="3"/>
  <c r="D2163" i="3"/>
  <c r="AH2163" i="3"/>
  <c r="C2164" i="3"/>
  <c r="D2164" i="3"/>
  <c r="AH2164" i="3"/>
  <c r="C2165" i="3"/>
  <c r="D2165" i="3"/>
  <c r="AH2165" i="3"/>
  <c r="C2166" i="3"/>
  <c r="D2166" i="3"/>
  <c r="AH2166" i="3"/>
  <c r="C2167" i="3"/>
  <c r="D2167" i="3"/>
  <c r="AH2167" i="3"/>
  <c r="C2168" i="3"/>
  <c r="D2168" i="3"/>
  <c r="AH2168" i="3"/>
  <c r="C2169" i="3"/>
  <c r="D2169" i="3"/>
  <c r="AH2169" i="3"/>
  <c r="C2170" i="3"/>
  <c r="D2170" i="3"/>
  <c r="AH2170" i="3"/>
  <c r="C2171" i="3"/>
  <c r="D2171" i="3"/>
  <c r="AH2171" i="3"/>
  <c r="C2172" i="3"/>
  <c r="D2172" i="3"/>
  <c r="AH2172" i="3"/>
  <c r="C2173" i="3"/>
  <c r="D2173" i="3"/>
  <c r="AH2173" i="3"/>
  <c r="C2174" i="3"/>
  <c r="D2174" i="3"/>
  <c r="AH2174" i="3"/>
  <c r="C2175" i="3"/>
  <c r="D2175" i="3"/>
  <c r="AH2175" i="3"/>
  <c r="C2176" i="3"/>
  <c r="D2176" i="3"/>
  <c r="AH2176" i="3"/>
  <c r="C2177" i="3"/>
  <c r="D2177" i="3"/>
  <c r="AH2177" i="3"/>
  <c r="C2178" i="3"/>
  <c r="D2178" i="3"/>
  <c r="AH2178" i="3"/>
  <c r="C2179" i="3"/>
  <c r="D2179" i="3"/>
  <c r="AH2179" i="3"/>
  <c r="C2180" i="3"/>
  <c r="D2180" i="3"/>
  <c r="AH2180" i="3"/>
  <c r="C2181" i="3"/>
  <c r="D2181" i="3"/>
  <c r="AH2181" i="3"/>
  <c r="C2182" i="3"/>
  <c r="D2182" i="3"/>
  <c r="AH2182" i="3"/>
  <c r="C2183" i="3"/>
  <c r="D2183" i="3"/>
  <c r="E2183" i="3"/>
  <c r="AH2183" i="3"/>
  <c r="B2185" i="3"/>
  <c r="C2185" i="3"/>
  <c r="D2185" i="3"/>
  <c r="C2186" i="3"/>
  <c r="D2186" i="3"/>
  <c r="AH2186" i="3"/>
  <c r="C2187" i="3"/>
  <c r="D2187" i="3"/>
  <c r="AH2187" i="3"/>
  <c r="C2188" i="3"/>
  <c r="D2188" i="3"/>
  <c r="AH2188" i="3"/>
  <c r="C2189" i="3"/>
  <c r="D2189" i="3"/>
  <c r="AH2189" i="3"/>
  <c r="C2190" i="3"/>
  <c r="D2190" i="3"/>
  <c r="AH2190" i="3"/>
  <c r="C2191" i="3"/>
  <c r="D2191" i="3"/>
  <c r="AH2191" i="3"/>
  <c r="C2192" i="3"/>
  <c r="D2192" i="3"/>
  <c r="AH2192" i="3"/>
  <c r="C2193" i="3"/>
  <c r="D2193" i="3"/>
  <c r="AH2193" i="3"/>
  <c r="C2194" i="3"/>
  <c r="D2194" i="3"/>
  <c r="AH2194" i="3"/>
  <c r="C2195" i="3"/>
  <c r="D2195" i="3"/>
  <c r="AH2195" i="3"/>
  <c r="C2196" i="3"/>
  <c r="D2196" i="3"/>
  <c r="AH2196" i="3"/>
  <c r="C2197" i="3"/>
  <c r="D2197" i="3"/>
  <c r="AH2197" i="3"/>
  <c r="C2198" i="3"/>
  <c r="D2198" i="3"/>
  <c r="AH2198" i="3"/>
  <c r="C2199" i="3"/>
  <c r="D2199" i="3"/>
  <c r="AH2199" i="3"/>
  <c r="C2200" i="3"/>
  <c r="D2200" i="3"/>
  <c r="AH2200" i="3"/>
  <c r="C2201" i="3"/>
  <c r="D2201" i="3"/>
  <c r="AH2201" i="3"/>
  <c r="C2202" i="3"/>
  <c r="D2202" i="3"/>
  <c r="AH2202" i="3"/>
  <c r="C2203" i="3"/>
  <c r="D2203" i="3"/>
  <c r="AH2203" i="3"/>
  <c r="C2204" i="3"/>
  <c r="D2204" i="3"/>
  <c r="AH2204" i="3"/>
  <c r="C2205" i="3"/>
  <c r="D2205" i="3"/>
  <c r="AH2205" i="3"/>
  <c r="C2206" i="3"/>
  <c r="D2206" i="3"/>
  <c r="AH2206" i="3"/>
  <c r="C2207" i="3"/>
  <c r="D2207" i="3"/>
  <c r="AH2207" i="3"/>
  <c r="C2208" i="3"/>
  <c r="D2208" i="3"/>
  <c r="AH2208" i="3"/>
  <c r="C2209" i="3"/>
  <c r="D2209" i="3"/>
  <c r="AH2209" i="3"/>
  <c r="C2210" i="3"/>
  <c r="D2210" i="3"/>
  <c r="AH2210" i="3"/>
  <c r="C2211" i="3"/>
  <c r="D2211" i="3"/>
  <c r="AH2211" i="3"/>
  <c r="B2213" i="3"/>
  <c r="D2213" i="3"/>
  <c r="C2213" i="3"/>
  <c r="C2214" i="3"/>
  <c r="D2214" i="3"/>
  <c r="AH2214" i="3"/>
  <c r="C2215" i="3"/>
  <c r="D2215" i="3"/>
  <c r="AH2215" i="3"/>
  <c r="C2216" i="3"/>
  <c r="D2216" i="3"/>
  <c r="AH2216" i="3"/>
  <c r="C2217" i="3"/>
  <c r="D2217" i="3"/>
  <c r="AH2217" i="3"/>
  <c r="C2218" i="3"/>
  <c r="D2218" i="3"/>
  <c r="AH2218" i="3"/>
  <c r="C2219" i="3"/>
  <c r="D2219" i="3"/>
  <c r="AH2219" i="3"/>
  <c r="C2220" i="3"/>
  <c r="D2220" i="3"/>
  <c r="AH2220" i="3"/>
  <c r="C2221" i="3"/>
  <c r="D2221" i="3"/>
  <c r="AH2221" i="3"/>
  <c r="C2222" i="3"/>
  <c r="D2222" i="3"/>
  <c r="AH2222" i="3"/>
  <c r="C2223" i="3"/>
  <c r="D2223" i="3"/>
  <c r="AH2223" i="3"/>
  <c r="C2224" i="3"/>
  <c r="D2224" i="3"/>
  <c r="AH2224" i="3"/>
  <c r="C2225" i="3"/>
  <c r="D2225" i="3"/>
  <c r="AH2225" i="3"/>
  <c r="C2226" i="3"/>
  <c r="D2226" i="3"/>
  <c r="AH2226" i="3"/>
  <c r="C2227" i="3"/>
  <c r="D2227" i="3"/>
  <c r="AH2227" i="3"/>
  <c r="C2228" i="3"/>
  <c r="D2228" i="3"/>
  <c r="AH2228" i="3"/>
  <c r="C2229" i="3"/>
  <c r="D2229" i="3"/>
  <c r="AH2229" i="3"/>
  <c r="C2230" i="3"/>
  <c r="D2230" i="3"/>
  <c r="AH2230" i="3"/>
  <c r="C2231" i="3"/>
  <c r="D2231" i="3"/>
  <c r="AH2231" i="3"/>
  <c r="C2232" i="3"/>
  <c r="D2232" i="3"/>
  <c r="AH2232" i="3"/>
  <c r="C2233" i="3"/>
  <c r="D2233" i="3"/>
  <c r="AH2233" i="3"/>
  <c r="C2234" i="3"/>
  <c r="D2234" i="3"/>
  <c r="AH2234" i="3"/>
  <c r="C2235" i="3"/>
  <c r="D2235" i="3"/>
  <c r="AH2235" i="3"/>
  <c r="C2236" i="3"/>
  <c r="AH2236" i="3"/>
  <c r="C2237" i="3"/>
  <c r="D2237" i="3"/>
  <c r="AH2237" i="3"/>
  <c r="C2238" i="3"/>
  <c r="D2238" i="3"/>
  <c r="AH2238" i="3"/>
  <c r="C2239" i="3"/>
  <c r="D2239" i="3"/>
  <c r="AH2239" i="3"/>
  <c r="C2241" i="3"/>
  <c r="C2242" i="3"/>
  <c r="D2242" i="3"/>
  <c r="AH2242" i="3"/>
  <c r="C2243" i="3"/>
  <c r="D2243" i="3"/>
  <c r="AH2243" i="3"/>
  <c r="C2244" i="3"/>
  <c r="D2244" i="3"/>
  <c r="AH2244" i="3"/>
  <c r="C2245" i="3"/>
  <c r="D2245" i="3"/>
  <c r="AH2245" i="3"/>
  <c r="C2246" i="3"/>
  <c r="D2246" i="3"/>
  <c r="AH2246" i="3"/>
  <c r="C2247" i="3"/>
  <c r="D2247" i="3"/>
  <c r="AH2247" i="3"/>
  <c r="C2248" i="3"/>
  <c r="D2248" i="3"/>
  <c r="AH2248" i="3"/>
  <c r="C2249" i="3"/>
  <c r="D2249" i="3"/>
  <c r="AH2249" i="3"/>
  <c r="C2250" i="3"/>
  <c r="D2250" i="3"/>
  <c r="AH2250" i="3"/>
  <c r="C2251" i="3"/>
  <c r="D2251" i="3"/>
  <c r="AH2251" i="3"/>
  <c r="C2252" i="3"/>
  <c r="D2252" i="3"/>
  <c r="AH2252" i="3"/>
  <c r="C2253" i="3"/>
  <c r="D2253" i="3"/>
  <c r="AH2253" i="3"/>
  <c r="C2254" i="3"/>
  <c r="D2254" i="3"/>
  <c r="AH2254" i="3"/>
  <c r="C2255" i="3"/>
  <c r="D2255" i="3"/>
  <c r="AH2255" i="3"/>
  <c r="C2256" i="3"/>
  <c r="D2256" i="3"/>
  <c r="AH2256" i="3"/>
  <c r="C2257" i="3"/>
  <c r="D2257" i="3"/>
  <c r="AH2257" i="3"/>
  <c r="C2258" i="3"/>
  <c r="D2258" i="3"/>
  <c r="AH2258" i="3"/>
  <c r="C2259" i="3"/>
  <c r="D2259" i="3"/>
  <c r="AH2259" i="3"/>
  <c r="C2260" i="3"/>
  <c r="D2260" i="3"/>
  <c r="AH2260" i="3"/>
  <c r="C2261" i="3"/>
  <c r="D2261" i="3"/>
  <c r="AH2261" i="3"/>
  <c r="C2262" i="3"/>
  <c r="D2262" i="3"/>
  <c r="AH2262" i="3"/>
  <c r="C2263" i="3"/>
  <c r="D2263" i="3"/>
  <c r="AH2263" i="3"/>
  <c r="C2264" i="3"/>
  <c r="D2264" i="3"/>
  <c r="AH2264" i="3"/>
  <c r="C2265" i="3"/>
  <c r="D2265" i="3"/>
  <c r="AH2265" i="3"/>
  <c r="C2266" i="3"/>
  <c r="D2266" i="3"/>
  <c r="AH2266" i="3"/>
  <c r="C2267" i="3"/>
  <c r="D2267" i="3"/>
  <c r="AH2267" i="3"/>
  <c r="C2269" i="3"/>
  <c r="D2269" i="3"/>
  <c r="C2270" i="3"/>
  <c r="D2270" i="3"/>
  <c r="E2270" i="3"/>
  <c r="AH2270" i="3"/>
  <c r="E2271" i="3"/>
  <c r="C2271" i="3"/>
  <c r="D2271" i="3"/>
  <c r="AH2271" i="3"/>
  <c r="C2272" i="3"/>
  <c r="D2272" i="3"/>
  <c r="E2272" i="3"/>
  <c r="AH2272" i="3"/>
  <c r="E2273" i="3"/>
  <c r="C2273" i="3"/>
  <c r="D2273" i="3"/>
  <c r="AH2273" i="3"/>
  <c r="C2274" i="3"/>
  <c r="D2274" i="3"/>
  <c r="E2274" i="3"/>
  <c r="AH2274" i="3"/>
  <c r="E2275" i="3"/>
  <c r="C2275" i="3"/>
  <c r="D2275" i="3"/>
  <c r="AH2275" i="3"/>
  <c r="C2276" i="3"/>
  <c r="D2276" i="3"/>
  <c r="E2276" i="3"/>
  <c r="AH2276" i="3"/>
  <c r="E2277" i="3"/>
  <c r="C2277" i="3"/>
  <c r="D2277" i="3"/>
  <c r="AH2277" i="3"/>
  <c r="C2278" i="3"/>
  <c r="D2278" i="3"/>
  <c r="E2278" i="3"/>
  <c r="AH2278" i="3"/>
  <c r="E2279" i="3"/>
  <c r="C2279" i="3"/>
  <c r="D2279" i="3"/>
  <c r="AH2279" i="3"/>
  <c r="C2280" i="3"/>
  <c r="D2280" i="3"/>
  <c r="E2280" i="3"/>
  <c r="AH2280" i="3"/>
  <c r="E2281" i="3"/>
  <c r="C2281" i="3"/>
  <c r="D2281" i="3"/>
  <c r="AH2281" i="3"/>
  <c r="C2282" i="3"/>
  <c r="D2282" i="3"/>
  <c r="E2282" i="3"/>
  <c r="AH2282" i="3"/>
  <c r="E2283" i="3"/>
  <c r="C2283" i="3"/>
  <c r="D2283" i="3"/>
  <c r="AH2283" i="3"/>
  <c r="C2284" i="3"/>
  <c r="D2284" i="3"/>
  <c r="E2284" i="3"/>
  <c r="AH2284" i="3"/>
  <c r="E2285" i="3"/>
  <c r="C2285" i="3"/>
  <c r="D2285" i="3"/>
  <c r="AH2285" i="3"/>
  <c r="C2286" i="3"/>
  <c r="D2286" i="3"/>
  <c r="E2286" i="3"/>
  <c r="AH2286" i="3"/>
  <c r="E2287" i="3"/>
  <c r="C2287" i="3"/>
  <c r="D2287" i="3"/>
  <c r="AH2287" i="3"/>
  <c r="C2288" i="3"/>
  <c r="D2288" i="3"/>
  <c r="E2288" i="3"/>
  <c r="AH2288" i="3"/>
  <c r="E2289" i="3"/>
  <c r="C2289" i="3"/>
  <c r="D2289" i="3"/>
  <c r="AH2289" i="3"/>
  <c r="C2290" i="3"/>
  <c r="D2290" i="3"/>
  <c r="E2290" i="3"/>
  <c r="AH2290" i="3"/>
  <c r="E2291" i="3"/>
  <c r="C2291" i="3"/>
  <c r="D2291" i="3"/>
  <c r="AH2291" i="3"/>
  <c r="C2292" i="3"/>
  <c r="D2292" i="3"/>
  <c r="E2292" i="3"/>
  <c r="AH2292" i="3"/>
  <c r="E2293" i="3"/>
  <c r="C2293" i="3"/>
  <c r="D2293" i="3"/>
  <c r="AH2293" i="3"/>
  <c r="C2294" i="3"/>
  <c r="D2294" i="3"/>
  <c r="E2294" i="3"/>
  <c r="AH2294" i="3"/>
  <c r="E2295" i="3"/>
  <c r="C2295" i="3"/>
  <c r="D2295" i="3"/>
  <c r="AH2295" i="3"/>
  <c r="B2297" i="3"/>
  <c r="D2297" i="3"/>
  <c r="C2297" i="3"/>
  <c r="C2298" i="3"/>
  <c r="D2298" i="3"/>
  <c r="AH2298" i="3"/>
  <c r="C2299" i="3"/>
  <c r="D2299" i="3"/>
  <c r="AH2299" i="3"/>
  <c r="C2300" i="3"/>
  <c r="D2300" i="3"/>
  <c r="AH2300" i="3"/>
  <c r="C2301" i="3"/>
  <c r="D2301" i="3"/>
  <c r="AH2301" i="3"/>
  <c r="C2302" i="3"/>
  <c r="D2302" i="3"/>
  <c r="AH2302" i="3"/>
  <c r="C2303" i="3"/>
  <c r="D2303" i="3"/>
  <c r="AH2303" i="3"/>
  <c r="C2304" i="3"/>
  <c r="D2304" i="3"/>
  <c r="AH2304" i="3"/>
  <c r="C2305" i="3"/>
  <c r="D2305" i="3"/>
  <c r="AH2305" i="3"/>
  <c r="C2306" i="3"/>
  <c r="D2306" i="3"/>
  <c r="AH2306" i="3"/>
  <c r="C2307" i="3"/>
  <c r="D2307" i="3"/>
  <c r="AH2307" i="3"/>
  <c r="C2308" i="3"/>
  <c r="D2308" i="3"/>
  <c r="AH2308" i="3"/>
  <c r="C2309" i="3"/>
  <c r="D2309" i="3"/>
  <c r="AH2309" i="3"/>
  <c r="C2310" i="3"/>
  <c r="D2310" i="3"/>
  <c r="AH2310" i="3"/>
  <c r="C2311" i="3"/>
  <c r="D2311" i="3"/>
  <c r="AH2311" i="3"/>
  <c r="C2312" i="3"/>
  <c r="D2312" i="3"/>
  <c r="AH2312" i="3"/>
  <c r="C2313" i="3"/>
  <c r="D2313" i="3"/>
  <c r="AH2313" i="3"/>
  <c r="C2314" i="3"/>
  <c r="D2314" i="3"/>
  <c r="AH2314" i="3"/>
  <c r="C2315" i="3"/>
  <c r="D2315" i="3"/>
  <c r="AH2315" i="3"/>
  <c r="C2316" i="3"/>
  <c r="D2316" i="3"/>
  <c r="AH2316" i="3"/>
  <c r="C2317" i="3"/>
  <c r="D2317" i="3"/>
  <c r="AH2317" i="3"/>
  <c r="C2318" i="3"/>
  <c r="D2318" i="3"/>
  <c r="AH2318" i="3"/>
  <c r="C2319" i="3"/>
  <c r="D2319" i="3"/>
  <c r="AH2319" i="3"/>
  <c r="C2320" i="3"/>
  <c r="D2320" i="3"/>
  <c r="AH2320" i="3"/>
  <c r="C2321" i="3"/>
  <c r="D2321" i="3"/>
  <c r="AH2321" i="3"/>
  <c r="C2322" i="3"/>
  <c r="D2322" i="3"/>
  <c r="AH2322" i="3"/>
  <c r="C2323" i="3"/>
  <c r="D2323" i="3"/>
  <c r="AH2323" i="3"/>
  <c r="B2325" i="3"/>
  <c r="D2325" i="3"/>
  <c r="C2325" i="3"/>
  <c r="C2326" i="3"/>
  <c r="D2326" i="3"/>
  <c r="AH2326" i="3"/>
  <c r="C2327" i="3"/>
  <c r="D2327" i="3"/>
  <c r="AH2327" i="3"/>
  <c r="C2328" i="3"/>
  <c r="D2328" i="3"/>
  <c r="AH2328" i="3"/>
  <c r="C2329" i="3"/>
  <c r="AH2329" i="3"/>
  <c r="C2330" i="3"/>
  <c r="D2330" i="3"/>
  <c r="AH2330" i="3"/>
  <c r="C2331" i="3"/>
  <c r="D2331" i="3"/>
  <c r="AH2331" i="3"/>
  <c r="E2332" i="3"/>
  <c r="C2332" i="3"/>
  <c r="D2332" i="3"/>
  <c r="AH2332" i="3"/>
  <c r="C2333" i="3"/>
  <c r="D2333" i="3"/>
  <c r="AH2333" i="3"/>
  <c r="C2334" i="3"/>
  <c r="D2334" i="3"/>
  <c r="AH2334" i="3"/>
  <c r="C2335" i="3"/>
  <c r="D2335" i="3"/>
  <c r="E2335" i="3"/>
  <c r="AH2335" i="3"/>
  <c r="E2336" i="3"/>
  <c r="C2336" i="3"/>
  <c r="D2336" i="3"/>
  <c r="AH2336" i="3"/>
  <c r="C2337" i="3"/>
  <c r="D2337" i="3"/>
  <c r="E2337" i="3"/>
  <c r="AH2337" i="3"/>
  <c r="E2338" i="3"/>
  <c r="C2338" i="3"/>
  <c r="D2338" i="3"/>
  <c r="AH2338" i="3"/>
  <c r="C2339" i="3"/>
  <c r="D2339" i="3"/>
  <c r="E2339" i="3"/>
  <c r="AH2339" i="3"/>
  <c r="E2340" i="3"/>
  <c r="C2340" i="3"/>
  <c r="D2340" i="3"/>
  <c r="AH2340" i="3"/>
  <c r="C2341" i="3"/>
  <c r="D2341" i="3"/>
  <c r="E2341" i="3"/>
  <c r="AH2341" i="3"/>
  <c r="E2342" i="3"/>
  <c r="C2342" i="3"/>
  <c r="D2342" i="3"/>
  <c r="AH2342" i="3"/>
  <c r="C2343" i="3"/>
  <c r="D2343" i="3"/>
  <c r="E2343" i="3"/>
  <c r="AH2343" i="3"/>
  <c r="E2344" i="3"/>
  <c r="C2344" i="3"/>
  <c r="D2344" i="3"/>
  <c r="AH2344" i="3"/>
  <c r="C2345" i="3"/>
  <c r="D2345" i="3"/>
  <c r="E2345" i="3"/>
  <c r="AH2345" i="3"/>
  <c r="E2346" i="3"/>
  <c r="C2346" i="3"/>
  <c r="D2346" i="3"/>
  <c r="AH2346" i="3"/>
  <c r="C2347" i="3"/>
  <c r="D2347" i="3"/>
  <c r="E2347" i="3"/>
  <c r="AH2347" i="3"/>
  <c r="E2348" i="3"/>
  <c r="C2348" i="3"/>
  <c r="D2348" i="3"/>
  <c r="AH2348" i="3"/>
  <c r="C2349" i="3"/>
  <c r="D2349" i="3"/>
  <c r="E2349" i="3"/>
  <c r="AH2349" i="3"/>
  <c r="E2350" i="3"/>
  <c r="C2350" i="3"/>
  <c r="D2350" i="3"/>
  <c r="AH2350" i="3"/>
  <c r="C2351" i="3"/>
  <c r="D2351" i="3"/>
  <c r="E2351" i="3"/>
  <c r="AH2351" i="3"/>
  <c r="C2353" i="3"/>
  <c r="D2353" i="3"/>
  <c r="E2354" i="3"/>
  <c r="C2354" i="3"/>
  <c r="D2354" i="3"/>
  <c r="AH2354" i="3"/>
  <c r="C2355" i="3"/>
  <c r="D2355" i="3"/>
  <c r="E2355" i="3"/>
  <c r="AH2355" i="3"/>
  <c r="E2356" i="3"/>
  <c r="C2356" i="3"/>
  <c r="D2356" i="3"/>
  <c r="AH2356" i="3"/>
  <c r="C2357" i="3"/>
  <c r="D2357" i="3"/>
  <c r="E2357" i="3"/>
  <c r="AH2357" i="3"/>
  <c r="E2358" i="3"/>
  <c r="C2358" i="3"/>
  <c r="D2358" i="3"/>
  <c r="AH2358" i="3"/>
  <c r="C2359" i="3"/>
  <c r="D2359" i="3"/>
  <c r="E2359" i="3"/>
  <c r="AH2359" i="3"/>
  <c r="E2360" i="3"/>
  <c r="C2360" i="3"/>
  <c r="D2360" i="3"/>
  <c r="AH2360" i="3"/>
  <c r="C2361" i="3"/>
  <c r="D2361" i="3"/>
  <c r="E2361" i="3"/>
  <c r="AH2361" i="3"/>
  <c r="E2362" i="3"/>
  <c r="C2362" i="3"/>
  <c r="D2362" i="3"/>
  <c r="AH2362" i="3"/>
  <c r="C2363" i="3"/>
  <c r="D2363" i="3"/>
  <c r="E2363" i="3"/>
  <c r="AH2363" i="3"/>
  <c r="E2364" i="3"/>
  <c r="C2364" i="3"/>
  <c r="D2364" i="3"/>
  <c r="AH2364" i="3"/>
  <c r="C2365" i="3"/>
  <c r="D2365" i="3"/>
  <c r="E2365" i="3"/>
  <c r="AH2365" i="3"/>
  <c r="E2366" i="3"/>
  <c r="C2366" i="3"/>
  <c r="D2366" i="3"/>
  <c r="AH2366" i="3"/>
  <c r="C2367" i="3"/>
  <c r="D2367" i="3"/>
  <c r="E2367" i="3"/>
  <c r="AH2367" i="3"/>
  <c r="E2368" i="3"/>
  <c r="C2368" i="3"/>
  <c r="D2368" i="3"/>
  <c r="AH2368" i="3"/>
  <c r="C2369" i="3"/>
  <c r="D2369" i="3"/>
  <c r="E2369" i="3"/>
  <c r="AH2369" i="3"/>
  <c r="E2370" i="3"/>
  <c r="C2370" i="3"/>
  <c r="D2370" i="3"/>
  <c r="AH2370" i="3"/>
  <c r="C2371" i="3"/>
  <c r="D2371" i="3"/>
  <c r="E2371" i="3"/>
  <c r="AH2371" i="3"/>
  <c r="E2372" i="3"/>
  <c r="C2372" i="3"/>
  <c r="D2372" i="3"/>
  <c r="AH2372" i="3"/>
  <c r="C2373" i="3"/>
  <c r="D2373" i="3"/>
  <c r="E2373" i="3"/>
  <c r="AH2373" i="3"/>
  <c r="E2374" i="3"/>
  <c r="C2374" i="3"/>
  <c r="D2374" i="3"/>
  <c r="AH2374" i="3"/>
  <c r="C2375" i="3"/>
  <c r="D2375" i="3"/>
  <c r="E2375" i="3"/>
  <c r="AH2375" i="3"/>
  <c r="E2376" i="3"/>
  <c r="C2376" i="3"/>
  <c r="D2376" i="3"/>
  <c r="AH2376" i="3"/>
  <c r="C2377" i="3"/>
  <c r="D2377" i="3"/>
  <c r="E2377" i="3"/>
  <c r="AH2377" i="3"/>
  <c r="E2378" i="3"/>
  <c r="C2378" i="3"/>
  <c r="D2378" i="3"/>
  <c r="AH2378" i="3"/>
  <c r="C2379" i="3"/>
  <c r="D2379" i="3"/>
  <c r="E2379" i="3"/>
  <c r="AH2379" i="3"/>
  <c r="C2381" i="3"/>
  <c r="E2382" i="3"/>
  <c r="C2382" i="3"/>
  <c r="D2382" i="3"/>
  <c r="AH2382" i="3"/>
  <c r="C2383" i="3"/>
  <c r="D2383" i="3"/>
  <c r="E2383" i="3"/>
  <c r="AH2383" i="3"/>
  <c r="E2384" i="3"/>
  <c r="C2384" i="3"/>
  <c r="D2384" i="3"/>
  <c r="AH2384" i="3"/>
  <c r="C2385" i="3"/>
  <c r="D2385" i="3"/>
  <c r="E2385" i="3"/>
  <c r="AH2385" i="3"/>
  <c r="E2386" i="3"/>
  <c r="C2386" i="3"/>
  <c r="D2386" i="3"/>
  <c r="AH2386" i="3"/>
  <c r="C2387" i="3"/>
  <c r="D2387" i="3"/>
  <c r="E2387" i="3"/>
  <c r="AH2387" i="3"/>
  <c r="E2388" i="3"/>
  <c r="C2388" i="3"/>
  <c r="D2388" i="3"/>
  <c r="AH2388" i="3"/>
  <c r="C2389" i="3"/>
  <c r="D2389" i="3"/>
  <c r="E2389" i="3"/>
  <c r="AH2389" i="3"/>
  <c r="E2390" i="3"/>
  <c r="C2390" i="3"/>
  <c r="D2390" i="3"/>
  <c r="AH2390" i="3"/>
  <c r="C2391" i="3"/>
  <c r="D2391" i="3"/>
  <c r="E2391" i="3"/>
  <c r="AH2391" i="3"/>
  <c r="E2392" i="3"/>
  <c r="C2392" i="3"/>
  <c r="D2392" i="3"/>
  <c r="AH2392" i="3"/>
  <c r="C2393" i="3"/>
  <c r="D2393" i="3"/>
  <c r="E2393" i="3"/>
  <c r="AH2393" i="3"/>
  <c r="E2394" i="3"/>
  <c r="C2394" i="3"/>
  <c r="D2394" i="3"/>
  <c r="AH2394" i="3"/>
  <c r="C2395" i="3"/>
  <c r="D2395" i="3"/>
  <c r="E2395" i="3"/>
  <c r="AH2395" i="3"/>
  <c r="E2396" i="3"/>
  <c r="C2396" i="3"/>
  <c r="D2396" i="3"/>
  <c r="AH2396" i="3"/>
  <c r="C2397" i="3"/>
  <c r="D2397" i="3"/>
  <c r="E2397" i="3"/>
  <c r="AH2397" i="3"/>
  <c r="E2398" i="3"/>
  <c r="C2398" i="3"/>
  <c r="D2398" i="3"/>
  <c r="AH2398" i="3"/>
  <c r="C2399" i="3"/>
  <c r="D2399" i="3"/>
  <c r="E2399" i="3"/>
  <c r="AH2399" i="3"/>
  <c r="E2400" i="3"/>
  <c r="C2400" i="3"/>
  <c r="D2400" i="3"/>
  <c r="AH2400" i="3"/>
  <c r="C2401" i="3"/>
  <c r="D2401" i="3"/>
  <c r="E2401" i="3"/>
  <c r="AH2401" i="3"/>
  <c r="E2402" i="3"/>
  <c r="C2402" i="3"/>
  <c r="D2402" i="3"/>
  <c r="AH2402" i="3"/>
  <c r="C2403" i="3"/>
  <c r="D2403" i="3"/>
  <c r="E2403" i="3"/>
  <c r="AH2403" i="3"/>
  <c r="E2404" i="3"/>
  <c r="C2404" i="3"/>
  <c r="D2404" i="3"/>
  <c r="AH2404" i="3"/>
  <c r="C2405" i="3"/>
  <c r="D2405" i="3"/>
  <c r="E2405" i="3"/>
  <c r="AH2405" i="3"/>
  <c r="E2406" i="3"/>
  <c r="C2406" i="3"/>
  <c r="D2406" i="3"/>
  <c r="AH2406" i="3"/>
  <c r="C2407" i="3"/>
  <c r="D2407" i="3"/>
  <c r="E2407" i="3"/>
  <c r="AH2407" i="3"/>
  <c r="B2409" i="3"/>
  <c r="D2409" i="3"/>
  <c r="C2409" i="3"/>
  <c r="E2410" i="3"/>
  <c r="C2410" i="3"/>
  <c r="D2410" i="3"/>
  <c r="AH2410" i="3"/>
  <c r="C2411" i="3"/>
  <c r="D2411" i="3"/>
  <c r="E2411" i="3"/>
  <c r="AH2411" i="3"/>
  <c r="E2412" i="3"/>
  <c r="C2412" i="3"/>
  <c r="D2412" i="3"/>
  <c r="AH2412" i="3"/>
  <c r="C2413" i="3"/>
  <c r="D2413" i="3"/>
  <c r="E2413" i="3"/>
  <c r="AH2413" i="3"/>
  <c r="E2414" i="3"/>
  <c r="C2414" i="3"/>
  <c r="D2414" i="3"/>
  <c r="AH2414" i="3"/>
  <c r="C2415" i="3"/>
  <c r="D2415" i="3"/>
  <c r="E2415" i="3"/>
  <c r="AH2415" i="3"/>
  <c r="E2416" i="3"/>
  <c r="C2416" i="3"/>
  <c r="D2416" i="3"/>
  <c r="AH2416" i="3"/>
  <c r="C2417" i="3"/>
  <c r="D2417" i="3"/>
  <c r="E2417" i="3"/>
  <c r="AH2417" i="3"/>
  <c r="E2418" i="3"/>
  <c r="C2418" i="3"/>
  <c r="D2418" i="3"/>
  <c r="AH2418" i="3"/>
  <c r="C2419" i="3"/>
  <c r="D2419" i="3"/>
  <c r="E2419" i="3"/>
  <c r="AH2419" i="3"/>
  <c r="E2420" i="3"/>
  <c r="C2420" i="3"/>
  <c r="D2420" i="3"/>
  <c r="AH2420" i="3"/>
  <c r="C2421" i="3"/>
  <c r="D2421" i="3"/>
  <c r="E2421" i="3"/>
  <c r="AH2421" i="3"/>
  <c r="E2422" i="3"/>
  <c r="C2422" i="3"/>
  <c r="D2422" i="3"/>
  <c r="AH2422" i="3"/>
  <c r="C2423" i="3"/>
  <c r="D2423" i="3"/>
  <c r="E2423" i="3"/>
  <c r="AH2423" i="3"/>
  <c r="E2424" i="3"/>
  <c r="C2424" i="3"/>
  <c r="D2424" i="3"/>
  <c r="AH2424" i="3"/>
  <c r="C2425" i="3"/>
  <c r="D2425" i="3"/>
  <c r="E2425" i="3"/>
  <c r="AH2425" i="3"/>
  <c r="E2426" i="3"/>
  <c r="C2426" i="3"/>
  <c r="D2426" i="3"/>
  <c r="AH2426" i="3"/>
  <c r="C2427" i="3"/>
  <c r="D2427" i="3"/>
  <c r="E2427" i="3"/>
  <c r="AH2427" i="3"/>
  <c r="E2428" i="3"/>
  <c r="C2428" i="3"/>
  <c r="D2428" i="3"/>
  <c r="AH2428" i="3"/>
  <c r="C2429" i="3"/>
  <c r="D2429" i="3"/>
  <c r="E2429" i="3"/>
  <c r="AH2429" i="3"/>
  <c r="E2430" i="3"/>
  <c r="C2430" i="3"/>
  <c r="D2430" i="3"/>
  <c r="AH2430" i="3"/>
  <c r="C2431" i="3"/>
  <c r="D2431" i="3"/>
  <c r="E2431" i="3"/>
  <c r="AH2431" i="3"/>
  <c r="E2432" i="3"/>
  <c r="C2432" i="3"/>
  <c r="D2432" i="3"/>
  <c r="AH2432" i="3"/>
  <c r="C2433" i="3"/>
  <c r="D2433" i="3"/>
  <c r="E2433" i="3"/>
  <c r="AH2433" i="3"/>
  <c r="E2434" i="3"/>
  <c r="C2434" i="3"/>
  <c r="D2434" i="3"/>
  <c r="AH2434" i="3"/>
  <c r="C2435" i="3"/>
  <c r="D2435" i="3"/>
  <c r="E2435" i="3"/>
  <c r="AH2435" i="3"/>
  <c r="B2437" i="3"/>
  <c r="C2437" i="3"/>
  <c r="D2437" i="3"/>
  <c r="B2438" i="3"/>
  <c r="E2438" i="3"/>
  <c r="C2438" i="3"/>
  <c r="D2438" i="3"/>
  <c r="AH2438" i="3"/>
  <c r="B2439" i="3"/>
  <c r="E2439" i="3"/>
  <c r="C2439" i="3"/>
  <c r="D2439" i="3"/>
  <c r="AH2439" i="3"/>
  <c r="B2440" i="3"/>
  <c r="D2440" i="3"/>
  <c r="E2440" i="3"/>
  <c r="C2440" i="3"/>
  <c r="B2441" i="3"/>
  <c r="D2441" i="3"/>
  <c r="C2441" i="3"/>
  <c r="E2441" i="3"/>
  <c r="B2442" i="3"/>
  <c r="E2442" i="3"/>
  <c r="C2442" i="3"/>
  <c r="D2442" i="3"/>
  <c r="AH2442" i="3"/>
  <c r="B2443" i="3"/>
  <c r="E2443" i="3"/>
  <c r="C2443" i="3"/>
  <c r="D2443" i="3"/>
  <c r="AH2443" i="3"/>
  <c r="B2444" i="3"/>
  <c r="D2444" i="3"/>
  <c r="E2444" i="3"/>
  <c r="C2444" i="3"/>
  <c r="B2445" i="3"/>
  <c r="D2445" i="3"/>
  <c r="C2445" i="3"/>
  <c r="B2446" i="3"/>
  <c r="E2446" i="3"/>
  <c r="C2446" i="3"/>
  <c r="D2446" i="3"/>
  <c r="AH2446" i="3"/>
  <c r="B2447" i="3"/>
  <c r="E2447" i="3"/>
  <c r="C2447" i="3"/>
  <c r="D2447" i="3"/>
  <c r="AH2447" i="3"/>
  <c r="B2448" i="3"/>
  <c r="C2448" i="3"/>
  <c r="B2449" i="3"/>
  <c r="C2449" i="3"/>
  <c r="B2450" i="3"/>
  <c r="E2450" i="3"/>
  <c r="C2450" i="3"/>
  <c r="D2450" i="3"/>
  <c r="AH2450" i="3"/>
  <c r="B2451" i="3"/>
  <c r="E2451" i="3"/>
  <c r="C2451" i="3"/>
  <c r="D2451" i="3"/>
  <c r="AH2451" i="3"/>
  <c r="B2452" i="3"/>
  <c r="D2452" i="3"/>
  <c r="E2452" i="3"/>
  <c r="C2452" i="3"/>
  <c r="AH2452" i="3"/>
  <c r="B2453" i="3"/>
  <c r="D2453" i="3"/>
  <c r="C2453" i="3"/>
  <c r="E2453" i="3"/>
  <c r="AH2453" i="3"/>
  <c r="B2454" i="3"/>
  <c r="E2454" i="3"/>
  <c r="C2454" i="3"/>
  <c r="D2454" i="3"/>
  <c r="AH2454" i="3"/>
  <c r="B2455" i="3"/>
  <c r="E2455" i="3"/>
  <c r="C2455" i="3"/>
  <c r="D2455" i="3"/>
  <c r="AH2455" i="3"/>
  <c r="B2456" i="3"/>
  <c r="D2456" i="3"/>
  <c r="E2456" i="3"/>
  <c r="C2456" i="3"/>
  <c r="B2457" i="3"/>
  <c r="D2457" i="3"/>
  <c r="C2457" i="3"/>
  <c r="E2457" i="3"/>
  <c r="B2458" i="3"/>
  <c r="E2458" i="3"/>
  <c r="C2458" i="3"/>
  <c r="D2458" i="3"/>
  <c r="AH2458" i="3"/>
  <c r="B2459" i="3"/>
  <c r="E2459" i="3"/>
  <c r="C2459" i="3"/>
  <c r="D2459" i="3"/>
  <c r="AH2459" i="3"/>
  <c r="B2460" i="3"/>
  <c r="D2460" i="3"/>
  <c r="E2460" i="3"/>
  <c r="C2460" i="3"/>
  <c r="B2461" i="3"/>
  <c r="D2461" i="3"/>
  <c r="C2461" i="3"/>
  <c r="B2462" i="3"/>
  <c r="E2462" i="3"/>
  <c r="C2462" i="3"/>
  <c r="D2462" i="3"/>
  <c r="AH2462" i="3"/>
  <c r="B2463" i="3"/>
  <c r="E2463" i="3"/>
  <c r="C2463" i="3"/>
  <c r="D2463" i="3"/>
  <c r="AH2463" i="3"/>
  <c r="C2465" i="3"/>
  <c r="B2466" i="3"/>
  <c r="B2467" i="3"/>
  <c r="B2468" i="3"/>
  <c r="B2469" i="3"/>
  <c r="B2470" i="3"/>
  <c r="B2471" i="3"/>
  <c r="D2471" i="3"/>
  <c r="B2472" i="3"/>
  <c r="D2472" i="3"/>
  <c r="B2473" i="3"/>
  <c r="B2474" i="3"/>
  <c r="B2475" i="3"/>
  <c r="D2475" i="3"/>
  <c r="B2476" i="3"/>
  <c r="B2477" i="3"/>
  <c r="B2478" i="3"/>
  <c r="B2479" i="3"/>
  <c r="D2479" i="3"/>
  <c r="B2480" i="3"/>
  <c r="B2481" i="3"/>
  <c r="B2482" i="3"/>
  <c r="B2483" i="3"/>
  <c r="D2483" i="3"/>
  <c r="B2484" i="3"/>
  <c r="E2484" i="3"/>
  <c r="B2485" i="3"/>
  <c r="B2486" i="3"/>
  <c r="B2487" i="3"/>
  <c r="B2488" i="3"/>
  <c r="D2488" i="3"/>
  <c r="B2489" i="3"/>
  <c r="B2490" i="3"/>
  <c r="B2491" i="3"/>
  <c r="AM2465" i="3"/>
  <c r="C2466" i="3"/>
  <c r="D2466" i="3"/>
  <c r="AH2466" i="3"/>
  <c r="C2467" i="3"/>
  <c r="C2468" i="3"/>
  <c r="AH2468" i="3"/>
  <c r="C2469" i="3"/>
  <c r="D2469" i="3"/>
  <c r="E2469" i="3"/>
  <c r="AH2469" i="3"/>
  <c r="E2470" i="3"/>
  <c r="C2470" i="3"/>
  <c r="D2470" i="3"/>
  <c r="AH2470" i="3"/>
  <c r="C2471" i="3"/>
  <c r="AH2471" i="3"/>
  <c r="E2472" i="3"/>
  <c r="C2472" i="3"/>
  <c r="C2473" i="3"/>
  <c r="D2473" i="3"/>
  <c r="E2473" i="3"/>
  <c r="AH2473" i="3"/>
  <c r="E2474" i="3"/>
  <c r="C2474" i="3"/>
  <c r="D2474" i="3"/>
  <c r="AH2474" i="3"/>
  <c r="C2475" i="3"/>
  <c r="E2476" i="3"/>
  <c r="C2476" i="3"/>
  <c r="C2477" i="3"/>
  <c r="D2477" i="3"/>
  <c r="E2477" i="3"/>
  <c r="AH2477" i="3"/>
  <c r="E2478" i="3"/>
  <c r="C2478" i="3"/>
  <c r="D2478" i="3"/>
  <c r="AH2478" i="3"/>
  <c r="C2479" i="3"/>
  <c r="E2479" i="3"/>
  <c r="C2480" i="3"/>
  <c r="D2480" i="3"/>
  <c r="C2481" i="3"/>
  <c r="D2481" i="3"/>
  <c r="E2481" i="3"/>
  <c r="AH2481" i="3"/>
  <c r="E2482" i="3"/>
  <c r="C2482" i="3"/>
  <c r="D2482" i="3"/>
  <c r="AH2482" i="3"/>
  <c r="C2483" i="3"/>
  <c r="E2483" i="3"/>
  <c r="AH2483" i="3"/>
  <c r="C2484" i="3"/>
  <c r="AH2484" i="3"/>
  <c r="C2485" i="3"/>
  <c r="D2485" i="3"/>
  <c r="E2485" i="3"/>
  <c r="AH2485" i="3"/>
  <c r="E2486" i="3"/>
  <c r="C2486" i="3"/>
  <c r="D2486" i="3"/>
  <c r="AH2486" i="3"/>
  <c r="C2487" i="3"/>
  <c r="AH2487" i="3"/>
  <c r="E2488" i="3"/>
  <c r="C2488" i="3"/>
  <c r="AH2488" i="3"/>
  <c r="C2489" i="3"/>
  <c r="D2489" i="3"/>
  <c r="E2489" i="3"/>
  <c r="AH2489" i="3"/>
  <c r="E2490" i="3"/>
  <c r="C2490" i="3"/>
  <c r="D2490" i="3"/>
  <c r="AH2490" i="3"/>
  <c r="C2491" i="3"/>
  <c r="C2493" i="3"/>
  <c r="B2494" i="3"/>
  <c r="B2495" i="3"/>
  <c r="B2496" i="3"/>
  <c r="B2497" i="3"/>
  <c r="B2498" i="3"/>
  <c r="E2498" i="3"/>
  <c r="B2499" i="3"/>
  <c r="AH2499" i="3"/>
  <c r="B2500" i="3"/>
  <c r="B2501" i="3"/>
  <c r="B2502" i="3"/>
  <c r="E2502" i="3"/>
  <c r="B2503" i="3"/>
  <c r="D2503" i="3"/>
  <c r="B2504" i="3"/>
  <c r="B2505" i="3"/>
  <c r="B2506" i="3"/>
  <c r="E2506" i="3"/>
  <c r="B2507" i="3"/>
  <c r="B2508" i="3"/>
  <c r="B2509" i="3"/>
  <c r="B2510" i="3"/>
  <c r="E2510" i="3"/>
  <c r="B2511" i="3"/>
  <c r="B2512" i="3"/>
  <c r="B2513" i="3"/>
  <c r="B2514" i="3"/>
  <c r="E2514" i="3"/>
  <c r="B2515" i="3"/>
  <c r="AH2515" i="3"/>
  <c r="B2516" i="3"/>
  <c r="B2517" i="3"/>
  <c r="B2518" i="3"/>
  <c r="E2518" i="3"/>
  <c r="B2519" i="3"/>
  <c r="D2519" i="3"/>
  <c r="C2494" i="3"/>
  <c r="AH2494" i="3"/>
  <c r="C2495" i="3"/>
  <c r="D2495" i="3"/>
  <c r="E2496" i="3"/>
  <c r="C2496" i="3"/>
  <c r="D2496" i="3"/>
  <c r="AH2496" i="3"/>
  <c r="C2497" i="3"/>
  <c r="D2497" i="3"/>
  <c r="E2497" i="3"/>
  <c r="AH2497" i="3"/>
  <c r="C2498" i="3"/>
  <c r="D2498" i="3"/>
  <c r="C2499" i="3"/>
  <c r="D2499" i="3"/>
  <c r="E2500" i="3"/>
  <c r="C2500" i="3"/>
  <c r="D2500" i="3"/>
  <c r="AH2500" i="3"/>
  <c r="C2501" i="3"/>
  <c r="D2501" i="3"/>
  <c r="E2501" i="3"/>
  <c r="AH2501" i="3"/>
  <c r="C2502" i="3"/>
  <c r="D2502" i="3"/>
  <c r="AH2502" i="3"/>
  <c r="C2503" i="3"/>
  <c r="E2504" i="3"/>
  <c r="C2504" i="3"/>
  <c r="D2504" i="3"/>
  <c r="AH2504" i="3"/>
  <c r="C2505" i="3"/>
  <c r="D2505" i="3"/>
  <c r="E2505" i="3"/>
  <c r="AH2505" i="3"/>
  <c r="C2506" i="3"/>
  <c r="D2506" i="3"/>
  <c r="AH2506" i="3"/>
  <c r="C2507" i="3"/>
  <c r="AH2507" i="3"/>
  <c r="E2508" i="3"/>
  <c r="C2508" i="3"/>
  <c r="D2508" i="3"/>
  <c r="AH2508" i="3"/>
  <c r="C2509" i="3"/>
  <c r="D2509" i="3"/>
  <c r="E2509" i="3"/>
  <c r="AH2509" i="3"/>
  <c r="C2510" i="3"/>
  <c r="AH2510" i="3"/>
  <c r="C2511" i="3"/>
  <c r="D2511" i="3"/>
  <c r="E2512" i="3"/>
  <c r="C2512" i="3"/>
  <c r="D2512" i="3"/>
  <c r="AH2512" i="3"/>
  <c r="C2513" i="3"/>
  <c r="D2513" i="3"/>
  <c r="E2513" i="3"/>
  <c r="AH2513" i="3"/>
  <c r="C2514" i="3"/>
  <c r="D2514" i="3"/>
  <c r="C2515" i="3"/>
  <c r="D2515" i="3"/>
  <c r="E2516" i="3"/>
  <c r="C2516" i="3"/>
  <c r="D2516" i="3"/>
  <c r="AH2516" i="3"/>
  <c r="C2517" i="3"/>
  <c r="D2517" i="3"/>
  <c r="E2517" i="3"/>
  <c r="AH2517" i="3"/>
  <c r="C2518" i="3"/>
  <c r="D2518" i="3"/>
  <c r="AH2518" i="3"/>
  <c r="C2519" i="3"/>
  <c r="B2521" i="3"/>
  <c r="D2521" i="3"/>
  <c r="C2521" i="3"/>
  <c r="B2522" i="3"/>
  <c r="B2523" i="3"/>
  <c r="B2524" i="3"/>
  <c r="AH2524" i="3"/>
  <c r="B2525" i="3"/>
  <c r="B2526" i="3"/>
  <c r="B2527" i="3"/>
  <c r="B2528" i="3"/>
  <c r="AH2528" i="3"/>
  <c r="B2529" i="3"/>
  <c r="B2530" i="3"/>
  <c r="B2531" i="3"/>
  <c r="B2532" i="3"/>
  <c r="AH2532" i="3"/>
  <c r="B2533" i="3"/>
  <c r="AH2533" i="3"/>
  <c r="B2534" i="3"/>
  <c r="B2535" i="3"/>
  <c r="B2536" i="3"/>
  <c r="AH2536" i="3"/>
  <c r="B2537" i="3"/>
  <c r="B2538" i="3"/>
  <c r="B2539" i="3"/>
  <c r="B2540" i="3"/>
  <c r="AH2540" i="3"/>
  <c r="B2541" i="3"/>
  <c r="B2542" i="3"/>
  <c r="B2543" i="3"/>
  <c r="B2544" i="3"/>
  <c r="AH2544" i="3"/>
  <c r="B2545" i="3"/>
  <c r="B2546" i="3"/>
  <c r="B2547" i="3"/>
  <c r="C2522" i="3"/>
  <c r="D2522" i="3"/>
  <c r="C2523" i="3"/>
  <c r="D2523" i="3"/>
  <c r="E2523" i="3"/>
  <c r="AH2523" i="3"/>
  <c r="C2524" i="3"/>
  <c r="D2524" i="3"/>
  <c r="C2525" i="3"/>
  <c r="E2526" i="3"/>
  <c r="C2526" i="3"/>
  <c r="C2527" i="3"/>
  <c r="D2527" i="3"/>
  <c r="E2527" i="3"/>
  <c r="AH2527" i="3"/>
  <c r="E2528" i="3"/>
  <c r="C2528" i="3"/>
  <c r="D2528" i="3"/>
  <c r="C2529" i="3"/>
  <c r="E2529" i="3"/>
  <c r="C2530" i="3"/>
  <c r="C2531" i="3"/>
  <c r="D2531" i="3"/>
  <c r="E2531" i="3"/>
  <c r="AH2531" i="3"/>
  <c r="E2532" i="3"/>
  <c r="C2532" i="3"/>
  <c r="C2533" i="3"/>
  <c r="D2533" i="3"/>
  <c r="C2534" i="3"/>
  <c r="C2535" i="3"/>
  <c r="D2535" i="3"/>
  <c r="E2535" i="3"/>
  <c r="AH2535" i="3"/>
  <c r="E2536" i="3"/>
  <c r="C2536" i="3"/>
  <c r="D2536" i="3"/>
  <c r="C2537" i="3"/>
  <c r="D2537" i="3"/>
  <c r="C2538" i="3"/>
  <c r="D2538" i="3"/>
  <c r="C2539" i="3"/>
  <c r="D2539" i="3"/>
  <c r="E2539" i="3"/>
  <c r="AH2539" i="3"/>
  <c r="C2540" i="3"/>
  <c r="D2540" i="3"/>
  <c r="C2541" i="3"/>
  <c r="E2542" i="3"/>
  <c r="C2542" i="3"/>
  <c r="C2543" i="3"/>
  <c r="D2543" i="3"/>
  <c r="E2543" i="3"/>
  <c r="AH2543" i="3"/>
  <c r="E2544" i="3"/>
  <c r="C2544" i="3"/>
  <c r="D2544" i="3"/>
  <c r="C2545" i="3"/>
  <c r="E2545" i="3"/>
  <c r="E2546" i="3"/>
  <c r="C2546" i="3"/>
  <c r="C2547" i="3"/>
  <c r="D2547" i="3"/>
  <c r="E2547" i="3"/>
  <c r="AH2547" i="3"/>
  <c r="B2549" i="3"/>
  <c r="D2549" i="3"/>
  <c r="C2549" i="3"/>
  <c r="B2550" i="3"/>
  <c r="B2551" i="3"/>
  <c r="B2552" i="3"/>
  <c r="B2553" i="3"/>
  <c r="E2553" i="3"/>
  <c r="B2554" i="3"/>
  <c r="B2555" i="3"/>
  <c r="B2556" i="3"/>
  <c r="B2557" i="3"/>
  <c r="E2557" i="3"/>
  <c r="B2558" i="3"/>
  <c r="B2559" i="3"/>
  <c r="E2559" i="3"/>
  <c r="B2560" i="3"/>
  <c r="B2561" i="3"/>
  <c r="E2561" i="3"/>
  <c r="B2562" i="3"/>
  <c r="B2563" i="3"/>
  <c r="B2564" i="3"/>
  <c r="B2565" i="3"/>
  <c r="E2565" i="3"/>
  <c r="B2566" i="3"/>
  <c r="B2567" i="3"/>
  <c r="B2568" i="3"/>
  <c r="B2569" i="3"/>
  <c r="E2569" i="3"/>
  <c r="B2570" i="3"/>
  <c r="B2571" i="3"/>
  <c r="B2572" i="3"/>
  <c r="B2573" i="3"/>
  <c r="E2573" i="3"/>
  <c r="B2574" i="3"/>
  <c r="B2575" i="3"/>
  <c r="E2575" i="3"/>
  <c r="C2550" i="3"/>
  <c r="D2550" i="3"/>
  <c r="AH2550" i="3"/>
  <c r="C2551" i="3"/>
  <c r="E2552" i="3"/>
  <c r="C2552" i="3"/>
  <c r="C2553" i="3"/>
  <c r="D2553" i="3"/>
  <c r="AH2553" i="3"/>
  <c r="E2554" i="3"/>
  <c r="C2554" i="3"/>
  <c r="D2554" i="3"/>
  <c r="AH2554" i="3"/>
  <c r="C2555" i="3"/>
  <c r="AH2555" i="3"/>
  <c r="E2556" i="3"/>
  <c r="C2556" i="3"/>
  <c r="C2557" i="3"/>
  <c r="D2557" i="3"/>
  <c r="AH2557" i="3"/>
  <c r="E2558" i="3"/>
  <c r="C2558" i="3"/>
  <c r="D2558" i="3"/>
  <c r="AH2558" i="3"/>
  <c r="C2559" i="3"/>
  <c r="AH2559" i="3"/>
  <c r="C2560" i="3"/>
  <c r="AH2560" i="3"/>
  <c r="C2561" i="3"/>
  <c r="D2561" i="3"/>
  <c r="AH2561" i="3"/>
  <c r="E2562" i="3"/>
  <c r="C2562" i="3"/>
  <c r="D2562" i="3"/>
  <c r="AH2562" i="3"/>
  <c r="C2563" i="3"/>
  <c r="C2564" i="3"/>
  <c r="AH2564" i="3"/>
  <c r="C2565" i="3"/>
  <c r="D2565" i="3"/>
  <c r="AH2565" i="3"/>
  <c r="E2566" i="3"/>
  <c r="C2566" i="3"/>
  <c r="D2566" i="3"/>
  <c r="AH2566" i="3"/>
  <c r="C2567" i="3"/>
  <c r="E2568" i="3"/>
  <c r="C2568" i="3"/>
  <c r="C2569" i="3"/>
  <c r="D2569" i="3"/>
  <c r="AH2569" i="3"/>
  <c r="E2570" i="3"/>
  <c r="C2570" i="3"/>
  <c r="D2570" i="3"/>
  <c r="AH2570" i="3"/>
  <c r="C2571" i="3"/>
  <c r="AH2571" i="3"/>
  <c r="E2572" i="3"/>
  <c r="C2572" i="3"/>
  <c r="C2573" i="3"/>
  <c r="D2573" i="3"/>
  <c r="AH2573" i="3"/>
  <c r="E2574" i="3"/>
  <c r="C2574" i="3"/>
  <c r="D2574" i="3"/>
  <c r="AH2574" i="3"/>
  <c r="C2575" i="3"/>
  <c r="AH2575" i="3"/>
  <c r="C2577" i="3"/>
  <c r="B2578" i="3"/>
  <c r="B2579" i="3"/>
  <c r="B2580" i="3"/>
  <c r="B2581" i="3"/>
  <c r="B2582" i="3"/>
  <c r="D2582" i="3"/>
  <c r="B2583" i="3"/>
  <c r="B2584" i="3"/>
  <c r="B2585" i="3"/>
  <c r="B2586" i="3"/>
  <c r="B2587" i="3"/>
  <c r="B2588" i="3"/>
  <c r="B2589" i="3"/>
  <c r="B2590" i="3"/>
  <c r="B2591" i="3"/>
  <c r="B2592" i="3"/>
  <c r="B2593" i="3"/>
  <c r="B2594" i="3"/>
  <c r="E2594" i="3"/>
  <c r="B2595" i="3"/>
  <c r="B2596" i="3"/>
  <c r="B2597" i="3"/>
  <c r="B2598" i="3"/>
  <c r="D2598" i="3"/>
  <c r="B2599" i="3"/>
  <c r="B2600" i="3"/>
  <c r="B2601" i="3"/>
  <c r="B2602" i="3"/>
  <c r="B2603" i="3"/>
  <c r="C2578" i="3"/>
  <c r="D2578" i="3"/>
  <c r="AH2578" i="3"/>
  <c r="C2579" i="3"/>
  <c r="E2580" i="3"/>
  <c r="C2580" i="3"/>
  <c r="D2580" i="3"/>
  <c r="AH2580" i="3"/>
  <c r="C2581" i="3"/>
  <c r="D2581" i="3"/>
  <c r="E2581" i="3"/>
  <c r="AH2581" i="3"/>
  <c r="E2582" i="3"/>
  <c r="C2582" i="3"/>
  <c r="AH2582" i="3"/>
  <c r="C2583" i="3"/>
  <c r="E2584" i="3"/>
  <c r="C2584" i="3"/>
  <c r="D2584" i="3"/>
  <c r="AH2584" i="3"/>
  <c r="C2585" i="3"/>
  <c r="D2585" i="3"/>
  <c r="E2585" i="3"/>
  <c r="AH2585" i="3"/>
  <c r="E2586" i="3"/>
  <c r="C2586" i="3"/>
  <c r="C2587" i="3"/>
  <c r="E2588" i="3"/>
  <c r="C2588" i="3"/>
  <c r="D2588" i="3"/>
  <c r="AH2588" i="3"/>
  <c r="C2589" i="3"/>
  <c r="D2589" i="3"/>
  <c r="E2589" i="3"/>
  <c r="AH2589" i="3"/>
  <c r="C2590" i="3"/>
  <c r="D2590" i="3"/>
  <c r="C2591" i="3"/>
  <c r="E2592" i="3"/>
  <c r="C2592" i="3"/>
  <c r="D2592" i="3"/>
  <c r="AH2592" i="3"/>
  <c r="C2593" i="3"/>
  <c r="D2593" i="3"/>
  <c r="E2593" i="3"/>
  <c r="AH2593" i="3"/>
  <c r="C2594" i="3"/>
  <c r="D2594" i="3"/>
  <c r="C2595" i="3"/>
  <c r="E2596" i="3"/>
  <c r="C2596" i="3"/>
  <c r="D2596" i="3"/>
  <c r="AH2596" i="3"/>
  <c r="C2597" i="3"/>
  <c r="D2597" i="3"/>
  <c r="E2597" i="3"/>
  <c r="AH2597" i="3"/>
  <c r="E2598" i="3"/>
  <c r="C2598" i="3"/>
  <c r="AH2598" i="3"/>
  <c r="C2599" i="3"/>
  <c r="E2600" i="3"/>
  <c r="C2600" i="3"/>
  <c r="D2600" i="3"/>
  <c r="AH2600" i="3"/>
  <c r="C2601" i="3"/>
  <c r="D2601" i="3"/>
  <c r="E2601" i="3"/>
  <c r="AH2601" i="3"/>
  <c r="E2602" i="3"/>
  <c r="C2602" i="3"/>
  <c r="C2603" i="3"/>
  <c r="C2605" i="3"/>
  <c r="B2606" i="3"/>
  <c r="B2607" i="3"/>
  <c r="AH2607" i="3"/>
  <c r="B2608" i="3"/>
  <c r="B2609" i="3"/>
  <c r="AH2609" i="3"/>
  <c r="B2610" i="3"/>
  <c r="E2610" i="3"/>
  <c r="B2611" i="3"/>
  <c r="B2612" i="3"/>
  <c r="B2613" i="3"/>
  <c r="B2614" i="3"/>
  <c r="E2614" i="3"/>
  <c r="B2615" i="3"/>
  <c r="B2616" i="3"/>
  <c r="B2617" i="3"/>
  <c r="D2617" i="3"/>
  <c r="B2618" i="3"/>
  <c r="E2618" i="3"/>
  <c r="B2619" i="3"/>
  <c r="B2620" i="3"/>
  <c r="B2621" i="3"/>
  <c r="E2621" i="3"/>
  <c r="B2622" i="3"/>
  <c r="E2622" i="3"/>
  <c r="B2623" i="3"/>
  <c r="B2624" i="3"/>
  <c r="B2625" i="3"/>
  <c r="AH2625" i="3"/>
  <c r="B2626" i="3"/>
  <c r="E2626" i="3"/>
  <c r="B2627" i="3"/>
  <c r="B2628" i="3"/>
  <c r="B2629" i="3"/>
  <c r="E2629" i="3"/>
  <c r="B2630" i="3"/>
  <c r="E2630" i="3"/>
  <c r="B2631" i="3"/>
  <c r="C2606" i="3"/>
  <c r="D2606" i="3"/>
  <c r="AH2606" i="3"/>
  <c r="C2607" i="3"/>
  <c r="D2607" i="3"/>
  <c r="E2607" i="3"/>
  <c r="E2608" i="3"/>
  <c r="C2608" i="3"/>
  <c r="D2608" i="3"/>
  <c r="AH2608" i="3"/>
  <c r="C2609" i="3"/>
  <c r="D2609" i="3"/>
  <c r="C2610" i="3"/>
  <c r="D2610" i="3"/>
  <c r="AH2610" i="3"/>
  <c r="C2611" i="3"/>
  <c r="D2611" i="3"/>
  <c r="E2611" i="3"/>
  <c r="AH2611" i="3"/>
  <c r="E2612" i="3"/>
  <c r="C2612" i="3"/>
  <c r="D2612" i="3"/>
  <c r="AH2612" i="3"/>
  <c r="C2613" i="3"/>
  <c r="D2613" i="3"/>
  <c r="E2613" i="3"/>
  <c r="AH2613" i="3"/>
  <c r="C2614" i="3"/>
  <c r="D2614" i="3"/>
  <c r="AH2614" i="3"/>
  <c r="C2615" i="3"/>
  <c r="E2616" i="3"/>
  <c r="C2616" i="3"/>
  <c r="D2616" i="3"/>
  <c r="AH2616" i="3"/>
  <c r="C2617" i="3"/>
  <c r="E2617" i="3"/>
  <c r="C2618" i="3"/>
  <c r="D2618" i="3"/>
  <c r="AH2618" i="3"/>
  <c r="C2619" i="3"/>
  <c r="E2620" i="3"/>
  <c r="C2620" i="3"/>
  <c r="D2620" i="3"/>
  <c r="AH2620" i="3"/>
  <c r="C2621" i="3"/>
  <c r="AH2621" i="3"/>
  <c r="C2622" i="3"/>
  <c r="D2622" i="3"/>
  <c r="AH2622" i="3"/>
  <c r="C2623" i="3"/>
  <c r="E2623" i="3"/>
  <c r="E2624" i="3"/>
  <c r="C2624" i="3"/>
  <c r="D2624" i="3"/>
  <c r="AH2624" i="3"/>
  <c r="C2625" i="3"/>
  <c r="D2625" i="3"/>
  <c r="E2625" i="3"/>
  <c r="C2626" i="3"/>
  <c r="D2626" i="3"/>
  <c r="AH2626" i="3"/>
  <c r="C2627" i="3"/>
  <c r="D2627" i="3"/>
  <c r="E2628" i="3"/>
  <c r="C2628" i="3"/>
  <c r="D2628" i="3"/>
  <c r="AH2628" i="3"/>
  <c r="C2629" i="3"/>
  <c r="D2629" i="3"/>
  <c r="AH2629" i="3"/>
  <c r="C2630" i="3"/>
  <c r="D2630" i="3"/>
  <c r="AH2630" i="3"/>
  <c r="C2631" i="3"/>
  <c r="AH2631" i="3"/>
  <c r="B2633" i="3"/>
  <c r="C2633" i="3"/>
  <c r="D2633" i="3"/>
  <c r="B2634" i="3"/>
  <c r="B2635" i="3"/>
  <c r="B2636" i="3"/>
  <c r="AH2636" i="3"/>
  <c r="B2637" i="3"/>
  <c r="B2638" i="3"/>
  <c r="B2639" i="3"/>
  <c r="B2640" i="3"/>
  <c r="AH2640" i="3"/>
  <c r="B2641" i="3"/>
  <c r="B2642" i="3"/>
  <c r="B2643" i="3"/>
  <c r="B2644" i="3"/>
  <c r="AH2644" i="3"/>
  <c r="B2645" i="3"/>
  <c r="AH2645" i="3"/>
  <c r="B2646" i="3"/>
  <c r="B2647" i="3"/>
  <c r="B2648" i="3"/>
  <c r="AH2648" i="3"/>
  <c r="B2649" i="3"/>
  <c r="AH2649" i="3"/>
  <c r="B2650" i="3"/>
  <c r="B2651" i="3"/>
  <c r="B2652" i="3"/>
  <c r="AH2652" i="3"/>
  <c r="B2653" i="3"/>
  <c r="B2654" i="3"/>
  <c r="B2655" i="3"/>
  <c r="B2656" i="3"/>
  <c r="AH2656" i="3"/>
  <c r="B2657" i="3"/>
  <c r="B2658" i="3"/>
  <c r="B2659" i="3"/>
  <c r="C2634" i="3"/>
  <c r="C2635" i="3"/>
  <c r="D2635" i="3"/>
  <c r="E2635" i="3"/>
  <c r="AH2635" i="3"/>
  <c r="E2636" i="3"/>
  <c r="C2636" i="3"/>
  <c r="D2636" i="3"/>
  <c r="C2637" i="3"/>
  <c r="D2637" i="3"/>
  <c r="C2638" i="3"/>
  <c r="C2639" i="3"/>
  <c r="D2639" i="3"/>
  <c r="E2639" i="3"/>
  <c r="AH2639" i="3"/>
  <c r="E2640" i="3"/>
  <c r="C2640" i="3"/>
  <c r="D2640" i="3"/>
  <c r="C2641" i="3"/>
  <c r="E2641" i="3"/>
  <c r="C2642" i="3"/>
  <c r="C2643" i="3"/>
  <c r="D2643" i="3"/>
  <c r="E2643" i="3"/>
  <c r="AH2643" i="3"/>
  <c r="E2644" i="3"/>
  <c r="C2644" i="3"/>
  <c r="D2644" i="3"/>
  <c r="C2645" i="3"/>
  <c r="D2645" i="3"/>
  <c r="E2645" i="3"/>
  <c r="C2646" i="3"/>
  <c r="C2647" i="3"/>
  <c r="D2647" i="3"/>
  <c r="E2647" i="3"/>
  <c r="AH2647" i="3"/>
  <c r="E2648" i="3"/>
  <c r="C2648" i="3"/>
  <c r="D2648" i="3"/>
  <c r="C2649" i="3"/>
  <c r="D2649" i="3"/>
  <c r="C2650" i="3"/>
  <c r="C2651" i="3"/>
  <c r="D2651" i="3"/>
  <c r="E2651" i="3"/>
  <c r="AH2651" i="3"/>
  <c r="E2652" i="3"/>
  <c r="C2652" i="3"/>
  <c r="D2652" i="3"/>
  <c r="C2653" i="3"/>
  <c r="D2653" i="3"/>
  <c r="C2654" i="3"/>
  <c r="C2655" i="3"/>
  <c r="D2655" i="3"/>
  <c r="E2655" i="3"/>
  <c r="AH2655" i="3"/>
  <c r="E2656" i="3"/>
  <c r="C2656" i="3"/>
  <c r="D2656" i="3"/>
  <c r="C2657" i="3"/>
  <c r="E2657" i="3"/>
  <c r="C2658" i="3"/>
  <c r="C2659" i="3"/>
  <c r="D2659" i="3"/>
  <c r="E2659" i="3"/>
  <c r="AH2659" i="3"/>
  <c r="B2661" i="3"/>
  <c r="D2661" i="3"/>
  <c r="C2661" i="3"/>
  <c r="B2662" i="3"/>
  <c r="B2663" i="3"/>
  <c r="B2664" i="3"/>
  <c r="AH2664" i="3"/>
  <c r="B2665" i="3"/>
  <c r="E2665" i="3"/>
  <c r="B2666" i="3"/>
  <c r="B2667" i="3"/>
  <c r="B2668" i="3"/>
  <c r="B2669" i="3"/>
  <c r="E2669" i="3"/>
  <c r="B2670" i="3"/>
  <c r="B2671" i="3"/>
  <c r="E2671" i="3"/>
  <c r="B2672" i="3"/>
  <c r="AH2672" i="3"/>
  <c r="B2673" i="3"/>
  <c r="B2674" i="3"/>
  <c r="B2675" i="3"/>
  <c r="E2675" i="3"/>
  <c r="B2676" i="3"/>
  <c r="B2677" i="3"/>
  <c r="B2678" i="3"/>
  <c r="B2679" i="3"/>
  <c r="B2680" i="3"/>
  <c r="B2681" i="3"/>
  <c r="E2681" i="3"/>
  <c r="B2682" i="3"/>
  <c r="B2683" i="3"/>
  <c r="B2684" i="3"/>
  <c r="B2685" i="3"/>
  <c r="E2685" i="3"/>
  <c r="B2686" i="3"/>
  <c r="B2687" i="3"/>
  <c r="E2687" i="3"/>
  <c r="AM2661" i="3"/>
  <c r="C2662" i="3"/>
  <c r="D2662" i="3"/>
  <c r="AH2662" i="3"/>
  <c r="C2663" i="3"/>
  <c r="C2664" i="3"/>
  <c r="C2665" i="3"/>
  <c r="D2665" i="3"/>
  <c r="AH2665" i="3"/>
  <c r="E2666" i="3"/>
  <c r="C2666" i="3"/>
  <c r="D2666" i="3"/>
  <c r="AH2666" i="3"/>
  <c r="C2667" i="3"/>
  <c r="C2668" i="3"/>
  <c r="C2669" i="3"/>
  <c r="D2669" i="3"/>
  <c r="AH2669" i="3"/>
  <c r="E2670" i="3"/>
  <c r="C2670" i="3"/>
  <c r="D2670" i="3"/>
  <c r="AH2670" i="3"/>
  <c r="C2671" i="3"/>
  <c r="D2671" i="3"/>
  <c r="C2672" i="3"/>
  <c r="C2673" i="3"/>
  <c r="D2673" i="3"/>
  <c r="E2674" i="3"/>
  <c r="C2674" i="3"/>
  <c r="D2674" i="3"/>
  <c r="AH2674" i="3"/>
  <c r="C2675" i="3"/>
  <c r="D2675" i="3"/>
  <c r="C2676" i="3"/>
  <c r="C2677" i="3"/>
  <c r="AH2677" i="3"/>
  <c r="E2678" i="3"/>
  <c r="C2678" i="3"/>
  <c r="D2678" i="3"/>
  <c r="AH2678" i="3"/>
  <c r="C2679" i="3"/>
  <c r="D2679" i="3"/>
  <c r="E2680" i="3"/>
  <c r="C2680" i="3"/>
  <c r="C2681" i="3"/>
  <c r="D2681" i="3"/>
  <c r="AH2681" i="3"/>
  <c r="E2682" i="3"/>
  <c r="C2682" i="3"/>
  <c r="D2682" i="3"/>
  <c r="AH2682" i="3"/>
  <c r="C2683" i="3"/>
  <c r="AH2683" i="3"/>
  <c r="C2684" i="3"/>
  <c r="C2685" i="3"/>
  <c r="D2685" i="3"/>
  <c r="AH2685" i="3"/>
  <c r="E2686" i="3"/>
  <c r="C2686" i="3"/>
  <c r="D2686" i="3"/>
  <c r="AH2686" i="3"/>
  <c r="C2687" i="3"/>
  <c r="D2687" i="3"/>
  <c r="AH2687" i="3"/>
  <c r="C2689" i="3"/>
  <c r="B2690" i="3"/>
  <c r="B2691" i="3"/>
  <c r="D2691" i="3"/>
  <c r="B2692" i="3"/>
  <c r="B2693" i="3"/>
  <c r="B2694" i="3"/>
  <c r="D2694" i="3"/>
  <c r="B2695" i="3"/>
  <c r="D2695" i="3"/>
  <c r="B2696" i="3"/>
  <c r="B2697" i="3"/>
  <c r="B2698" i="3"/>
  <c r="AH2698" i="3"/>
  <c r="B2699" i="3"/>
  <c r="D2699" i="3"/>
  <c r="B2700" i="3"/>
  <c r="B2701" i="3"/>
  <c r="B2702" i="3"/>
  <c r="E2702" i="3"/>
  <c r="B2703" i="3"/>
  <c r="D2703" i="3"/>
  <c r="B2704" i="3"/>
  <c r="B2705" i="3"/>
  <c r="B2706" i="3"/>
  <c r="B2707" i="3"/>
  <c r="D2707" i="3"/>
  <c r="B2708" i="3"/>
  <c r="B2709" i="3"/>
  <c r="B2710" i="3"/>
  <c r="D2710" i="3"/>
  <c r="B2711" i="3"/>
  <c r="D2711" i="3"/>
  <c r="B2712" i="3"/>
  <c r="D2712" i="3"/>
  <c r="B2713" i="3"/>
  <c r="B2714" i="3"/>
  <c r="AH2714" i="3"/>
  <c r="B2715" i="3"/>
  <c r="D2715" i="3"/>
  <c r="AM2689" i="3"/>
  <c r="C2690" i="3"/>
  <c r="D2690" i="3"/>
  <c r="AH2690" i="3"/>
  <c r="C2691" i="3"/>
  <c r="AH2691" i="3"/>
  <c r="C2692" i="3"/>
  <c r="C2693" i="3"/>
  <c r="D2693" i="3"/>
  <c r="E2693" i="3"/>
  <c r="AH2693" i="3"/>
  <c r="E2694" i="3"/>
  <c r="C2694" i="3"/>
  <c r="AH2694" i="3"/>
  <c r="C2695" i="3"/>
  <c r="E2695" i="3"/>
  <c r="C2696" i="3"/>
  <c r="D2696" i="3"/>
  <c r="C2697" i="3"/>
  <c r="D2697" i="3"/>
  <c r="E2697" i="3"/>
  <c r="AH2697" i="3"/>
  <c r="E2698" i="3"/>
  <c r="C2698" i="3"/>
  <c r="D2698" i="3"/>
  <c r="C2699" i="3"/>
  <c r="E2699" i="3"/>
  <c r="AH2699" i="3"/>
  <c r="C2700" i="3"/>
  <c r="AH2700" i="3"/>
  <c r="C2701" i="3"/>
  <c r="D2701" i="3"/>
  <c r="E2701" i="3"/>
  <c r="AH2701" i="3"/>
  <c r="C2702" i="3"/>
  <c r="D2702" i="3"/>
  <c r="AH2702" i="3"/>
  <c r="C2703" i="3"/>
  <c r="E2703" i="3"/>
  <c r="AH2703" i="3"/>
  <c r="E2704" i="3"/>
  <c r="C2704" i="3"/>
  <c r="C2705" i="3"/>
  <c r="D2705" i="3"/>
  <c r="E2705" i="3"/>
  <c r="AH2705" i="3"/>
  <c r="E2706" i="3"/>
  <c r="C2706" i="3"/>
  <c r="D2706" i="3"/>
  <c r="AH2706" i="3"/>
  <c r="C2707" i="3"/>
  <c r="AH2707" i="3"/>
  <c r="C2708" i="3"/>
  <c r="C2709" i="3"/>
  <c r="D2709" i="3"/>
  <c r="E2709" i="3"/>
  <c r="AH2709" i="3"/>
  <c r="E2710" i="3"/>
  <c r="C2710" i="3"/>
  <c r="AH2710" i="3"/>
  <c r="C2711" i="3"/>
  <c r="E2711" i="3"/>
  <c r="C2712" i="3"/>
  <c r="C2713" i="3"/>
  <c r="D2713" i="3"/>
  <c r="E2713" i="3"/>
  <c r="AH2713" i="3"/>
  <c r="E2714" i="3"/>
  <c r="C2714" i="3"/>
  <c r="D2714" i="3"/>
  <c r="C2715" i="3"/>
  <c r="E2715" i="3"/>
  <c r="AH2715" i="3"/>
  <c r="C2717" i="3"/>
  <c r="B2718" i="3"/>
  <c r="B2719" i="3"/>
  <c r="B2720" i="3"/>
  <c r="B2721" i="3"/>
  <c r="D2721" i="3"/>
  <c r="B2722" i="3"/>
  <c r="B2723" i="3"/>
  <c r="B2724" i="3"/>
  <c r="B2725" i="3"/>
  <c r="D2725" i="3"/>
  <c r="B2726" i="3"/>
  <c r="E2726" i="3"/>
  <c r="B2727" i="3"/>
  <c r="B2728" i="3"/>
  <c r="B2729" i="3"/>
  <c r="D2729" i="3"/>
  <c r="B2730" i="3"/>
  <c r="E2730" i="3"/>
  <c r="B2731" i="3"/>
  <c r="B2732" i="3"/>
  <c r="B2733" i="3"/>
  <c r="D2733" i="3"/>
  <c r="B2734" i="3"/>
  <c r="E2734" i="3"/>
  <c r="B2735" i="3"/>
  <c r="B2736" i="3"/>
  <c r="B2737" i="3"/>
  <c r="D2737" i="3"/>
  <c r="B2738" i="3"/>
  <c r="B2739" i="3"/>
  <c r="B2740" i="3"/>
  <c r="B2741" i="3"/>
  <c r="B2742" i="3"/>
  <c r="E2742" i="3"/>
  <c r="B2743" i="3"/>
  <c r="C2718" i="3"/>
  <c r="C2719" i="3"/>
  <c r="D2719" i="3"/>
  <c r="E2719" i="3"/>
  <c r="AH2719" i="3"/>
  <c r="E2720" i="3"/>
  <c r="C2720" i="3"/>
  <c r="D2720" i="3"/>
  <c r="AH2720" i="3"/>
  <c r="C2721" i="3"/>
  <c r="E2721" i="3"/>
  <c r="AH2721" i="3"/>
  <c r="C2722" i="3"/>
  <c r="C2723" i="3"/>
  <c r="D2723" i="3"/>
  <c r="E2723" i="3"/>
  <c r="AH2723" i="3"/>
  <c r="E2724" i="3"/>
  <c r="C2724" i="3"/>
  <c r="D2724" i="3"/>
  <c r="AH2724" i="3"/>
  <c r="C2725" i="3"/>
  <c r="AH2725" i="3"/>
  <c r="C2726" i="3"/>
  <c r="C2727" i="3"/>
  <c r="D2727" i="3"/>
  <c r="E2727" i="3"/>
  <c r="AH2727" i="3"/>
  <c r="E2728" i="3"/>
  <c r="C2728" i="3"/>
  <c r="D2728" i="3"/>
  <c r="AH2728" i="3"/>
  <c r="C2729" i="3"/>
  <c r="AH2729" i="3"/>
  <c r="C2730" i="3"/>
  <c r="C2731" i="3"/>
  <c r="D2731" i="3"/>
  <c r="E2731" i="3"/>
  <c r="AH2731" i="3"/>
  <c r="E2732" i="3"/>
  <c r="C2732" i="3"/>
  <c r="D2732" i="3"/>
  <c r="AH2732" i="3"/>
  <c r="C2733" i="3"/>
  <c r="AH2733" i="3"/>
  <c r="C2734" i="3"/>
  <c r="C2735" i="3"/>
  <c r="D2735" i="3"/>
  <c r="E2735" i="3"/>
  <c r="AH2735" i="3"/>
  <c r="E2736" i="3"/>
  <c r="C2736" i="3"/>
  <c r="D2736" i="3"/>
  <c r="AH2736" i="3"/>
  <c r="C2737" i="3"/>
  <c r="E2737" i="3"/>
  <c r="AH2737" i="3"/>
  <c r="C2738" i="3"/>
  <c r="C2739" i="3"/>
  <c r="D2739" i="3"/>
  <c r="E2739" i="3"/>
  <c r="AH2739" i="3"/>
  <c r="E2740" i="3"/>
  <c r="C2740" i="3"/>
  <c r="D2740" i="3"/>
  <c r="AH2740" i="3"/>
  <c r="C2741" i="3"/>
  <c r="D2741" i="3"/>
  <c r="E2741" i="3"/>
  <c r="AH2741" i="3"/>
  <c r="C2742" i="3"/>
  <c r="C2743" i="3"/>
  <c r="D2743" i="3"/>
  <c r="E2743" i="3"/>
  <c r="AH2743" i="3"/>
  <c r="B2745" i="3"/>
  <c r="D2745" i="3"/>
  <c r="C2745" i="3"/>
  <c r="B2746" i="3"/>
  <c r="B2747" i="3"/>
  <c r="B2748" i="3"/>
  <c r="D2748" i="3"/>
  <c r="B2749" i="3"/>
  <c r="B2750" i="3"/>
  <c r="B2751" i="3"/>
  <c r="B2752" i="3"/>
  <c r="D2752" i="3"/>
  <c r="B2753" i="3"/>
  <c r="B2754" i="3"/>
  <c r="B2755" i="3"/>
  <c r="B2756" i="3"/>
  <c r="D2756" i="3"/>
  <c r="B2757" i="3"/>
  <c r="B2758" i="3"/>
  <c r="B2759" i="3"/>
  <c r="B2760" i="3"/>
  <c r="D2760" i="3"/>
  <c r="B2761" i="3"/>
  <c r="B2762" i="3"/>
  <c r="B2763" i="3"/>
  <c r="B2764" i="3"/>
  <c r="D2764" i="3"/>
  <c r="B2765" i="3"/>
  <c r="B2766" i="3"/>
  <c r="B2767" i="3"/>
  <c r="B2768" i="3"/>
  <c r="D2768" i="3"/>
  <c r="B2769" i="3"/>
  <c r="B2770" i="3"/>
  <c r="B2771" i="3"/>
  <c r="C2746" i="3"/>
  <c r="D2746" i="3"/>
  <c r="AH2746" i="3"/>
  <c r="C2747" i="3"/>
  <c r="AH2747" i="3"/>
  <c r="E2748" i="3"/>
  <c r="C2748" i="3"/>
  <c r="AH2748" i="3"/>
  <c r="C2749" i="3"/>
  <c r="D2749" i="3"/>
  <c r="E2749" i="3"/>
  <c r="AH2749" i="3"/>
  <c r="E2750" i="3"/>
  <c r="C2750" i="3"/>
  <c r="D2750" i="3"/>
  <c r="AH2750" i="3"/>
  <c r="C2751" i="3"/>
  <c r="AH2751" i="3"/>
  <c r="E2752" i="3"/>
  <c r="C2752" i="3"/>
  <c r="AH2752" i="3"/>
  <c r="C2753" i="3"/>
  <c r="D2753" i="3"/>
  <c r="E2753" i="3"/>
  <c r="AH2753" i="3"/>
  <c r="E2754" i="3"/>
  <c r="C2754" i="3"/>
  <c r="D2754" i="3"/>
  <c r="AH2754" i="3"/>
  <c r="C2755" i="3"/>
  <c r="AH2755" i="3"/>
  <c r="E2756" i="3"/>
  <c r="C2756" i="3"/>
  <c r="AH2756" i="3"/>
  <c r="C2757" i="3"/>
  <c r="D2757" i="3"/>
  <c r="E2757" i="3"/>
  <c r="AH2757" i="3"/>
  <c r="E2758" i="3"/>
  <c r="C2758" i="3"/>
  <c r="D2758" i="3"/>
  <c r="AH2758" i="3"/>
  <c r="C2759" i="3"/>
  <c r="AH2759" i="3"/>
  <c r="E2760" i="3"/>
  <c r="C2760" i="3"/>
  <c r="AH2760" i="3"/>
  <c r="C2761" i="3"/>
  <c r="D2761" i="3"/>
  <c r="E2761" i="3"/>
  <c r="AH2761" i="3"/>
  <c r="E2762" i="3"/>
  <c r="C2762" i="3"/>
  <c r="D2762" i="3"/>
  <c r="AH2762" i="3"/>
  <c r="C2763" i="3"/>
  <c r="AH2763" i="3"/>
  <c r="E2764" i="3"/>
  <c r="C2764" i="3"/>
  <c r="AH2764" i="3"/>
  <c r="C2765" i="3"/>
  <c r="D2765" i="3"/>
  <c r="E2765" i="3"/>
  <c r="AH2765" i="3"/>
  <c r="E2766" i="3"/>
  <c r="C2766" i="3"/>
  <c r="D2766" i="3"/>
  <c r="AH2766" i="3"/>
  <c r="C2767" i="3"/>
  <c r="AH2767" i="3"/>
  <c r="E2768" i="3"/>
  <c r="C2768" i="3"/>
  <c r="AH2768" i="3"/>
  <c r="C2769" i="3"/>
  <c r="D2769" i="3"/>
  <c r="E2769" i="3"/>
  <c r="AH2769" i="3"/>
  <c r="E2770" i="3"/>
  <c r="C2770" i="3"/>
  <c r="D2770" i="3"/>
  <c r="AH2770" i="3"/>
  <c r="C2771" i="3"/>
  <c r="AH2771" i="3"/>
  <c r="B2773" i="3"/>
  <c r="D2773" i="3"/>
  <c r="C2773" i="3"/>
  <c r="B2774" i="3"/>
  <c r="B2775" i="3"/>
  <c r="D2775" i="3"/>
  <c r="B2776" i="3"/>
  <c r="B2777" i="3"/>
  <c r="B2778" i="3"/>
  <c r="B2779" i="3"/>
  <c r="D2779" i="3"/>
  <c r="B2780" i="3"/>
  <c r="B2781" i="3"/>
  <c r="B2782" i="3"/>
  <c r="D2782" i="3"/>
  <c r="B2783" i="3"/>
  <c r="D2783" i="3"/>
  <c r="B2784" i="3"/>
  <c r="B2785" i="3"/>
  <c r="B2786" i="3"/>
  <c r="D2786" i="3"/>
  <c r="B2787" i="3"/>
  <c r="D2787" i="3"/>
  <c r="B2788" i="3"/>
  <c r="B2789" i="3"/>
  <c r="B2790" i="3"/>
  <c r="B2791" i="3"/>
  <c r="D2791" i="3"/>
  <c r="B2792" i="3"/>
  <c r="B2793" i="3"/>
  <c r="B2794" i="3"/>
  <c r="E2794" i="3"/>
  <c r="B2795" i="3"/>
  <c r="D2795" i="3"/>
  <c r="B2796" i="3"/>
  <c r="B2797" i="3"/>
  <c r="B2798" i="3"/>
  <c r="E2798" i="3"/>
  <c r="B2799" i="3"/>
  <c r="D2799" i="3"/>
  <c r="C2774" i="3"/>
  <c r="D2774" i="3"/>
  <c r="C2775" i="3"/>
  <c r="E2775" i="3"/>
  <c r="AH2775" i="3"/>
  <c r="E2776" i="3"/>
  <c r="C2776" i="3"/>
  <c r="D2776" i="3"/>
  <c r="AH2776" i="3"/>
  <c r="C2777" i="3"/>
  <c r="D2777" i="3"/>
  <c r="E2777" i="3"/>
  <c r="AH2777" i="3"/>
  <c r="C2778" i="3"/>
  <c r="D2778" i="3"/>
  <c r="C2779" i="3"/>
  <c r="E2779" i="3"/>
  <c r="AH2779" i="3"/>
  <c r="E2780" i="3"/>
  <c r="C2780" i="3"/>
  <c r="D2780" i="3"/>
  <c r="AH2780" i="3"/>
  <c r="C2781" i="3"/>
  <c r="D2781" i="3"/>
  <c r="E2781" i="3"/>
  <c r="AH2781" i="3"/>
  <c r="C2782" i="3"/>
  <c r="C2783" i="3"/>
  <c r="E2783" i="3"/>
  <c r="AH2783" i="3"/>
  <c r="E2784" i="3"/>
  <c r="C2784" i="3"/>
  <c r="D2784" i="3"/>
  <c r="AH2784" i="3"/>
  <c r="C2785" i="3"/>
  <c r="D2785" i="3"/>
  <c r="E2785" i="3"/>
  <c r="AH2785" i="3"/>
  <c r="C2786" i="3"/>
  <c r="C2787" i="3"/>
  <c r="E2787" i="3"/>
  <c r="AH2787" i="3"/>
  <c r="E2788" i="3"/>
  <c r="C2788" i="3"/>
  <c r="D2788" i="3"/>
  <c r="AH2788" i="3"/>
  <c r="C2789" i="3"/>
  <c r="D2789" i="3"/>
  <c r="E2789" i="3"/>
  <c r="AH2789" i="3"/>
  <c r="C2790" i="3"/>
  <c r="D2790" i="3"/>
  <c r="C2791" i="3"/>
  <c r="E2791" i="3"/>
  <c r="AH2791" i="3"/>
  <c r="E2792" i="3"/>
  <c r="C2792" i="3"/>
  <c r="D2792" i="3"/>
  <c r="AH2792" i="3"/>
  <c r="C2793" i="3"/>
  <c r="D2793" i="3"/>
  <c r="E2793" i="3"/>
  <c r="AH2793" i="3"/>
  <c r="C2794" i="3"/>
  <c r="D2794" i="3"/>
  <c r="C2795" i="3"/>
  <c r="E2795" i="3"/>
  <c r="AH2795" i="3"/>
  <c r="E2796" i="3"/>
  <c r="C2796" i="3"/>
  <c r="D2796" i="3"/>
  <c r="AH2796" i="3"/>
  <c r="C2797" i="3"/>
  <c r="D2797" i="3"/>
  <c r="E2797" i="3"/>
  <c r="AH2797" i="3"/>
  <c r="C2798" i="3"/>
  <c r="AH2798" i="3"/>
  <c r="C2799" i="3"/>
  <c r="E2799" i="3"/>
  <c r="AH2799" i="3"/>
  <c r="C2801" i="3"/>
  <c r="D2801" i="3"/>
  <c r="B2802" i="3"/>
  <c r="B2803" i="3"/>
  <c r="B2804" i="3"/>
  <c r="AH2804" i="3"/>
  <c r="B2805" i="3"/>
  <c r="AH2805" i="3"/>
  <c r="B2806" i="3"/>
  <c r="B2807" i="3"/>
  <c r="B2808" i="3"/>
  <c r="AH2808" i="3"/>
  <c r="B2809" i="3"/>
  <c r="AH2809" i="3"/>
  <c r="B2810" i="3"/>
  <c r="B2811" i="3"/>
  <c r="B2812" i="3"/>
  <c r="AH2812" i="3"/>
  <c r="B2813" i="3"/>
  <c r="AH2813" i="3"/>
  <c r="B2814" i="3"/>
  <c r="B2815" i="3"/>
  <c r="B2816" i="3"/>
  <c r="AH2816" i="3"/>
  <c r="B2817" i="3"/>
  <c r="AH2817" i="3"/>
  <c r="B2818" i="3"/>
  <c r="B2819" i="3"/>
  <c r="B2820" i="3"/>
  <c r="AH2820" i="3"/>
  <c r="B2821" i="3"/>
  <c r="AH2821" i="3"/>
  <c r="B2822" i="3"/>
  <c r="B2823" i="3"/>
  <c r="B2824" i="3"/>
  <c r="AH2824" i="3"/>
  <c r="B2825" i="3"/>
  <c r="AH2825" i="3"/>
  <c r="B2826" i="3"/>
  <c r="B2827" i="3"/>
  <c r="C2802" i="3"/>
  <c r="D2802" i="3"/>
  <c r="C2803" i="3"/>
  <c r="D2803" i="3"/>
  <c r="E2803" i="3"/>
  <c r="AH2803" i="3"/>
  <c r="E2804" i="3"/>
  <c r="C2804" i="3"/>
  <c r="D2804" i="3"/>
  <c r="C2805" i="3"/>
  <c r="E2805" i="3"/>
  <c r="C2806" i="3"/>
  <c r="D2806" i="3"/>
  <c r="C2807" i="3"/>
  <c r="D2807" i="3"/>
  <c r="E2807" i="3"/>
  <c r="AH2807" i="3"/>
  <c r="E2808" i="3"/>
  <c r="C2808" i="3"/>
  <c r="D2808" i="3"/>
  <c r="C2809" i="3"/>
  <c r="E2809" i="3"/>
  <c r="C2810" i="3"/>
  <c r="D2810" i="3"/>
  <c r="C2811" i="3"/>
  <c r="D2811" i="3"/>
  <c r="E2811" i="3"/>
  <c r="AH2811" i="3"/>
  <c r="E2812" i="3"/>
  <c r="C2812" i="3"/>
  <c r="D2812" i="3"/>
  <c r="C2813" i="3"/>
  <c r="E2813" i="3"/>
  <c r="C2814" i="3"/>
  <c r="D2814" i="3"/>
  <c r="C2815" i="3"/>
  <c r="D2815" i="3"/>
  <c r="E2815" i="3"/>
  <c r="AH2815" i="3"/>
  <c r="E2816" i="3"/>
  <c r="C2816" i="3"/>
  <c r="D2816" i="3"/>
  <c r="C2817" i="3"/>
  <c r="E2817" i="3"/>
  <c r="C2818" i="3"/>
  <c r="D2818" i="3"/>
  <c r="C2819" i="3"/>
  <c r="D2819" i="3"/>
  <c r="E2819" i="3"/>
  <c r="AH2819" i="3"/>
  <c r="E2820" i="3"/>
  <c r="C2820" i="3"/>
  <c r="D2820" i="3"/>
  <c r="C2821" i="3"/>
  <c r="E2821" i="3"/>
  <c r="C2822" i="3"/>
  <c r="D2822" i="3"/>
  <c r="C2823" i="3"/>
  <c r="D2823" i="3"/>
  <c r="E2823" i="3"/>
  <c r="AH2823" i="3"/>
  <c r="E2824" i="3"/>
  <c r="C2824" i="3"/>
  <c r="D2824" i="3"/>
  <c r="C2825" i="3"/>
  <c r="E2825" i="3"/>
  <c r="C2826" i="3"/>
  <c r="D2826" i="3"/>
  <c r="C2827" i="3"/>
  <c r="D2827" i="3"/>
  <c r="E2827" i="3"/>
  <c r="AH2827" i="3"/>
  <c r="C2829" i="3"/>
  <c r="B2830" i="3"/>
  <c r="B2831" i="3"/>
  <c r="E2831" i="3"/>
  <c r="B2832" i="3"/>
  <c r="E2832" i="3"/>
  <c r="B2833" i="3"/>
  <c r="D2833" i="3"/>
  <c r="B2834" i="3"/>
  <c r="B2835" i="3"/>
  <c r="E2835" i="3"/>
  <c r="B2836" i="3"/>
  <c r="E2836" i="3"/>
  <c r="B2837" i="3"/>
  <c r="B2838" i="3"/>
  <c r="B2839" i="3"/>
  <c r="E2839" i="3"/>
  <c r="B2840" i="3"/>
  <c r="D2840" i="3"/>
  <c r="B2841" i="3"/>
  <c r="E2841" i="3"/>
  <c r="B2842" i="3"/>
  <c r="B2843" i="3"/>
  <c r="E2843" i="3"/>
  <c r="B2844" i="3"/>
  <c r="D2844" i="3"/>
  <c r="B2845" i="3"/>
  <c r="E2845" i="3"/>
  <c r="B2846" i="3"/>
  <c r="B2847" i="3"/>
  <c r="E2847" i="3"/>
  <c r="B2848" i="3"/>
  <c r="D2848" i="3"/>
  <c r="B2849" i="3"/>
  <c r="E2849" i="3"/>
  <c r="B2850" i="3"/>
  <c r="B2851" i="3"/>
  <c r="E2851" i="3"/>
  <c r="B2852" i="3"/>
  <c r="D2852" i="3"/>
  <c r="B2853" i="3"/>
  <c r="E2853" i="3"/>
  <c r="B2854" i="3"/>
  <c r="B2855" i="3"/>
  <c r="E2855" i="3"/>
  <c r="AM2829" i="3"/>
  <c r="C2830" i="3"/>
  <c r="D2830" i="3"/>
  <c r="AH2830" i="3"/>
  <c r="C2831" i="3"/>
  <c r="D2831" i="3"/>
  <c r="AH2831" i="3"/>
  <c r="C2832" i="3"/>
  <c r="C2833" i="3"/>
  <c r="E2834" i="3"/>
  <c r="C2834" i="3"/>
  <c r="D2834" i="3"/>
  <c r="AH2834" i="3"/>
  <c r="C2835" i="3"/>
  <c r="D2835" i="3"/>
  <c r="AH2835" i="3"/>
  <c r="C2836" i="3"/>
  <c r="C2837" i="3"/>
  <c r="D2837" i="3"/>
  <c r="E2838" i="3"/>
  <c r="C2838" i="3"/>
  <c r="D2838" i="3"/>
  <c r="AH2838" i="3"/>
  <c r="C2839" i="3"/>
  <c r="D2839" i="3"/>
  <c r="AH2839" i="3"/>
  <c r="E2840" i="3"/>
  <c r="C2840" i="3"/>
  <c r="C2841" i="3"/>
  <c r="D2841" i="3"/>
  <c r="E2842" i="3"/>
  <c r="C2842" i="3"/>
  <c r="D2842" i="3"/>
  <c r="AH2842" i="3"/>
  <c r="C2843" i="3"/>
  <c r="D2843" i="3"/>
  <c r="AH2843" i="3"/>
  <c r="C2844" i="3"/>
  <c r="AH2844" i="3"/>
  <c r="C2845" i="3"/>
  <c r="E2846" i="3"/>
  <c r="C2846" i="3"/>
  <c r="D2846" i="3"/>
  <c r="AH2846" i="3"/>
  <c r="C2847" i="3"/>
  <c r="D2847" i="3"/>
  <c r="AH2847" i="3"/>
  <c r="C2848" i="3"/>
  <c r="AH2848" i="3"/>
  <c r="C2849" i="3"/>
  <c r="AH2849" i="3"/>
  <c r="E2850" i="3"/>
  <c r="C2850" i="3"/>
  <c r="D2850" i="3"/>
  <c r="AH2850" i="3"/>
  <c r="C2851" i="3"/>
  <c r="D2851" i="3"/>
  <c r="AH2851" i="3"/>
  <c r="E2852" i="3"/>
  <c r="C2852" i="3"/>
  <c r="C2853" i="3"/>
  <c r="D2853" i="3"/>
  <c r="AH2853" i="3"/>
  <c r="E2854" i="3"/>
  <c r="C2854" i="3"/>
  <c r="D2854" i="3"/>
  <c r="AH2854" i="3"/>
  <c r="C2855" i="3"/>
  <c r="D2855" i="3"/>
  <c r="AH2855" i="3"/>
  <c r="B2857" i="3"/>
  <c r="D2857" i="3"/>
  <c r="C2857" i="3"/>
  <c r="B2858" i="3"/>
  <c r="B2859" i="3"/>
  <c r="D2859" i="3"/>
  <c r="B2860" i="3"/>
  <c r="D2860" i="3"/>
  <c r="B2861" i="3"/>
  <c r="B2862" i="3"/>
  <c r="B2863" i="3"/>
  <c r="D2863" i="3"/>
  <c r="B2864" i="3"/>
  <c r="AH2864" i="3"/>
  <c r="B2865" i="3"/>
  <c r="B2866" i="3"/>
  <c r="B2867" i="3"/>
  <c r="D2867" i="3"/>
  <c r="B2868" i="3"/>
  <c r="E2868" i="3"/>
  <c r="B2869" i="3"/>
  <c r="B2870" i="3"/>
  <c r="B2871" i="3"/>
  <c r="D2871" i="3"/>
  <c r="B2872" i="3"/>
  <c r="E2872" i="3"/>
  <c r="B2873" i="3"/>
  <c r="B2874" i="3"/>
  <c r="B2875" i="3"/>
  <c r="D2875" i="3"/>
  <c r="B2876" i="3"/>
  <c r="E2876" i="3"/>
  <c r="B2877" i="3"/>
  <c r="B2878" i="3"/>
  <c r="B2879" i="3"/>
  <c r="D2879" i="3"/>
  <c r="B2880" i="3"/>
  <c r="E2880" i="3"/>
  <c r="B2881" i="3"/>
  <c r="B2882" i="3"/>
  <c r="B2883" i="3"/>
  <c r="D2883" i="3"/>
  <c r="AM2857" i="3"/>
  <c r="C2858" i="3"/>
  <c r="D2858" i="3"/>
  <c r="AH2858" i="3"/>
  <c r="C2859" i="3"/>
  <c r="E2860" i="3"/>
  <c r="C2860" i="3"/>
  <c r="C2861" i="3"/>
  <c r="D2861" i="3"/>
  <c r="E2861" i="3"/>
  <c r="AH2861" i="3"/>
  <c r="E2862" i="3"/>
  <c r="C2862" i="3"/>
  <c r="D2862" i="3"/>
  <c r="AH2862" i="3"/>
  <c r="C2863" i="3"/>
  <c r="E2863" i="3"/>
  <c r="C2864" i="3"/>
  <c r="D2864" i="3"/>
  <c r="C2865" i="3"/>
  <c r="D2865" i="3"/>
  <c r="E2865" i="3"/>
  <c r="AH2865" i="3"/>
  <c r="E2866" i="3"/>
  <c r="C2866" i="3"/>
  <c r="D2866" i="3"/>
  <c r="AH2866" i="3"/>
  <c r="C2867" i="3"/>
  <c r="E2867" i="3"/>
  <c r="AH2867" i="3"/>
  <c r="C2868" i="3"/>
  <c r="D2868" i="3"/>
  <c r="AH2868" i="3"/>
  <c r="C2869" i="3"/>
  <c r="D2869" i="3"/>
  <c r="E2869" i="3"/>
  <c r="AH2869" i="3"/>
  <c r="E2870" i="3"/>
  <c r="C2870" i="3"/>
  <c r="D2870" i="3"/>
  <c r="AH2870" i="3"/>
  <c r="C2871" i="3"/>
  <c r="E2871" i="3"/>
  <c r="AH2871" i="3"/>
  <c r="C2872" i="3"/>
  <c r="D2872" i="3"/>
  <c r="AH2872" i="3"/>
  <c r="C2873" i="3"/>
  <c r="D2873" i="3"/>
  <c r="E2873" i="3"/>
  <c r="AH2873" i="3"/>
  <c r="E2874" i="3"/>
  <c r="C2874" i="3"/>
  <c r="D2874" i="3"/>
  <c r="AH2874" i="3"/>
  <c r="C2875" i="3"/>
  <c r="E2875" i="3"/>
  <c r="AH2875" i="3"/>
  <c r="C2876" i="3"/>
  <c r="D2876" i="3"/>
  <c r="AH2876" i="3"/>
  <c r="C2877" i="3"/>
  <c r="D2877" i="3"/>
  <c r="E2877" i="3"/>
  <c r="AH2877" i="3"/>
  <c r="E2878" i="3"/>
  <c r="C2878" i="3"/>
  <c r="D2878" i="3"/>
  <c r="AH2878" i="3"/>
  <c r="C2879" i="3"/>
  <c r="E2879" i="3"/>
  <c r="AH2879" i="3"/>
  <c r="C2880" i="3"/>
  <c r="D2880" i="3"/>
  <c r="AH2880" i="3"/>
  <c r="C2881" i="3"/>
  <c r="D2881" i="3"/>
  <c r="E2881" i="3"/>
  <c r="AH2881" i="3"/>
  <c r="E2882" i="3"/>
  <c r="C2882" i="3"/>
  <c r="D2882" i="3"/>
  <c r="AH2882" i="3"/>
  <c r="C2883" i="3"/>
  <c r="E2883" i="3"/>
  <c r="AH2883" i="3"/>
  <c r="B2885" i="3"/>
  <c r="D2885" i="3"/>
  <c r="C2885" i="3"/>
  <c r="B2886" i="3"/>
  <c r="AH2886" i="3"/>
  <c r="B2887" i="3"/>
  <c r="B2888" i="3"/>
  <c r="B2889" i="3"/>
  <c r="E2889" i="3"/>
  <c r="B2890" i="3"/>
  <c r="AH2890" i="3"/>
  <c r="B2891" i="3"/>
  <c r="B2892" i="3"/>
  <c r="B2893" i="3"/>
  <c r="AH2893" i="3"/>
  <c r="B2894" i="3"/>
  <c r="AH2894" i="3"/>
  <c r="B2895" i="3"/>
  <c r="B2896" i="3"/>
  <c r="B2897" i="3"/>
  <c r="AH2897" i="3"/>
  <c r="B2898" i="3"/>
  <c r="AH2898" i="3"/>
  <c r="B2899" i="3"/>
  <c r="B2900" i="3"/>
  <c r="B2901" i="3"/>
  <c r="AH2901" i="3"/>
  <c r="B2902" i="3"/>
  <c r="AH2902" i="3"/>
  <c r="B2903" i="3"/>
  <c r="B2904" i="3"/>
  <c r="B2905" i="3"/>
  <c r="AH2905" i="3"/>
  <c r="B2906" i="3"/>
  <c r="AH2906" i="3"/>
  <c r="B2907" i="3"/>
  <c r="B2908" i="3"/>
  <c r="B2909" i="3"/>
  <c r="AH2909" i="3"/>
  <c r="B2910" i="3"/>
  <c r="AH2910" i="3"/>
  <c r="B2911" i="3"/>
  <c r="C2886" i="3"/>
  <c r="D2886" i="3"/>
  <c r="C2887" i="3"/>
  <c r="D2887" i="3"/>
  <c r="E2887" i="3"/>
  <c r="AH2887" i="3"/>
  <c r="E2888" i="3"/>
  <c r="C2888" i="3"/>
  <c r="D2888" i="3"/>
  <c r="AH2888" i="3"/>
  <c r="C2889" i="3"/>
  <c r="D2889" i="3"/>
  <c r="C2890" i="3"/>
  <c r="D2890" i="3"/>
  <c r="C2891" i="3"/>
  <c r="D2891" i="3"/>
  <c r="E2891" i="3"/>
  <c r="AH2891" i="3"/>
  <c r="E2892" i="3"/>
  <c r="C2892" i="3"/>
  <c r="D2892" i="3"/>
  <c r="AH2892" i="3"/>
  <c r="C2893" i="3"/>
  <c r="D2893" i="3"/>
  <c r="E2893" i="3"/>
  <c r="C2894" i="3"/>
  <c r="D2894" i="3"/>
  <c r="C2895" i="3"/>
  <c r="D2895" i="3"/>
  <c r="E2895" i="3"/>
  <c r="AH2895" i="3"/>
  <c r="E2896" i="3"/>
  <c r="C2896" i="3"/>
  <c r="D2896" i="3"/>
  <c r="AH2896" i="3"/>
  <c r="C2897" i="3"/>
  <c r="D2897" i="3"/>
  <c r="E2897" i="3"/>
  <c r="C2898" i="3"/>
  <c r="D2898" i="3"/>
  <c r="C2899" i="3"/>
  <c r="D2899" i="3"/>
  <c r="E2899" i="3"/>
  <c r="AH2899" i="3"/>
  <c r="E2900" i="3"/>
  <c r="C2900" i="3"/>
  <c r="D2900" i="3"/>
  <c r="AH2900" i="3"/>
  <c r="C2901" i="3"/>
  <c r="D2901" i="3"/>
  <c r="E2901" i="3"/>
  <c r="C2902" i="3"/>
  <c r="D2902" i="3"/>
  <c r="C2903" i="3"/>
  <c r="D2903" i="3"/>
  <c r="E2903" i="3"/>
  <c r="AH2903" i="3"/>
  <c r="E2904" i="3"/>
  <c r="C2904" i="3"/>
  <c r="D2904" i="3"/>
  <c r="AH2904" i="3"/>
  <c r="C2905" i="3"/>
  <c r="D2905" i="3"/>
  <c r="E2905" i="3"/>
  <c r="C2906" i="3"/>
  <c r="D2906" i="3"/>
  <c r="C2907" i="3"/>
  <c r="D2907" i="3"/>
  <c r="E2907" i="3"/>
  <c r="AH2907" i="3"/>
  <c r="E2908" i="3"/>
  <c r="C2908" i="3"/>
  <c r="D2908" i="3"/>
  <c r="AH2908" i="3"/>
  <c r="C2909" i="3"/>
  <c r="D2909" i="3"/>
  <c r="E2909" i="3"/>
  <c r="C2910" i="3"/>
  <c r="D2910" i="3"/>
  <c r="C2911" i="3"/>
  <c r="D2911" i="3"/>
  <c r="E2911" i="3"/>
  <c r="AH2911" i="3"/>
  <c r="B2913" i="3"/>
  <c r="D2913" i="3"/>
  <c r="C2913" i="3"/>
  <c r="B2914" i="3"/>
  <c r="AH2914" i="3"/>
  <c r="B2915" i="3"/>
  <c r="B2916" i="3"/>
  <c r="D2916" i="3"/>
  <c r="B2917" i="3"/>
  <c r="E2917" i="3"/>
  <c r="B2918" i="3"/>
  <c r="AH2918" i="3"/>
  <c r="B2919" i="3"/>
  <c r="B2920" i="3"/>
  <c r="D2920" i="3"/>
  <c r="B2921" i="3"/>
  <c r="E2921" i="3"/>
  <c r="B2922" i="3"/>
  <c r="AH2922" i="3"/>
  <c r="B2923" i="3"/>
  <c r="B2924" i="3"/>
  <c r="D2924" i="3"/>
  <c r="B2925" i="3"/>
  <c r="E2925" i="3"/>
  <c r="B2926" i="3"/>
  <c r="AH2926" i="3"/>
  <c r="B2927" i="3"/>
  <c r="B2928" i="3"/>
  <c r="D2928" i="3"/>
  <c r="B2929" i="3"/>
  <c r="E2929" i="3"/>
  <c r="B2930" i="3"/>
  <c r="AH2930" i="3"/>
  <c r="B2931" i="3"/>
  <c r="B2932" i="3"/>
  <c r="D2932" i="3"/>
  <c r="B2933" i="3"/>
  <c r="E2933" i="3"/>
  <c r="B2934" i="3"/>
  <c r="AH2934" i="3"/>
  <c r="B2935" i="3"/>
  <c r="B2936" i="3"/>
  <c r="D2936" i="3"/>
  <c r="B2937" i="3"/>
  <c r="E2937" i="3"/>
  <c r="B2938" i="3"/>
  <c r="AH2938" i="3"/>
  <c r="B2939" i="3"/>
  <c r="AM2913" i="3"/>
  <c r="C2914" i="3"/>
  <c r="D2914" i="3"/>
  <c r="C2915" i="3"/>
  <c r="D2915" i="3"/>
  <c r="E2915" i="3"/>
  <c r="AH2915" i="3"/>
  <c r="E2916" i="3"/>
  <c r="C2916" i="3"/>
  <c r="C2917" i="3"/>
  <c r="D2917" i="3"/>
  <c r="E2918" i="3"/>
  <c r="C2918" i="3"/>
  <c r="D2918" i="3"/>
  <c r="C2919" i="3"/>
  <c r="D2919" i="3"/>
  <c r="E2919" i="3"/>
  <c r="AH2919" i="3"/>
  <c r="E2920" i="3"/>
  <c r="C2920" i="3"/>
  <c r="C2921" i="3"/>
  <c r="D2921" i="3"/>
  <c r="E2922" i="3"/>
  <c r="C2922" i="3"/>
  <c r="D2922" i="3"/>
  <c r="C2923" i="3"/>
  <c r="D2923" i="3"/>
  <c r="E2923" i="3"/>
  <c r="AH2923" i="3"/>
  <c r="E2924" i="3"/>
  <c r="C2924" i="3"/>
  <c r="C2925" i="3"/>
  <c r="D2925" i="3"/>
  <c r="E2926" i="3"/>
  <c r="C2926" i="3"/>
  <c r="D2926" i="3"/>
  <c r="C2927" i="3"/>
  <c r="D2927" i="3"/>
  <c r="E2927" i="3"/>
  <c r="AH2927" i="3"/>
  <c r="E2928" i="3"/>
  <c r="C2928" i="3"/>
  <c r="C2929" i="3"/>
  <c r="D2929" i="3"/>
  <c r="E2930" i="3"/>
  <c r="C2930" i="3"/>
  <c r="D2930" i="3"/>
  <c r="C2931" i="3"/>
  <c r="D2931" i="3"/>
  <c r="E2931" i="3"/>
  <c r="AH2931" i="3"/>
  <c r="E2932" i="3"/>
  <c r="C2932" i="3"/>
  <c r="C2933" i="3"/>
  <c r="D2933" i="3"/>
  <c r="E2934" i="3"/>
  <c r="C2934" i="3"/>
  <c r="D2934" i="3"/>
  <c r="C2935" i="3"/>
  <c r="D2935" i="3"/>
  <c r="E2935" i="3"/>
  <c r="AH2935" i="3"/>
  <c r="E2936" i="3"/>
  <c r="C2936" i="3"/>
  <c r="C2937" i="3"/>
  <c r="D2937" i="3"/>
  <c r="E2938" i="3"/>
  <c r="C2938" i="3"/>
  <c r="D2938" i="3"/>
  <c r="C2939" i="3"/>
  <c r="D2939" i="3"/>
  <c r="E2939" i="3"/>
  <c r="AH2939" i="3"/>
  <c r="C2941" i="3"/>
  <c r="B2942" i="3"/>
  <c r="B2943" i="3"/>
  <c r="D2943" i="3"/>
  <c r="B2944" i="3"/>
  <c r="D2944" i="3"/>
  <c r="B2945" i="3"/>
  <c r="E2945" i="3"/>
  <c r="B2946" i="3"/>
  <c r="B2947" i="3"/>
  <c r="D2947" i="3"/>
  <c r="B2948" i="3"/>
  <c r="D2948" i="3"/>
  <c r="B2949" i="3"/>
  <c r="E2949" i="3"/>
  <c r="B2950" i="3"/>
  <c r="B2951" i="3"/>
  <c r="D2951" i="3"/>
  <c r="B2952" i="3"/>
  <c r="D2952" i="3"/>
  <c r="B2953" i="3"/>
  <c r="E2953" i="3"/>
  <c r="B2954" i="3"/>
  <c r="B2955" i="3"/>
  <c r="D2955" i="3"/>
  <c r="B2956" i="3"/>
  <c r="D2956" i="3"/>
  <c r="B2957" i="3"/>
  <c r="E2957" i="3"/>
  <c r="B2958" i="3"/>
  <c r="B2959" i="3"/>
  <c r="D2959" i="3"/>
  <c r="B2960" i="3"/>
  <c r="D2960" i="3"/>
  <c r="B2961" i="3"/>
  <c r="E2961" i="3"/>
  <c r="B2962" i="3"/>
  <c r="B2963" i="3"/>
  <c r="D2963" i="3"/>
  <c r="B2964" i="3"/>
  <c r="D2964" i="3"/>
  <c r="B2965" i="3"/>
  <c r="E2965" i="3"/>
  <c r="B2966" i="3"/>
  <c r="B2967" i="3"/>
  <c r="D2967" i="3"/>
  <c r="AM2941" i="3"/>
  <c r="C2942" i="3"/>
  <c r="D2942" i="3"/>
  <c r="AH2942" i="3"/>
  <c r="C2943" i="3"/>
  <c r="AH2943" i="3"/>
  <c r="E2944" i="3"/>
  <c r="C2944" i="3"/>
  <c r="AH2944" i="3"/>
  <c r="C2945" i="3"/>
  <c r="D2945" i="3"/>
  <c r="AH2945" i="3"/>
  <c r="E2946" i="3"/>
  <c r="C2946" i="3"/>
  <c r="D2946" i="3"/>
  <c r="AH2946" i="3"/>
  <c r="C2947" i="3"/>
  <c r="AH2947" i="3"/>
  <c r="E2948" i="3"/>
  <c r="C2948" i="3"/>
  <c r="AH2948" i="3"/>
  <c r="C2949" i="3"/>
  <c r="D2949" i="3"/>
  <c r="AH2949" i="3"/>
  <c r="E2950" i="3"/>
  <c r="C2950" i="3"/>
  <c r="D2950" i="3"/>
  <c r="AH2950" i="3"/>
  <c r="C2951" i="3"/>
  <c r="AH2951" i="3"/>
  <c r="E2952" i="3"/>
  <c r="C2952" i="3"/>
  <c r="AH2952" i="3"/>
  <c r="C2953" i="3"/>
  <c r="D2953" i="3"/>
  <c r="AH2953" i="3"/>
  <c r="E2954" i="3"/>
  <c r="C2954" i="3"/>
  <c r="D2954" i="3"/>
  <c r="AH2954" i="3"/>
  <c r="C2955" i="3"/>
  <c r="AH2955" i="3"/>
  <c r="E2956" i="3"/>
  <c r="C2956" i="3"/>
  <c r="AH2956" i="3"/>
  <c r="C2957" i="3"/>
  <c r="D2957" i="3"/>
  <c r="AH2957" i="3"/>
  <c r="E2958" i="3"/>
  <c r="C2958" i="3"/>
  <c r="D2958" i="3"/>
  <c r="AH2958" i="3"/>
  <c r="C2959" i="3"/>
  <c r="AH2959" i="3"/>
  <c r="E2960" i="3"/>
  <c r="C2960" i="3"/>
  <c r="AH2960" i="3"/>
  <c r="C2961" i="3"/>
  <c r="D2961" i="3"/>
  <c r="AH2961" i="3"/>
  <c r="E2962" i="3"/>
  <c r="C2962" i="3"/>
  <c r="D2962" i="3"/>
  <c r="AH2962" i="3"/>
  <c r="C2963" i="3"/>
  <c r="AH2963" i="3"/>
  <c r="E2964" i="3"/>
  <c r="C2964" i="3"/>
  <c r="AH2964" i="3"/>
  <c r="C2965" i="3"/>
  <c r="D2965" i="3"/>
  <c r="AH2965" i="3"/>
  <c r="E2966" i="3"/>
  <c r="C2966" i="3"/>
  <c r="D2966" i="3"/>
  <c r="AH2966" i="3"/>
  <c r="C2967" i="3"/>
  <c r="AH2967" i="3"/>
  <c r="B2969" i="3"/>
  <c r="D2969" i="3"/>
  <c r="C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AM2969" i="3"/>
  <c r="D2971" i="3"/>
  <c r="E2974" i="3"/>
  <c r="D2975" i="3"/>
  <c r="E2978" i="3"/>
  <c r="D2979" i="3"/>
  <c r="E2982" i="3"/>
  <c r="D2983" i="3"/>
  <c r="E2986" i="3"/>
  <c r="D2987" i="3"/>
  <c r="E2990" i="3"/>
  <c r="D2991" i="3"/>
  <c r="E2994" i="3"/>
  <c r="D2995" i="3"/>
  <c r="C2970" i="3"/>
  <c r="D2970" i="3"/>
  <c r="AH2970" i="3"/>
  <c r="C2971" i="3"/>
  <c r="E2971" i="3"/>
  <c r="AH2971" i="3"/>
  <c r="E2972" i="3"/>
  <c r="C2972" i="3"/>
  <c r="D2972" i="3"/>
  <c r="AH2972" i="3"/>
  <c r="C2973" i="3"/>
  <c r="D2973" i="3"/>
  <c r="E2973" i="3"/>
  <c r="AH2973" i="3"/>
  <c r="C2974" i="3"/>
  <c r="D2974" i="3"/>
  <c r="AH2974" i="3"/>
  <c r="C2975" i="3"/>
  <c r="E2975" i="3"/>
  <c r="AH2975" i="3"/>
  <c r="E2976" i="3"/>
  <c r="C2976" i="3"/>
  <c r="D2976" i="3"/>
  <c r="AH2976" i="3"/>
  <c r="C2977" i="3"/>
  <c r="D2977" i="3"/>
  <c r="E2977" i="3"/>
  <c r="AH2977" i="3"/>
  <c r="C2978" i="3"/>
  <c r="D2978" i="3"/>
  <c r="AH2978" i="3"/>
  <c r="C2979" i="3"/>
  <c r="E2979" i="3"/>
  <c r="AH2979" i="3"/>
  <c r="E2980" i="3"/>
  <c r="C2980" i="3"/>
  <c r="D2980" i="3"/>
  <c r="AH2980" i="3"/>
  <c r="C2981" i="3"/>
  <c r="D2981" i="3"/>
  <c r="E2981" i="3"/>
  <c r="AH2981" i="3"/>
  <c r="C2982" i="3"/>
  <c r="D2982" i="3"/>
  <c r="AH2982" i="3"/>
  <c r="C2983" i="3"/>
  <c r="E2983" i="3"/>
  <c r="AH2983" i="3"/>
  <c r="E2984" i="3"/>
  <c r="C2984" i="3"/>
  <c r="D2984" i="3"/>
  <c r="AH2984" i="3"/>
  <c r="C2985" i="3"/>
  <c r="D2985" i="3"/>
  <c r="E2985" i="3"/>
  <c r="AH2985" i="3"/>
  <c r="C2986" i="3"/>
  <c r="D2986" i="3"/>
  <c r="AH2986" i="3"/>
  <c r="C2987" i="3"/>
  <c r="E2987" i="3"/>
  <c r="AH2987" i="3"/>
  <c r="E2988" i="3"/>
  <c r="C2988" i="3"/>
  <c r="D2988" i="3"/>
  <c r="AH2988" i="3"/>
  <c r="C2989" i="3"/>
  <c r="D2989" i="3"/>
  <c r="E2989" i="3"/>
  <c r="AH2989" i="3"/>
  <c r="C2990" i="3"/>
  <c r="D2990" i="3"/>
  <c r="AH2990" i="3"/>
  <c r="C2991" i="3"/>
  <c r="E2991" i="3"/>
  <c r="AH2991" i="3"/>
  <c r="E2992" i="3"/>
  <c r="C2992" i="3"/>
  <c r="D2992" i="3"/>
  <c r="AH2992" i="3"/>
  <c r="C2993" i="3"/>
  <c r="D2993" i="3"/>
  <c r="E2993" i="3"/>
  <c r="AH2993" i="3"/>
  <c r="C2994" i="3"/>
  <c r="D2994" i="3"/>
  <c r="AH2994" i="3"/>
  <c r="C2995" i="3"/>
  <c r="E2995" i="3"/>
  <c r="AH2995" i="3"/>
  <c r="B2997" i="3"/>
  <c r="C2997" i="3"/>
  <c r="D2997" i="3"/>
  <c r="B2998" i="3"/>
  <c r="B2999" i="3"/>
  <c r="B3000" i="3"/>
  <c r="B3001" i="3"/>
  <c r="AH3001" i="3"/>
  <c r="B3002" i="3"/>
  <c r="B3003" i="3"/>
  <c r="B3004" i="3"/>
  <c r="B3005" i="3"/>
  <c r="AH3005" i="3"/>
  <c r="B3006" i="3"/>
  <c r="B3007" i="3"/>
  <c r="B3008" i="3"/>
  <c r="B3009" i="3"/>
  <c r="AH3009" i="3"/>
  <c r="B3010" i="3"/>
  <c r="D3010" i="3"/>
  <c r="B3011" i="3"/>
  <c r="B3012" i="3"/>
  <c r="B3013" i="3"/>
  <c r="AH3013" i="3"/>
  <c r="B3014" i="3"/>
  <c r="B3015" i="3"/>
  <c r="B3016" i="3"/>
  <c r="B3017" i="3"/>
  <c r="AH3017" i="3"/>
  <c r="B3018" i="3"/>
  <c r="B3019" i="3"/>
  <c r="B3020" i="3"/>
  <c r="B3021" i="3"/>
  <c r="AH3021" i="3"/>
  <c r="B3022" i="3"/>
  <c r="B3023" i="3"/>
  <c r="C2998" i="3"/>
  <c r="C2999" i="3"/>
  <c r="D2999" i="3"/>
  <c r="E2999" i="3"/>
  <c r="AH2999" i="3"/>
  <c r="E3000" i="3"/>
  <c r="C3000" i="3"/>
  <c r="D3000" i="3"/>
  <c r="AH3000" i="3"/>
  <c r="C3001" i="3"/>
  <c r="D3001" i="3"/>
  <c r="E3001" i="3"/>
  <c r="C3002" i="3"/>
  <c r="D3002" i="3"/>
  <c r="C3003" i="3"/>
  <c r="D3003" i="3"/>
  <c r="E3003" i="3"/>
  <c r="AH3003" i="3"/>
  <c r="E3004" i="3"/>
  <c r="C3004" i="3"/>
  <c r="D3004" i="3"/>
  <c r="AH3004" i="3"/>
  <c r="C3005" i="3"/>
  <c r="D3005" i="3"/>
  <c r="E3005" i="3"/>
  <c r="C3006" i="3"/>
  <c r="D3006" i="3"/>
  <c r="C3007" i="3"/>
  <c r="D3007" i="3"/>
  <c r="E3007" i="3"/>
  <c r="AH3007" i="3"/>
  <c r="E3008" i="3"/>
  <c r="C3008" i="3"/>
  <c r="D3008" i="3"/>
  <c r="AH3008" i="3"/>
  <c r="C3009" i="3"/>
  <c r="D3009" i="3"/>
  <c r="E3009" i="3"/>
  <c r="C3010" i="3"/>
  <c r="C3011" i="3"/>
  <c r="D3011" i="3"/>
  <c r="E3011" i="3"/>
  <c r="AH3011" i="3"/>
  <c r="E3012" i="3"/>
  <c r="C3012" i="3"/>
  <c r="D3012" i="3"/>
  <c r="AH3012" i="3"/>
  <c r="C3013" i="3"/>
  <c r="D3013" i="3"/>
  <c r="E3013" i="3"/>
  <c r="C3014" i="3"/>
  <c r="C3015" i="3"/>
  <c r="D3015" i="3"/>
  <c r="E3015" i="3"/>
  <c r="AH3015" i="3"/>
  <c r="E3016" i="3"/>
  <c r="C3016" i="3"/>
  <c r="D3016" i="3"/>
  <c r="AH3016" i="3"/>
  <c r="C3017" i="3"/>
  <c r="D3017" i="3"/>
  <c r="E3017" i="3"/>
  <c r="C3018" i="3"/>
  <c r="D3018" i="3"/>
  <c r="C3019" i="3"/>
  <c r="D3019" i="3"/>
  <c r="E3019" i="3"/>
  <c r="AH3019" i="3"/>
  <c r="E3020" i="3"/>
  <c r="C3020" i="3"/>
  <c r="D3020" i="3"/>
  <c r="AH3020" i="3"/>
  <c r="C3021" i="3"/>
  <c r="D3021" i="3"/>
  <c r="E3021" i="3"/>
  <c r="C3022" i="3"/>
  <c r="D3022" i="3"/>
  <c r="C3023" i="3"/>
  <c r="D3023" i="3"/>
  <c r="E3023" i="3"/>
  <c r="AH3023" i="3"/>
  <c r="B3025" i="3"/>
  <c r="D3025" i="3"/>
  <c r="C3025" i="3"/>
  <c r="B3026" i="3"/>
  <c r="AH3026" i="3"/>
  <c r="B3027" i="3"/>
  <c r="B3028" i="3"/>
  <c r="B3029" i="3"/>
  <c r="B3030" i="3"/>
  <c r="AH3030" i="3"/>
  <c r="B3031" i="3"/>
  <c r="B3032" i="3"/>
  <c r="B3033" i="3"/>
  <c r="B3034" i="3"/>
  <c r="AH3034" i="3"/>
  <c r="B3035" i="3"/>
  <c r="B3036" i="3"/>
  <c r="B3037" i="3"/>
  <c r="B3038" i="3"/>
  <c r="AH3038" i="3"/>
  <c r="B3039" i="3"/>
  <c r="B3040" i="3"/>
  <c r="B3041" i="3"/>
  <c r="D3041" i="3"/>
  <c r="B3042" i="3"/>
  <c r="AH3042" i="3"/>
  <c r="B3043" i="3"/>
  <c r="B3044" i="3"/>
  <c r="B3045" i="3"/>
  <c r="B3046" i="3"/>
  <c r="AH3046" i="3"/>
  <c r="B3047" i="3"/>
  <c r="B3048" i="3"/>
  <c r="B3049" i="3"/>
  <c r="B3050" i="3"/>
  <c r="AH3050" i="3"/>
  <c r="B3051" i="3"/>
  <c r="C3026" i="3"/>
  <c r="D3026" i="3"/>
  <c r="C3027" i="3"/>
  <c r="D3027" i="3"/>
  <c r="E3027" i="3"/>
  <c r="AH3027" i="3"/>
  <c r="E3028" i="3"/>
  <c r="C3028" i="3"/>
  <c r="C3029" i="3"/>
  <c r="D3029" i="3"/>
  <c r="E3030" i="3"/>
  <c r="C3030" i="3"/>
  <c r="D3030" i="3"/>
  <c r="C3031" i="3"/>
  <c r="D3031" i="3"/>
  <c r="E3031" i="3"/>
  <c r="AH3031" i="3"/>
  <c r="E3032" i="3"/>
  <c r="C3032" i="3"/>
  <c r="C3033" i="3"/>
  <c r="D3033" i="3"/>
  <c r="E3034" i="3"/>
  <c r="C3034" i="3"/>
  <c r="D3034" i="3"/>
  <c r="C3035" i="3"/>
  <c r="D3035" i="3"/>
  <c r="E3035" i="3"/>
  <c r="AH3035" i="3"/>
  <c r="E3036" i="3"/>
  <c r="C3036" i="3"/>
  <c r="C3037" i="3"/>
  <c r="E3038" i="3"/>
  <c r="C3038" i="3"/>
  <c r="D3038" i="3"/>
  <c r="C3039" i="3"/>
  <c r="D3039" i="3"/>
  <c r="E3039" i="3"/>
  <c r="AH3039" i="3"/>
  <c r="E3040" i="3"/>
  <c r="C3040" i="3"/>
  <c r="C3041" i="3"/>
  <c r="E3042" i="3"/>
  <c r="C3042" i="3"/>
  <c r="D3042" i="3"/>
  <c r="C3043" i="3"/>
  <c r="D3043" i="3"/>
  <c r="E3043" i="3"/>
  <c r="AH3043" i="3"/>
  <c r="E3044" i="3"/>
  <c r="C3044" i="3"/>
  <c r="C3045" i="3"/>
  <c r="D3045" i="3"/>
  <c r="E3046" i="3"/>
  <c r="C3046" i="3"/>
  <c r="D3046" i="3"/>
  <c r="C3047" i="3"/>
  <c r="D3047" i="3"/>
  <c r="E3047" i="3"/>
  <c r="AH3047" i="3"/>
  <c r="E3048" i="3"/>
  <c r="C3048" i="3"/>
  <c r="C3049" i="3"/>
  <c r="D3049" i="3"/>
  <c r="E3050" i="3"/>
  <c r="C3050" i="3"/>
  <c r="D3050" i="3"/>
  <c r="C3051" i="3"/>
  <c r="D3051" i="3"/>
  <c r="E3051" i="3"/>
  <c r="AH3051" i="3"/>
  <c r="C3053" i="3"/>
  <c r="B3054" i="3"/>
  <c r="B3055" i="3"/>
  <c r="B3056" i="3"/>
  <c r="D3056" i="3"/>
  <c r="B3057" i="3"/>
  <c r="E3057" i="3"/>
  <c r="B3058" i="3"/>
  <c r="B3059" i="3"/>
  <c r="B3060" i="3"/>
  <c r="D3060" i="3"/>
  <c r="B3061" i="3"/>
  <c r="E3061" i="3"/>
  <c r="B3062" i="3"/>
  <c r="B3063" i="3"/>
  <c r="E3063" i="3"/>
  <c r="B3064" i="3"/>
  <c r="D3064" i="3"/>
  <c r="B3065" i="3"/>
  <c r="E3065" i="3"/>
  <c r="B3066" i="3"/>
  <c r="B3067" i="3"/>
  <c r="E3067" i="3"/>
  <c r="B3068" i="3"/>
  <c r="D3068" i="3"/>
  <c r="B3069" i="3"/>
  <c r="E3069" i="3"/>
  <c r="B3070" i="3"/>
  <c r="B3071" i="3"/>
  <c r="E3071" i="3"/>
  <c r="B3072" i="3"/>
  <c r="D3072" i="3"/>
  <c r="B3073" i="3"/>
  <c r="E3073" i="3"/>
  <c r="B3074" i="3"/>
  <c r="B3075" i="3"/>
  <c r="E3075" i="3"/>
  <c r="B3076" i="3"/>
  <c r="D3076" i="3"/>
  <c r="B3077" i="3"/>
  <c r="E3077" i="3"/>
  <c r="B3078" i="3"/>
  <c r="B3079" i="3"/>
  <c r="E3079" i="3"/>
  <c r="AM3053" i="3"/>
  <c r="C3054" i="3"/>
  <c r="D3054" i="3"/>
  <c r="AH3054" i="3"/>
  <c r="C3055" i="3"/>
  <c r="AH3055" i="3"/>
  <c r="C3056" i="3"/>
  <c r="AH3056" i="3"/>
  <c r="C3057" i="3"/>
  <c r="D3057" i="3"/>
  <c r="AH3057" i="3"/>
  <c r="E3058" i="3"/>
  <c r="C3058" i="3"/>
  <c r="D3058" i="3"/>
  <c r="AH3058" i="3"/>
  <c r="C3059" i="3"/>
  <c r="AH3059" i="3"/>
  <c r="C3060" i="3"/>
  <c r="AH3060" i="3"/>
  <c r="C3061" i="3"/>
  <c r="D3061" i="3"/>
  <c r="AH3061" i="3"/>
  <c r="E3062" i="3"/>
  <c r="C3062" i="3"/>
  <c r="D3062" i="3"/>
  <c r="AH3062" i="3"/>
  <c r="C3063" i="3"/>
  <c r="D3063" i="3"/>
  <c r="AH3063" i="3"/>
  <c r="C3064" i="3"/>
  <c r="AH3064" i="3"/>
  <c r="C3065" i="3"/>
  <c r="D3065" i="3"/>
  <c r="AH3065" i="3"/>
  <c r="E3066" i="3"/>
  <c r="C3066" i="3"/>
  <c r="D3066" i="3"/>
  <c r="AH3066" i="3"/>
  <c r="C3067" i="3"/>
  <c r="D3067" i="3"/>
  <c r="AH3067" i="3"/>
  <c r="E3068" i="3"/>
  <c r="C3068" i="3"/>
  <c r="C3069" i="3"/>
  <c r="D3069" i="3"/>
  <c r="AH3069" i="3"/>
  <c r="E3070" i="3"/>
  <c r="C3070" i="3"/>
  <c r="D3070" i="3"/>
  <c r="AH3070" i="3"/>
  <c r="C3071" i="3"/>
  <c r="D3071" i="3"/>
  <c r="AH3071" i="3"/>
  <c r="E3072" i="3"/>
  <c r="C3072" i="3"/>
  <c r="C3073" i="3"/>
  <c r="D3073" i="3"/>
  <c r="AH3073" i="3"/>
  <c r="E3074" i="3"/>
  <c r="C3074" i="3"/>
  <c r="D3074" i="3"/>
  <c r="AH3074" i="3"/>
  <c r="C3075" i="3"/>
  <c r="D3075" i="3"/>
  <c r="AH3075" i="3"/>
  <c r="C3076" i="3"/>
  <c r="AH3076" i="3"/>
  <c r="C3077" i="3"/>
  <c r="D3077" i="3"/>
  <c r="AH3077" i="3"/>
  <c r="E3078" i="3"/>
  <c r="C3078" i="3"/>
  <c r="D3078" i="3"/>
  <c r="AH3078" i="3"/>
  <c r="C3079" i="3"/>
  <c r="D3079" i="3"/>
  <c r="AH3079" i="3"/>
  <c r="B3081" i="3"/>
  <c r="D3081" i="3"/>
  <c r="C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AM3081" i="3"/>
  <c r="D3083" i="3"/>
  <c r="E3086" i="3"/>
  <c r="D3087" i="3"/>
  <c r="D3090" i="3"/>
  <c r="D3091" i="3"/>
  <c r="AH3094" i="3"/>
  <c r="D3095" i="3"/>
  <c r="E3098" i="3"/>
  <c r="D3099" i="3"/>
  <c r="E3102" i="3"/>
  <c r="D3103" i="3"/>
  <c r="D3106" i="3"/>
  <c r="D3107" i="3"/>
  <c r="C3082" i="3"/>
  <c r="D3082" i="3"/>
  <c r="C3083" i="3"/>
  <c r="E3083" i="3"/>
  <c r="AH3083" i="3"/>
  <c r="E3084" i="3"/>
  <c r="C3084" i="3"/>
  <c r="D3084" i="3"/>
  <c r="AH3084" i="3"/>
  <c r="C3085" i="3"/>
  <c r="D3085" i="3"/>
  <c r="E3085" i="3"/>
  <c r="AH3085" i="3"/>
  <c r="C3086" i="3"/>
  <c r="D3086" i="3"/>
  <c r="AH3086" i="3"/>
  <c r="C3087" i="3"/>
  <c r="AH3087" i="3"/>
  <c r="E3088" i="3"/>
  <c r="C3088" i="3"/>
  <c r="D3088" i="3"/>
  <c r="AH3088" i="3"/>
  <c r="C3089" i="3"/>
  <c r="D3089" i="3"/>
  <c r="E3089" i="3"/>
  <c r="AH3089" i="3"/>
  <c r="E3090" i="3"/>
  <c r="C3090" i="3"/>
  <c r="AH3090" i="3"/>
  <c r="C3091" i="3"/>
  <c r="E3091" i="3"/>
  <c r="E3092" i="3"/>
  <c r="C3092" i="3"/>
  <c r="D3092" i="3"/>
  <c r="AH3092" i="3"/>
  <c r="C3093" i="3"/>
  <c r="D3093" i="3"/>
  <c r="E3093" i="3"/>
  <c r="AH3093" i="3"/>
  <c r="E3094" i="3"/>
  <c r="C3094" i="3"/>
  <c r="C3095" i="3"/>
  <c r="E3095" i="3"/>
  <c r="AH3095" i="3"/>
  <c r="E3096" i="3"/>
  <c r="C3096" i="3"/>
  <c r="D3096" i="3"/>
  <c r="AH3096" i="3"/>
  <c r="C3097" i="3"/>
  <c r="D3097" i="3"/>
  <c r="E3097" i="3"/>
  <c r="AH3097" i="3"/>
  <c r="C3098" i="3"/>
  <c r="D3098" i="3"/>
  <c r="C3099" i="3"/>
  <c r="E3099" i="3"/>
  <c r="AH3099" i="3"/>
  <c r="E3100" i="3"/>
  <c r="C3100" i="3"/>
  <c r="D3100" i="3"/>
  <c r="AH3100" i="3"/>
  <c r="C3101" i="3"/>
  <c r="D3101" i="3"/>
  <c r="E3101" i="3"/>
  <c r="AH3101" i="3"/>
  <c r="C3102" i="3"/>
  <c r="D3102" i="3"/>
  <c r="AH3102" i="3"/>
  <c r="C3103" i="3"/>
  <c r="AH3103" i="3"/>
  <c r="E3104" i="3"/>
  <c r="C3104" i="3"/>
  <c r="D3104" i="3"/>
  <c r="AH3104" i="3"/>
  <c r="C3105" i="3"/>
  <c r="D3105" i="3"/>
  <c r="E3105" i="3"/>
  <c r="AH3105" i="3"/>
  <c r="E3106" i="3"/>
  <c r="C3106" i="3"/>
  <c r="AH3106" i="3"/>
  <c r="C3107" i="3"/>
  <c r="E3107" i="3"/>
  <c r="B3109" i="3"/>
  <c r="D3109" i="3"/>
  <c r="C3109" i="3"/>
  <c r="B3110" i="3"/>
  <c r="D3110" i="3"/>
  <c r="C3110" i="3"/>
  <c r="B3111" i="3"/>
  <c r="E3111" i="3"/>
  <c r="C3111" i="3"/>
  <c r="B3112" i="3"/>
  <c r="D3112" i="3"/>
  <c r="C3112" i="3"/>
  <c r="AH3112" i="3"/>
  <c r="B3113" i="3"/>
  <c r="C3113" i="3"/>
  <c r="D3113" i="3"/>
  <c r="E3113" i="3"/>
  <c r="AH3113" i="3"/>
  <c r="B3114" i="3"/>
  <c r="E3114" i="3"/>
  <c r="C3114" i="3"/>
  <c r="D3114" i="3"/>
  <c r="B3115" i="3"/>
  <c r="C3115" i="3"/>
  <c r="D3115" i="3"/>
  <c r="E3115" i="3"/>
  <c r="AH3115" i="3"/>
  <c r="B3116" i="3"/>
  <c r="D3116" i="3"/>
  <c r="E3116" i="3"/>
  <c r="C3116" i="3"/>
  <c r="B3117" i="3"/>
  <c r="D3117" i="3"/>
  <c r="C3117" i="3"/>
  <c r="B3118" i="3"/>
  <c r="E3118" i="3"/>
  <c r="C3118" i="3"/>
  <c r="B3119" i="3"/>
  <c r="C3119" i="3"/>
  <c r="D3119" i="3"/>
  <c r="E3119" i="3"/>
  <c r="AH3119" i="3"/>
  <c r="B3120" i="3"/>
  <c r="E3120" i="3"/>
  <c r="C3120" i="3"/>
  <c r="D3120" i="3"/>
  <c r="AH3120" i="3"/>
  <c r="B3121" i="3"/>
  <c r="E3121" i="3"/>
  <c r="C3121" i="3"/>
  <c r="B3122" i="3"/>
  <c r="D3122" i="3"/>
  <c r="C3122" i="3"/>
  <c r="B3123" i="3"/>
  <c r="D3123" i="3"/>
  <c r="C3123" i="3"/>
  <c r="B3124" i="3"/>
  <c r="E3124" i="3"/>
  <c r="C3124" i="3"/>
  <c r="B3125" i="3"/>
  <c r="C3125" i="3"/>
  <c r="D3125" i="3"/>
  <c r="E3125" i="3"/>
  <c r="AH3125" i="3"/>
  <c r="B3126" i="3"/>
  <c r="D3126" i="3"/>
  <c r="C3126" i="3"/>
  <c r="B3127" i="3"/>
  <c r="E3127" i="3"/>
  <c r="C3127" i="3"/>
  <c r="B3128" i="3"/>
  <c r="D3128" i="3"/>
  <c r="C3128" i="3"/>
  <c r="AH3128" i="3"/>
  <c r="B3129" i="3"/>
  <c r="C3129" i="3"/>
  <c r="D3129" i="3"/>
  <c r="E3129" i="3"/>
  <c r="AH3129" i="3"/>
  <c r="B3130" i="3"/>
  <c r="E3130" i="3"/>
  <c r="C3130" i="3"/>
  <c r="D3130" i="3"/>
  <c r="B3131" i="3"/>
  <c r="C3131" i="3"/>
  <c r="D3131" i="3"/>
  <c r="E3131" i="3"/>
  <c r="AH3131" i="3"/>
  <c r="B3132" i="3"/>
  <c r="D3132" i="3"/>
  <c r="E3132" i="3"/>
  <c r="C3132" i="3"/>
  <c r="B3133" i="3"/>
  <c r="D3133" i="3"/>
  <c r="C3133" i="3"/>
  <c r="B3134" i="3"/>
  <c r="E3134" i="3"/>
  <c r="C3134" i="3"/>
  <c r="B3135" i="3"/>
  <c r="C3135" i="3"/>
  <c r="D3135" i="3"/>
  <c r="E3135" i="3"/>
  <c r="AH3135" i="3"/>
  <c r="C3137" i="3"/>
  <c r="D3137" i="3"/>
  <c r="B3138" i="3"/>
  <c r="C3138" i="3"/>
  <c r="D3138" i="3"/>
  <c r="AH3138" i="3"/>
  <c r="B3139" i="3"/>
  <c r="C3139" i="3"/>
  <c r="D3139" i="3"/>
  <c r="E3139" i="3"/>
  <c r="AH3139" i="3"/>
  <c r="B3140" i="3"/>
  <c r="E3140" i="3"/>
  <c r="C3140" i="3"/>
  <c r="D3140" i="3"/>
  <c r="B3141" i="3"/>
  <c r="C3141" i="3"/>
  <c r="D3141" i="3"/>
  <c r="E3141" i="3"/>
  <c r="AH3141" i="3"/>
  <c r="B3142" i="3"/>
  <c r="D3142" i="3"/>
  <c r="C3142" i="3"/>
  <c r="B3143" i="3"/>
  <c r="D3143" i="3"/>
  <c r="C3143" i="3"/>
  <c r="B3144" i="3"/>
  <c r="E3144" i="3"/>
  <c r="C3144" i="3"/>
  <c r="B3145" i="3"/>
  <c r="E3145" i="3"/>
  <c r="C3145" i="3"/>
  <c r="AH3145" i="3"/>
  <c r="B3146" i="3"/>
  <c r="E3146" i="3"/>
  <c r="C3146" i="3"/>
  <c r="D3146" i="3"/>
  <c r="AH3146" i="3"/>
  <c r="B3147" i="3"/>
  <c r="E3147" i="3"/>
  <c r="C3147" i="3"/>
  <c r="D3147" i="3"/>
  <c r="AH3147" i="3"/>
  <c r="B3148" i="3"/>
  <c r="E3148" i="3"/>
  <c r="C3148" i="3"/>
  <c r="D3148" i="3"/>
  <c r="B3149" i="3"/>
  <c r="D3149" i="3"/>
  <c r="C3149" i="3"/>
  <c r="E3149" i="3"/>
  <c r="AH3149" i="3"/>
  <c r="B3150" i="3"/>
  <c r="E3150" i="3"/>
  <c r="C3150" i="3"/>
  <c r="D3150" i="3"/>
  <c r="AH3150" i="3"/>
  <c r="B3151" i="3"/>
  <c r="C3151" i="3"/>
  <c r="D3151" i="3"/>
  <c r="E3151" i="3"/>
  <c r="AH3151" i="3"/>
  <c r="B3152" i="3"/>
  <c r="D3152" i="3"/>
  <c r="E3152" i="3"/>
  <c r="C3152" i="3"/>
  <c r="B3153" i="3"/>
  <c r="E3153" i="3"/>
  <c r="C3153" i="3"/>
  <c r="D3153" i="3"/>
  <c r="AH3153" i="3"/>
  <c r="B3154" i="3"/>
  <c r="E3154" i="3"/>
  <c r="C3154" i="3"/>
  <c r="D3154" i="3"/>
  <c r="AH3154" i="3"/>
  <c r="B3155" i="3"/>
  <c r="C3155" i="3"/>
  <c r="D3155" i="3"/>
  <c r="E3155" i="3"/>
  <c r="AH3155" i="3"/>
  <c r="B3156" i="3"/>
  <c r="E3156" i="3"/>
  <c r="C3156" i="3"/>
  <c r="D3156" i="3"/>
  <c r="B3157" i="3"/>
  <c r="C3157" i="3"/>
  <c r="D3157" i="3"/>
  <c r="E3157" i="3"/>
  <c r="AH3157" i="3"/>
  <c r="B3158" i="3"/>
  <c r="D3158" i="3"/>
  <c r="C3158" i="3"/>
  <c r="B3159" i="3"/>
  <c r="D3159" i="3"/>
  <c r="C3159" i="3"/>
  <c r="B3160" i="3"/>
  <c r="E3160" i="3"/>
  <c r="C3160" i="3"/>
  <c r="B3161" i="3"/>
  <c r="E3161" i="3"/>
  <c r="C3161" i="3"/>
  <c r="AH3161" i="3"/>
  <c r="B3162" i="3"/>
  <c r="E3162" i="3"/>
  <c r="C3162" i="3"/>
  <c r="D3162" i="3"/>
  <c r="AH3162" i="3"/>
  <c r="B3163" i="3"/>
  <c r="E3163" i="3"/>
  <c r="C3163" i="3"/>
  <c r="D3163" i="3"/>
  <c r="AH3163" i="3"/>
  <c r="C3165" i="3"/>
  <c r="B3166" i="3"/>
  <c r="D3166" i="3"/>
  <c r="C3166" i="3"/>
  <c r="B3167" i="3"/>
  <c r="C3167" i="3"/>
  <c r="D3167" i="3"/>
  <c r="E3167" i="3"/>
  <c r="AH3167" i="3"/>
  <c r="B3168" i="3"/>
  <c r="D3168" i="3"/>
  <c r="E3168" i="3"/>
  <c r="C3168" i="3"/>
  <c r="B3169" i="3"/>
  <c r="D3169" i="3"/>
  <c r="C3169" i="3"/>
  <c r="B3170" i="3"/>
  <c r="E3170" i="3"/>
  <c r="C3170" i="3"/>
  <c r="B3171" i="3"/>
  <c r="C3171" i="3"/>
  <c r="D3171" i="3"/>
  <c r="E3171" i="3"/>
  <c r="AH3171" i="3"/>
  <c r="B3172" i="3"/>
  <c r="E3172" i="3"/>
  <c r="C3172" i="3"/>
  <c r="D3172" i="3"/>
  <c r="AH3172" i="3"/>
  <c r="B3173" i="3"/>
  <c r="E3173" i="3"/>
  <c r="C3173" i="3"/>
  <c r="B3174" i="3"/>
  <c r="D3174" i="3"/>
  <c r="C3174" i="3"/>
  <c r="B3175" i="3"/>
  <c r="D3175" i="3"/>
  <c r="C3175" i="3"/>
  <c r="B3176" i="3"/>
  <c r="E3176" i="3"/>
  <c r="C3176" i="3"/>
  <c r="B3177" i="3"/>
  <c r="C3177" i="3"/>
  <c r="D3177" i="3"/>
  <c r="E3177" i="3"/>
  <c r="AH3177" i="3"/>
  <c r="B3178" i="3"/>
  <c r="D3178" i="3"/>
  <c r="C3178" i="3"/>
  <c r="B3179" i="3"/>
  <c r="E3179" i="3"/>
  <c r="C3179" i="3"/>
  <c r="B3180" i="3"/>
  <c r="D3180" i="3"/>
  <c r="C3180" i="3"/>
  <c r="AH3180" i="3"/>
  <c r="B3181" i="3"/>
  <c r="C3181" i="3"/>
  <c r="D3181" i="3"/>
  <c r="E3181" i="3"/>
  <c r="AH3181" i="3"/>
  <c r="B3182" i="3"/>
  <c r="E3182" i="3"/>
  <c r="C3182" i="3"/>
  <c r="D3182" i="3"/>
  <c r="B3183" i="3"/>
  <c r="C3183" i="3"/>
  <c r="D3183" i="3"/>
  <c r="E3183" i="3"/>
  <c r="AH3183" i="3"/>
  <c r="B3184" i="3"/>
  <c r="D3184" i="3"/>
  <c r="E3184" i="3"/>
  <c r="C3184" i="3"/>
  <c r="B3185" i="3"/>
  <c r="D3185" i="3"/>
  <c r="C3185" i="3"/>
  <c r="B3186" i="3"/>
  <c r="E3186" i="3"/>
  <c r="C3186" i="3"/>
  <c r="B3187" i="3"/>
  <c r="C3187" i="3"/>
  <c r="D3187" i="3"/>
  <c r="E3187" i="3"/>
  <c r="AH3187" i="3"/>
  <c r="B3188" i="3"/>
  <c r="E3188" i="3"/>
  <c r="C3188" i="3"/>
  <c r="D3188" i="3"/>
  <c r="AH3188" i="3"/>
  <c r="B3189" i="3"/>
  <c r="E3189" i="3"/>
  <c r="C3189" i="3"/>
  <c r="B3190" i="3"/>
  <c r="D3190" i="3"/>
  <c r="C3190" i="3"/>
  <c r="B3191" i="3"/>
  <c r="D3191" i="3"/>
  <c r="C3191" i="3"/>
  <c r="B3193" i="3"/>
  <c r="D3193" i="3"/>
  <c r="C3193" i="3"/>
  <c r="B3194" i="3"/>
  <c r="D3194" i="3"/>
  <c r="C3194" i="3"/>
  <c r="B3195" i="3"/>
  <c r="D3195" i="3"/>
  <c r="C3195" i="3"/>
  <c r="E3195" i="3"/>
  <c r="AH3195" i="3"/>
  <c r="B3196" i="3"/>
  <c r="E3196" i="3"/>
  <c r="C3196" i="3"/>
  <c r="D3196" i="3"/>
  <c r="B3197" i="3"/>
  <c r="C3197" i="3"/>
  <c r="D3197" i="3"/>
  <c r="E3197" i="3"/>
  <c r="AH3197" i="3"/>
  <c r="B3198" i="3"/>
  <c r="E3198" i="3"/>
  <c r="C3198" i="3"/>
  <c r="D3198" i="3"/>
  <c r="AH3198" i="3"/>
  <c r="B3199" i="3"/>
  <c r="E3199" i="3"/>
  <c r="C3199" i="3"/>
  <c r="B3200" i="3"/>
  <c r="D3200" i="3"/>
  <c r="E3200" i="3"/>
  <c r="C3200" i="3"/>
  <c r="B3201" i="3"/>
  <c r="D3201" i="3"/>
  <c r="C3201" i="3"/>
  <c r="B3202" i="3"/>
  <c r="E3202" i="3"/>
  <c r="C3202" i="3"/>
  <c r="B3203" i="3"/>
  <c r="C3203" i="3"/>
  <c r="D3203" i="3"/>
  <c r="E3203" i="3"/>
  <c r="AH3203" i="3"/>
  <c r="B3204" i="3"/>
  <c r="D3204" i="3"/>
  <c r="C3204" i="3"/>
  <c r="B3205" i="3"/>
  <c r="E3205" i="3"/>
  <c r="C3205" i="3"/>
  <c r="B3206" i="3"/>
  <c r="D3206" i="3"/>
  <c r="E3206" i="3"/>
  <c r="C3206" i="3"/>
  <c r="AH3206" i="3"/>
  <c r="B3207" i="3"/>
  <c r="D3207" i="3"/>
  <c r="C3207" i="3"/>
  <c r="AH3207" i="3"/>
  <c r="B3208" i="3"/>
  <c r="E3208" i="3"/>
  <c r="C3208" i="3"/>
  <c r="D3208" i="3"/>
  <c r="B3209" i="3"/>
  <c r="C3209" i="3"/>
  <c r="D3209" i="3"/>
  <c r="E3209" i="3"/>
  <c r="AH3209" i="3"/>
  <c r="B3210" i="3"/>
  <c r="D3210" i="3"/>
  <c r="E3210" i="3"/>
  <c r="C3210" i="3"/>
  <c r="AH3210" i="3"/>
  <c r="B3211" i="3"/>
  <c r="D3211" i="3"/>
  <c r="C3211" i="3"/>
  <c r="E3211" i="3"/>
  <c r="AH3211" i="3"/>
  <c r="B3212" i="3"/>
  <c r="E3212" i="3"/>
  <c r="C3212" i="3"/>
  <c r="D3212" i="3"/>
  <c r="B3213" i="3"/>
  <c r="C3213" i="3"/>
  <c r="D3213" i="3"/>
  <c r="E3213" i="3"/>
  <c r="AH3213" i="3"/>
  <c r="B3214" i="3"/>
  <c r="E3214" i="3"/>
  <c r="C3214" i="3"/>
  <c r="D3214" i="3"/>
  <c r="AH3214" i="3"/>
  <c r="B3215" i="3"/>
  <c r="E3215" i="3"/>
  <c r="C3215" i="3"/>
  <c r="B3216" i="3"/>
  <c r="D3216" i="3"/>
  <c r="E3216" i="3"/>
  <c r="C3216" i="3"/>
  <c r="B3217" i="3"/>
  <c r="D3217" i="3"/>
  <c r="C3217" i="3"/>
  <c r="B3218" i="3"/>
  <c r="E3218" i="3"/>
  <c r="C3218" i="3"/>
  <c r="B3219" i="3"/>
  <c r="C3219" i="3"/>
  <c r="D3219" i="3"/>
  <c r="E3219" i="3"/>
  <c r="AH3219" i="3"/>
  <c r="B3221" i="3"/>
  <c r="D3221" i="3"/>
  <c r="C3221" i="3"/>
  <c r="B3222" i="3"/>
  <c r="C3222" i="3"/>
  <c r="D3222" i="3"/>
  <c r="B3223" i="3"/>
  <c r="C3223" i="3"/>
  <c r="D3223" i="3"/>
  <c r="E3223" i="3"/>
  <c r="AH3223" i="3"/>
  <c r="B3224" i="3"/>
  <c r="E3224" i="3"/>
  <c r="C3224" i="3"/>
  <c r="D3224" i="3"/>
  <c r="AH3224" i="3"/>
  <c r="B3225" i="3"/>
  <c r="C3225" i="3"/>
  <c r="B3226" i="3"/>
  <c r="C3226" i="3"/>
  <c r="B3227" i="3"/>
  <c r="C3227" i="3"/>
  <c r="B3228" i="3"/>
  <c r="C3228" i="3"/>
  <c r="B3229" i="3"/>
  <c r="C3229" i="3"/>
  <c r="D3229" i="3"/>
  <c r="E3229" i="3"/>
  <c r="AH3229" i="3"/>
  <c r="B3230" i="3"/>
  <c r="D3230" i="3"/>
  <c r="C3230" i="3"/>
  <c r="B3231" i="3"/>
  <c r="C3231" i="3"/>
  <c r="B3232" i="3"/>
  <c r="C3232" i="3"/>
  <c r="AH3232" i="3"/>
  <c r="B3233" i="3"/>
  <c r="C3233" i="3"/>
  <c r="D3233" i="3"/>
  <c r="E3233" i="3"/>
  <c r="AH3233" i="3"/>
  <c r="B3234" i="3"/>
  <c r="E3234" i="3"/>
  <c r="C3234" i="3"/>
  <c r="D3234" i="3"/>
  <c r="B3235" i="3"/>
  <c r="C3235" i="3"/>
  <c r="D3235" i="3"/>
  <c r="E3235" i="3"/>
  <c r="AH3235" i="3"/>
  <c r="B3236" i="3"/>
  <c r="D3236" i="3"/>
  <c r="E3236" i="3"/>
  <c r="C3236" i="3"/>
  <c r="B3237" i="3"/>
  <c r="D3237" i="3"/>
  <c r="C3237" i="3"/>
  <c r="B3238" i="3"/>
  <c r="E3238" i="3"/>
  <c r="C3238" i="3"/>
  <c r="B3239" i="3"/>
  <c r="C3239" i="3"/>
  <c r="D3239" i="3"/>
  <c r="E3239" i="3"/>
  <c r="AH3239" i="3"/>
  <c r="B3240" i="3"/>
  <c r="E3240" i="3"/>
  <c r="C3240" i="3"/>
  <c r="D3240" i="3"/>
  <c r="AH3240" i="3"/>
  <c r="B3241" i="3"/>
  <c r="C3241" i="3"/>
  <c r="B3242" i="3"/>
  <c r="E3242" i="3"/>
  <c r="C3242" i="3"/>
  <c r="D3242" i="3"/>
  <c r="B3243" i="3"/>
  <c r="C3243" i="3"/>
  <c r="D3243" i="3"/>
  <c r="E3243" i="3"/>
  <c r="AH3243" i="3"/>
  <c r="B3244" i="3"/>
  <c r="E3244" i="3"/>
  <c r="C3244" i="3"/>
  <c r="D3244" i="3"/>
  <c r="AH3244" i="3"/>
  <c r="B3245" i="3"/>
  <c r="C3245" i="3"/>
  <c r="B3246" i="3"/>
  <c r="E3246" i="3"/>
  <c r="C3246" i="3"/>
  <c r="D3246" i="3"/>
  <c r="B3247" i="3"/>
  <c r="D3247" i="3"/>
  <c r="C3247" i="3"/>
  <c r="E3247" i="3"/>
  <c r="AH3247" i="3"/>
  <c r="C3249" i="3"/>
  <c r="D3249" i="3"/>
  <c r="B3250" i="3"/>
  <c r="D3250" i="3"/>
  <c r="C3250" i="3"/>
  <c r="B3251" i="3"/>
  <c r="D3251" i="3"/>
  <c r="C3251" i="3"/>
  <c r="B3252" i="3"/>
  <c r="E3252" i="3"/>
  <c r="C3252" i="3"/>
  <c r="D3252" i="3"/>
  <c r="B3253" i="3"/>
  <c r="C3253" i="3"/>
  <c r="D3253" i="3"/>
  <c r="E3253" i="3"/>
  <c r="AH3253" i="3"/>
  <c r="B3254" i="3"/>
  <c r="E3254" i="3"/>
  <c r="C3254" i="3"/>
  <c r="D3254" i="3"/>
  <c r="AH3254" i="3"/>
  <c r="B3255" i="3"/>
  <c r="C3255" i="3"/>
  <c r="B3256" i="3"/>
  <c r="E3256" i="3"/>
  <c r="C3256" i="3"/>
  <c r="B3257" i="3"/>
  <c r="D3257" i="3"/>
  <c r="C3257" i="3"/>
  <c r="E3257" i="3"/>
  <c r="B3258" i="3"/>
  <c r="E3258" i="3"/>
  <c r="C3258" i="3"/>
  <c r="D3258" i="3"/>
  <c r="AH3258" i="3"/>
  <c r="B3259" i="3"/>
  <c r="C3259" i="3"/>
  <c r="D3259" i="3"/>
  <c r="E3259" i="3"/>
  <c r="AH3259" i="3"/>
  <c r="B3260" i="3"/>
  <c r="D3260" i="3"/>
  <c r="C3260" i="3"/>
  <c r="B3261" i="3"/>
  <c r="C3261" i="3"/>
  <c r="AH3261" i="3"/>
  <c r="B3262" i="3"/>
  <c r="E3262" i="3"/>
  <c r="C3262" i="3"/>
  <c r="D3262" i="3"/>
  <c r="AH3262" i="3"/>
  <c r="B3263" i="3"/>
  <c r="C3263" i="3"/>
  <c r="D3263" i="3"/>
  <c r="E3263" i="3"/>
  <c r="AH3263" i="3"/>
  <c r="B3264" i="3"/>
  <c r="E3264" i="3"/>
  <c r="C3264" i="3"/>
  <c r="D3264" i="3"/>
  <c r="B3265" i="3"/>
  <c r="C3265" i="3"/>
  <c r="D3265" i="3"/>
  <c r="E3265" i="3"/>
  <c r="AH3265" i="3"/>
  <c r="B3266" i="3"/>
  <c r="D3266" i="3"/>
  <c r="C3266" i="3"/>
  <c r="B3267" i="3"/>
  <c r="D3267" i="3"/>
  <c r="C3267" i="3"/>
  <c r="B3268" i="3"/>
  <c r="E3268" i="3"/>
  <c r="C3268" i="3"/>
  <c r="D3268" i="3"/>
  <c r="B3269" i="3"/>
  <c r="C3269" i="3"/>
  <c r="D3269" i="3"/>
  <c r="E3269" i="3"/>
  <c r="AH3269" i="3"/>
  <c r="B3270" i="3"/>
  <c r="E3270" i="3"/>
  <c r="C3270" i="3"/>
  <c r="D3270" i="3"/>
  <c r="AH3270" i="3"/>
  <c r="B3271" i="3"/>
  <c r="C3271" i="3"/>
  <c r="B3272" i="3"/>
  <c r="E3272" i="3"/>
  <c r="C3272" i="3"/>
  <c r="B3273" i="3"/>
  <c r="D3273" i="3"/>
  <c r="C3273" i="3"/>
  <c r="E3273" i="3"/>
  <c r="B3274" i="3"/>
  <c r="E3274" i="3"/>
  <c r="C3274" i="3"/>
  <c r="D3274" i="3"/>
  <c r="AH3274" i="3"/>
  <c r="B3275" i="3"/>
  <c r="C3275" i="3"/>
  <c r="D3275" i="3"/>
  <c r="E3275" i="3"/>
  <c r="AH3275" i="3"/>
  <c r="C3277" i="3"/>
  <c r="B3278" i="3"/>
  <c r="C3278" i="3"/>
  <c r="D3278" i="3"/>
  <c r="B3279" i="3"/>
  <c r="C3279" i="3"/>
  <c r="D3279" i="3"/>
  <c r="E3279" i="3"/>
  <c r="AH3279" i="3"/>
  <c r="B3280" i="3"/>
  <c r="E3280" i="3"/>
  <c r="C3280" i="3"/>
  <c r="D3280" i="3"/>
  <c r="AH3280" i="3"/>
  <c r="B3281" i="3"/>
  <c r="C3281" i="3"/>
  <c r="AH3281" i="3"/>
  <c r="B3282" i="3"/>
  <c r="E3282" i="3"/>
  <c r="C3282" i="3"/>
  <c r="D3282" i="3"/>
  <c r="B3283" i="3"/>
  <c r="D3283" i="3"/>
  <c r="C3283" i="3"/>
  <c r="AH3283" i="3"/>
  <c r="B3284" i="3"/>
  <c r="E3284" i="3"/>
  <c r="C3284" i="3"/>
  <c r="D3284" i="3"/>
  <c r="AH3284" i="3"/>
  <c r="B3285" i="3"/>
  <c r="C3285" i="3"/>
  <c r="D3285" i="3"/>
  <c r="E3285" i="3"/>
  <c r="AH3285" i="3"/>
  <c r="B3286" i="3"/>
  <c r="D3286" i="3"/>
  <c r="E3286" i="3"/>
  <c r="C3286" i="3"/>
  <c r="B3287" i="3"/>
  <c r="C3287" i="3"/>
  <c r="B3288" i="3"/>
  <c r="E3288" i="3"/>
  <c r="C3288" i="3"/>
  <c r="B3289" i="3"/>
  <c r="C3289" i="3"/>
  <c r="D3289" i="3"/>
  <c r="E3289" i="3"/>
  <c r="AH3289" i="3"/>
  <c r="B3290" i="3"/>
  <c r="E3290" i="3"/>
  <c r="C3290" i="3"/>
  <c r="D3290" i="3"/>
  <c r="B3291" i="3"/>
  <c r="C3291" i="3"/>
  <c r="D3291" i="3"/>
  <c r="E3291" i="3"/>
  <c r="AH3291" i="3"/>
  <c r="B3292" i="3"/>
  <c r="D3292" i="3"/>
  <c r="E3292" i="3"/>
  <c r="C3292" i="3"/>
  <c r="AH3292" i="3"/>
  <c r="B3293" i="3"/>
  <c r="D3293" i="3"/>
  <c r="C3293" i="3"/>
  <c r="E3293" i="3"/>
  <c r="AH3293" i="3"/>
  <c r="B3294" i="3"/>
  <c r="E3294" i="3"/>
  <c r="C3294" i="3"/>
  <c r="D3294" i="3"/>
  <c r="B3295" i="3"/>
  <c r="C3295" i="3"/>
  <c r="D3295" i="3"/>
  <c r="E3295" i="3"/>
  <c r="AH3295" i="3"/>
  <c r="B3296" i="3"/>
  <c r="E3296" i="3"/>
  <c r="C3296" i="3"/>
  <c r="D3296" i="3"/>
  <c r="AH3296" i="3"/>
  <c r="B3297" i="3"/>
  <c r="C3297" i="3"/>
  <c r="AH3297" i="3"/>
  <c r="B3298" i="3"/>
  <c r="E3298" i="3"/>
  <c r="C3298" i="3"/>
  <c r="D3298" i="3"/>
  <c r="B3299" i="3"/>
  <c r="D3299" i="3"/>
  <c r="C3299" i="3"/>
  <c r="AH3299" i="3"/>
  <c r="B3300" i="3"/>
  <c r="E3300" i="3"/>
  <c r="C3300" i="3"/>
  <c r="D3300" i="3"/>
  <c r="AH3300" i="3"/>
  <c r="B3301" i="3"/>
  <c r="C3301" i="3"/>
  <c r="D3301" i="3"/>
  <c r="E3301" i="3"/>
  <c r="AH3301" i="3"/>
  <c r="B3302" i="3"/>
  <c r="D3302" i="3"/>
  <c r="E3302" i="3"/>
  <c r="C3302" i="3"/>
  <c r="B3303" i="3"/>
  <c r="C3303" i="3"/>
  <c r="B3305" i="3"/>
  <c r="D3305" i="3"/>
  <c r="C3305" i="3"/>
  <c r="B3306" i="3"/>
  <c r="C3306" i="3"/>
  <c r="B3307" i="3"/>
  <c r="C3307" i="3"/>
  <c r="B3308" i="3"/>
  <c r="E3308" i="3"/>
  <c r="C3308" i="3"/>
  <c r="D3308" i="3"/>
  <c r="B3309" i="3"/>
  <c r="D3309" i="3"/>
  <c r="C3309" i="3"/>
  <c r="E3309" i="3"/>
  <c r="AH3309" i="3"/>
  <c r="B3310" i="3"/>
  <c r="E3310" i="3"/>
  <c r="C3310" i="3"/>
  <c r="D3310" i="3"/>
  <c r="AH3310" i="3"/>
  <c r="B3311" i="3"/>
  <c r="C3311" i="3"/>
  <c r="D3311" i="3"/>
  <c r="E3311" i="3"/>
  <c r="AH3311" i="3"/>
  <c r="B3312" i="3"/>
  <c r="D3312" i="3"/>
  <c r="E3312" i="3"/>
  <c r="C3312" i="3"/>
  <c r="B3313" i="3"/>
  <c r="C3313" i="3"/>
  <c r="AH3313" i="3"/>
  <c r="B3314" i="3"/>
  <c r="E3314" i="3"/>
  <c r="C3314" i="3"/>
  <c r="AH3314" i="3"/>
  <c r="B3315" i="3"/>
  <c r="C3315" i="3"/>
  <c r="D3315" i="3"/>
  <c r="E3315" i="3"/>
  <c r="AH3315" i="3"/>
  <c r="B3316" i="3"/>
  <c r="E3316" i="3"/>
  <c r="C3316" i="3"/>
  <c r="D3316" i="3"/>
  <c r="B3317" i="3"/>
  <c r="C3317" i="3"/>
  <c r="D3317" i="3"/>
  <c r="E3317" i="3"/>
  <c r="AH3317" i="3"/>
  <c r="B3318" i="3"/>
  <c r="D3318" i="3"/>
  <c r="E3318" i="3"/>
  <c r="C3318" i="3"/>
  <c r="B3319" i="3"/>
  <c r="D3319" i="3"/>
  <c r="C3319" i="3"/>
  <c r="B3320" i="3"/>
  <c r="E3320" i="3"/>
  <c r="C3320" i="3"/>
  <c r="B3321" i="3"/>
  <c r="C3321" i="3"/>
  <c r="D3321" i="3"/>
  <c r="E3321" i="3"/>
  <c r="AH3321" i="3"/>
  <c r="B3322" i="3"/>
  <c r="E3322" i="3"/>
  <c r="C3322" i="3"/>
  <c r="D3322" i="3"/>
  <c r="AH3322" i="3"/>
  <c r="B3323" i="3"/>
  <c r="E3323" i="3"/>
  <c r="C3323" i="3"/>
  <c r="B3324" i="3"/>
  <c r="D3324" i="3"/>
  <c r="C3324" i="3"/>
  <c r="B3325" i="3"/>
  <c r="D3325" i="3"/>
  <c r="C3325" i="3"/>
  <c r="B3326" i="3"/>
  <c r="E3326" i="3"/>
  <c r="C3326" i="3"/>
  <c r="B3327" i="3"/>
  <c r="C3327" i="3"/>
  <c r="D3327" i="3"/>
  <c r="E3327" i="3"/>
  <c r="AH3327" i="3"/>
  <c r="B3328" i="3"/>
  <c r="D3328" i="3"/>
  <c r="C3328" i="3"/>
  <c r="B3329" i="3"/>
  <c r="E3329" i="3"/>
  <c r="C3329" i="3"/>
  <c r="B3330" i="3"/>
  <c r="D3330" i="3"/>
  <c r="C3330" i="3"/>
  <c r="AH3330" i="3"/>
  <c r="B3331" i="3"/>
  <c r="C3331" i="3"/>
  <c r="D3331" i="3"/>
  <c r="E3331" i="3"/>
  <c r="AH3331" i="3"/>
  <c r="B3333" i="3"/>
  <c r="D3333" i="3"/>
  <c r="C3333" i="3"/>
  <c r="B3334" i="3"/>
  <c r="C3334" i="3"/>
  <c r="D3334" i="3"/>
  <c r="B3335" i="3"/>
  <c r="D3335" i="3"/>
  <c r="C3335" i="3"/>
  <c r="B3336" i="3"/>
  <c r="E3336" i="3"/>
  <c r="C3336" i="3"/>
  <c r="B3337" i="3"/>
  <c r="C3337" i="3"/>
  <c r="D3337" i="3"/>
  <c r="E3337" i="3"/>
  <c r="AH3337" i="3"/>
  <c r="B3338" i="3"/>
  <c r="D3338" i="3"/>
  <c r="C3338" i="3"/>
  <c r="B3339" i="3"/>
  <c r="E3339" i="3"/>
  <c r="C3339" i="3"/>
  <c r="B3340" i="3"/>
  <c r="D3340" i="3"/>
  <c r="C3340" i="3"/>
  <c r="AH3340" i="3"/>
  <c r="B3341" i="3"/>
  <c r="C3341" i="3"/>
  <c r="D3341" i="3"/>
  <c r="E3341" i="3"/>
  <c r="AH3341" i="3"/>
  <c r="B3342" i="3"/>
  <c r="E3342" i="3"/>
  <c r="C3342" i="3"/>
  <c r="D3342" i="3"/>
  <c r="B3343" i="3"/>
  <c r="C3343" i="3"/>
  <c r="D3343" i="3"/>
  <c r="E3343" i="3"/>
  <c r="AH3343" i="3"/>
  <c r="B3344" i="3"/>
  <c r="D3344" i="3"/>
  <c r="E3344" i="3"/>
  <c r="C3344" i="3"/>
  <c r="B3345" i="3"/>
  <c r="D3345" i="3"/>
  <c r="C3345" i="3"/>
  <c r="B3346" i="3"/>
  <c r="E3346" i="3"/>
  <c r="C3346" i="3"/>
  <c r="B3347" i="3"/>
  <c r="C3347" i="3"/>
  <c r="D3347" i="3"/>
  <c r="E3347" i="3"/>
  <c r="AH3347" i="3"/>
  <c r="B3348" i="3"/>
  <c r="E3348" i="3"/>
  <c r="C3348" i="3"/>
  <c r="D3348" i="3"/>
  <c r="AH3348" i="3"/>
  <c r="B3349" i="3"/>
  <c r="E3349" i="3"/>
  <c r="C3349" i="3"/>
  <c r="B3350" i="3"/>
  <c r="D3350" i="3"/>
  <c r="C3350" i="3"/>
  <c r="B3351" i="3"/>
  <c r="D3351" i="3"/>
  <c r="C3351" i="3"/>
  <c r="B3352" i="3"/>
  <c r="E3352" i="3"/>
  <c r="C3352" i="3"/>
  <c r="B3353" i="3"/>
  <c r="C3353" i="3"/>
  <c r="D3353" i="3"/>
  <c r="E3353" i="3"/>
  <c r="AH3353" i="3"/>
  <c r="B3354" i="3"/>
  <c r="D3354" i="3"/>
  <c r="C3354" i="3"/>
  <c r="B3355" i="3"/>
  <c r="E3355" i="3"/>
  <c r="C3355" i="3"/>
  <c r="B3356" i="3"/>
  <c r="D3356" i="3"/>
  <c r="C3356" i="3"/>
  <c r="AH3356" i="3"/>
  <c r="B3357" i="3"/>
  <c r="C3357" i="3"/>
  <c r="D3357" i="3"/>
  <c r="E3357" i="3"/>
  <c r="AH3357" i="3"/>
  <c r="B3358" i="3"/>
  <c r="E3358" i="3"/>
  <c r="C3358" i="3"/>
  <c r="D3358" i="3"/>
  <c r="B3359" i="3"/>
  <c r="C3359" i="3"/>
  <c r="D3359" i="3"/>
  <c r="E3359" i="3"/>
  <c r="AH3359" i="3"/>
  <c r="C3361" i="3"/>
  <c r="B3362" i="3"/>
  <c r="C3362" i="3"/>
  <c r="D3362" i="3"/>
  <c r="AH3362" i="3"/>
  <c r="B3363" i="3"/>
  <c r="C3363" i="3"/>
  <c r="D3363" i="3"/>
  <c r="E3363" i="3"/>
  <c r="AH3363" i="3"/>
  <c r="B3364" i="3"/>
  <c r="D3364" i="3"/>
  <c r="E3364" i="3"/>
  <c r="C3364" i="3"/>
  <c r="B3365" i="3"/>
  <c r="E3365" i="3"/>
  <c r="C3365" i="3"/>
  <c r="D3365" i="3"/>
  <c r="AH3365" i="3"/>
  <c r="B3366" i="3"/>
  <c r="E3366" i="3"/>
  <c r="C3366" i="3"/>
  <c r="D3366" i="3"/>
  <c r="AH3366" i="3"/>
  <c r="B3367" i="3"/>
  <c r="E3367" i="3"/>
  <c r="C3367" i="3"/>
  <c r="AH3367" i="3"/>
  <c r="B3368" i="3"/>
  <c r="E3368" i="3"/>
  <c r="C3368" i="3"/>
  <c r="D3368" i="3"/>
  <c r="B3369" i="3"/>
  <c r="C3369" i="3"/>
  <c r="D3369" i="3"/>
  <c r="E3369" i="3"/>
  <c r="AH3369" i="3"/>
  <c r="B3370" i="3"/>
  <c r="D3370" i="3"/>
  <c r="C3370" i="3"/>
  <c r="AH3370" i="3"/>
  <c r="B3371" i="3"/>
  <c r="D3371" i="3"/>
  <c r="C3371" i="3"/>
  <c r="E3371" i="3"/>
  <c r="AH3371" i="3"/>
  <c r="B3372" i="3"/>
  <c r="E3372" i="3"/>
  <c r="C3372" i="3"/>
  <c r="D3372" i="3"/>
  <c r="B3373" i="3"/>
  <c r="D3373" i="3"/>
  <c r="C3373" i="3"/>
  <c r="AH3373" i="3"/>
  <c r="B3374" i="3"/>
  <c r="E3374" i="3"/>
  <c r="C3374" i="3"/>
  <c r="D3374" i="3"/>
  <c r="AH3374" i="3"/>
  <c r="B3375" i="3"/>
  <c r="E3375" i="3"/>
  <c r="C3375" i="3"/>
  <c r="D3375" i="3"/>
  <c r="AH3375" i="3"/>
  <c r="B3376" i="3"/>
  <c r="E3376" i="3"/>
  <c r="C3376" i="3"/>
  <c r="D3376" i="3"/>
  <c r="B3377" i="3"/>
  <c r="D3377" i="3"/>
  <c r="C3377" i="3"/>
  <c r="E3377" i="3"/>
  <c r="AH3377" i="3"/>
  <c r="B3378" i="3"/>
  <c r="E3378" i="3"/>
  <c r="C3378" i="3"/>
  <c r="D3378" i="3"/>
  <c r="AH3378" i="3"/>
  <c r="B3379" i="3"/>
  <c r="C3379" i="3"/>
  <c r="D3379" i="3"/>
  <c r="E3379" i="3"/>
  <c r="AH3379" i="3"/>
  <c r="B3380" i="3"/>
  <c r="D3380" i="3"/>
  <c r="E3380" i="3"/>
  <c r="C3380" i="3"/>
  <c r="B3381" i="3"/>
  <c r="E3381" i="3"/>
  <c r="C3381" i="3"/>
  <c r="D3381" i="3"/>
  <c r="AH3381" i="3"/>
  <c r="B3382" i="3"/>
  <c r="E3382" i="3"/>
  <c r="C3382" i="3"/>
  <c r="D3382" i="3"/>
  <c r="AH3382" i="3"/>
  <c r="B3383" i="3"/>
  <c r="E3383" i="3"/>
  <c r="C3383" i="3"/>
  <c r="AH3383" i="3"/>
  <c r="B3384" i="3"/>
  <c r="E3384" i="3"/>
  <c r="C3384" i="3"/>
  <c r="D3384" i="3"/>
  <c r="B3385" i="3"/>
  <c r="C3385" i="3"/>
  <c r="D3385" i="3"/>
  <c r="E3385" i="3"/>
  <c r="AH3385" i="3"/>
  <c r="B3386" i="3"/>
  <c r="D3386" i="3"/>
  <c r="C3386" i="3"/>
  <c r="AH3386" i="3"/>
  <c r="B3387" i="3"/>
  <c r="D3387" i="3"/>
  <c r="C3387" i="3"/>
  <c r="E3387" i="3"/>
  <c r="AH3387" i="3"/>
  <c r="C3389" i="3"/>
  <c r="B3390" i="3"/>
  <c r="D3390" i="3"/>
  <c r="C3390" i="3"/>
  <c r="B3391" i="3"/>
  <c r="E3391" i="3"/>
  <c r="C3391" i="3"/>
  <c r="D3391" i="3"/>
  <c r="AH3391" i="3"/>
  <c r="B3392" i="3"/>
  <c r="E3392" i="3"/>
  <c r="C3392" i="3"/>
  <c r="D3392" i="3"/>
  <c r="AH3392" i="3"/>
  <c r="B3393" i="3"/>
  <c r="E3393" i="3"/>
  <c r="C3393" i="3"/>
  <c r="AH3393" i="3"/>
  <c r="B3394" i="3"/>
  <c r="E3394" i="3"/>
  <c r="C3394" i="3"/>
  <c r="D3394" i="3"/>
  <c r="B3395" i="3"/>
  <c r="C3395" i="3"/>
  <c r="D3395" i="3"/>
  <c r="E3395" i="3"/>
  <c r="AH3395" i="3"/>
  <c r="B3396" i="3"/>
  <c r="D3396" i="3"/>
  <c r="C3396" i="3"/>
  <c r="AH3396" i="3"/>
  <c r="B3397" i="3"/>
  <c r="D3397" i="3"/>
  <c r="C3397" i="3"/>
  <c r="E3397" i="3"/>
  <c r="AH3397" i="3"/>
  <c r="B3398" i="3"/>
  <c r="E3398" i="3"/>
  <c r="C3398" i="3"/>
  <c r="D3398" i="3"/>
  <c r="B3399" i="3"/>
  <c r="D3399" i="3"/>
  <c r="C3399" i="3"/>
  <c r="AH3399" i="3"/>
  <c r="B3400" i="3"/>
  <c r="E3400" i="3"/>
  <c r="C3400" i="3"/>
  <c r="D3400" i="3"/>
  <c r="AH3400" i="3"/>
  <c r="B3401" i="3"/>
  <c r="E3401" i="3"/>
  <c r="C3401" i="3"/>
  <c r="D3401" i="3"/>
  <c r="AH3401" i="3"/>
  <c r="B3402" i="3"/>
  <c r="E3402" i="3"/>
  <c r="C3402" i="3"/>
  <c r="D3402" i="3"/>
  <c r="B3403" i="3"/>
  <c r="D3403" i="3"/>
  <c r="C3403" i="3"/>
  <c r="E3403" i="3"/>
  <c r="AH3403" i="3"/>
  <c r="B3404" i="3"/>
  <c r="E3404" i="3"/>
  <c r="C3404" i="3"/>
  <c r="D3404" i="3"/>
  <c r="AH3404" i="3"/>
  <c r="B3405" i="3"/>
  <c r="C3405" i="3"/>
  <c r="D3405" i="3"/>
  <c r="E3405" i="3"/>
  <c r="AH3405" i="3"/>
  <c r="B3406" i="3"/>
  <c r="D3406" i="3"/>
  <c r="E3406" i="3"/>
  <c r="C3406" i="3"/>
  <c r="B3407" i="3"/>
  <c r="E3407" i="3"/>
  <c r="C3407" i="3"/>
  <c r="D3407" i="3"/>
  <c r="AH3407" i="3"/>
  <c r="B3408" i="3"/>
  <c r="E3408" i="3"/>
  <c r="C3408" i="3"/>
  <c r="D3408" i="3"/>
  <c r="AH3408" i="3"/>
  <c r="B3409" i="3"/>
  <c r="E3409" i="3"/>
  <c r="C3409" i="3"/>
  <c r="AH3409" i="3"/>
  <c r="B3410" i="3"/>
  <c r="E3410" i="3"/>
  <c r="C3410" i="3"/>
  <c r="D3410" i="3"/>
  <c r="B3411" i="3"/>
  <c r="C3411" i="3"/>
  <c r="D3411" i="3"/>
  <c r="E3411" i="3"/>
  <c r="AH3411" i="3"/>
  <c r="B3412" i="3"/>
  <c r="D3412" i="3"/>
  <c r="C3412" i="3"/>
  <c r="AH3412" i="3"/>
  <c r="B3413" i="3"/>
  <c r="D3413" i="3"/>
  <c r="C3413" i="3"/>
  <c r="E3413" i="3"/>
  <c r="AH3413" i="3"/>
  <c r="B3414" i="3"/>
  <c r="E3414" i="3"/>
  <c r="C3414" i="3"/>
  <c r="B3415" i="3"/>
  <c r="D3415" i="3"/>
  <c r="C3415" i="3"/>
  <c r="AH3415" i="3"/>
  <c r="B3417" i="3"/>
  <c r="D3417" i="3"/>
  <c r="C3417" i="3"/>
  <c r="B3418" i="3"/>
  <c r="D3418" i="3"/>
  <c r="C3418" i="3"/>
  <c r="AH3418" i="3"/>
  <c r="B3419" i="3"/>
  <c r="E3419" i="3"/>
  <c r="C3419" i="3"/>
  <c r="D3419" i="3"/>
  <c r="AH3419" i="3"/>
  <c r="B3420" i="3"/>
  <c r="E3420" i="3"/>
  <c r="C3420" i="3"/>
  <c r="D3420" i="3"/>
  <c r="AH3420" i="3"/>
  <c r="B3421" i="3"/>
  <c r="E3421" i="3"/>
  <c r="C3421" i="3"/>
  <c r="D3421" i="3"/>
  <c r="AH3421" i="3"/>
  <c r="B3422" i="3"/>
  <c r="E3422" i="3"/>
  <c r="C3422" i="3"/>
  <c r="AH3422" i="3"/>
  <c r="B3423" i="3"/>
  <c r="E3423" i="3"/>
  <c r="C3423" i="3"/>
  <c r="D3423" i="3"/>
  <c r="AH3423" i="3"/>
  <c r="B3424" i="3"/>
  <c r="E3424" i="3"/>
  <c r="C3424" i="3"/>
  <c r="D3424" i="3"/>
  <c r="AH3424" i="3"/>
  <c r="B3425" i="3"/>
  <c r="E3425" i="3"/>
  <c r="C3425" i="3"/>
  <c r="D3425" i="3"/>
  <c r="AH3425" i="3"/>
  <c r="B3426" i="3"/>
  <c r="C3426" i="3"/>
  <c r="D3426" i="3"/>
  <c r="E3426" i="3"/>
  <c r="AH3426" i="3"/>
  <c r="B3427" i="3"/>
  <c r="E3427" i="3"/>
  <c r="C3427" i="3"/>
  <c r="D3427" i="3"/>
  <c r="AH3427" i="3"/>
  <c r="B3428" i="3"/>
  <c r="E3428" i="3"/>
  <c r="C3428" i="3"/>
  <c r="B3429" i="3"/>
  <c r="D3429" i="3"/>
  <c r="C3429" i="3"/>
  <c r="AH3429" i="3"/>
  <c r="B3430" i="3"/>
  <c r="D3430" i="3"/>
  <c r="C3430" i="3"/>
  <c r="E3430" i="3"/>
  <c r="AH3430" i="3"/>
  <c r="B3431" i="3"/>
  <c r="E3431" i="3"/>
  <c r="C3431" i="3"/>
  <c r="D3431" i="3"/>
  <c r="AH3431" i="3"/>
  <c r="B3432" i="3"/>
  <c r="E3432" i="3"/>
  <c r="C3432" i="3"/>
  <c r="D3432" i="3"/>
  <c r="B3433" i="3"/>
  <c r="D3433" i="3"/>
  <c r="E3433" i="3"/>
  <c r="C3433" i="3"/>
  <c r="AH3433" i="3"/>
  <c r="B3434" i="3"/>
  <c r="D3434" i="3"/>
  <c r="C3434" i="3"/>
  <c r="AH3434" i="3"/>
  <c r="B3435" i="3"/>
  <c r="E3435" i="3"/>
  <c r="C3435" i="3"/>
  <c r="D3435" i="3"/>
  <c r="AH3435" i="3"/>
  <c r="B3436" i="3"/>
  <c r="E3436" i="3"/>
  <c r="C3436" i="3"/>
  <c r="D3436" i="3"/>
  <c r="AH3436" i="3"/>
  <c r="B3437" i="3"/>
  <c r="E3437" i="3"/>
  <c r="C3437" i="3"/>
  <c r="D3437" i="3"/>
  <c r="AH3437" i="3"/>
  <c r="B3438" i="3"/>
  <c r="E3438" i="3"/>
  <c r="C3438" i="3"/>
  <c r="D3438" i="3"/>
  <c r="AH3438" i="3"/>
  <c r="B3439" i="3"/>
  <c r="E3439" i="3"/>
  <c r="C3439" i="3"/>
  <c r="D3439" i="3"/>
  <c r="AH3439" i="3"/>
  <c r="B3440" i="3"/>
  <c r="E3440" i="3"/>
  <c r="C3440" i="3"/>
  <c r="AH3440" i="3"/>
  <c r="B3441" i="3"/>
  <c r="E3441" i="3"/>
  <c r="C3441" i="3"/>
  <c r="D3441" i="3"/>
  <c r="AH3441" i="3"/>
  <c r="B3442" i="3"/>
  <c r="C3442" i="3"/>
  <c r="D3442" i="3"/>
  <c r="E3442" i="3"/>
  <c r="AH3442" i="3"/>
  <c r="B3443" i="3"/>
  <c r="E3443" i="3"/>
  <c r="C3443" i="3"/>
  <c r="D3443" i="3"/>
  <c r="AH3443" i="3"/>
  <c r="B3445" i="3"/>
  <c r="D3445" i="3"/>
  <c r="C3445" i="3"/>
  <c r="B3446" i="3"/>
  <c r="C3446" i="3"/>
  <c r="D3446" i="3"/>
  <c r="E3446" i="3"/>
  <c r="AH3446" i="3"/>
  <c r="B3447" i="3"/>
  <c r="D3447" i="3"/>
  <c r="C3447" i="3"/>
  <c r="B3448" i="3"/>
  <c r="D3448" i="3"/>
  <c r="C3448" i="3"/>
  <c r="B3449" i="3"/>
  <c r="E3449" i="3"/>
  <c r="C3449" i="3"/>
  <c r="B3450" i="3"/>
  <c r="C3450" i="3"/>
  <c r="D3450" i="3"/>
  <c r="E3450" i="3"/>
  <c r="AH3450" i="3"/>
  <c r="B3451" i="3"/>
  <c r="D3451" i="3"/>
  <c r="C3451" i="3"/>
  <c r="AH3451" i="3"/>
  <c r="B3452" i="3"/>
  <c r="D3452" i="3"/>
  <c r="C3452" i="3"/>
  <c r="AH3452" i="3"/>
  <c r="B3453" i="3"/>
  <c r="E3453" i="3"/>
  <c r="C3453" i="3"/>
  <c r="AH3453" i="3"/>
  <c r="B3454" i="3"/>
  <c r="C3454" i="3"/>
  <c r="D3454" i="3"/>
  <c r="E3454" i="3"/>
  <c r="AH3454" i="3"/>
  <c r="B3455" i="3"/>
  <c r="D3455" i="3"/>
  <c r="E3455" i="3"/>
  <c r="C3455" i="3"/>
  <c r="AH3455" i="3"/>
  <c r="B3456" i="3"/>
  <c r="D3456" i="3"/>
  <c r="C3456" i="3"/>
  <c r="E3456" i="3"/>
  <c r="AH3456" i="3"/>
  <c r="B3457" i="3"/>
  <c r="E3457" i="3"/>
  <c r="C3457" i="3"/>
  <c r="D3457" i="3"/>
  <c r="AH3457" i="3"/>
  <c r="B3458" i="3"/>
  <c r="C3458" i="3"/>
  <c r="D3458" i="3"/>
  <c r="E3458" i="3"/>
  <c r="AH3458" i="3"/>
  <c r="B3459" i="3"/>
  <c r="D3459" i="3"/>
  <c r="E3459" i="3"/>
  <c r="C3459" i="3"/>
  <c r="B3460" i="3"/>
  <c r="D3460" i="3"/>
  <c r="C3460" i="3"/>
  <c r="E3460" i="3"/>
  <c r="B3461" i="3"/>
  <c r="E3461" i="3"/>
  <c r="C3461" i="3"/>
  <c r="D3461" i="3"/>
  <c r="B3462" i="3"/>
  <c r="C3462" i="3"/>
  <c r="D3462" i="3"/>
  <c r="E3462" i="3"/>
  <c r="AH3462" i="3"/>
  <c r="B3463" i="3"/>
  <c r="D3463" i="3"/>
  <c r="C3463" i="3"/>
  <c r="B3464" i="3"/>
  <c r="D3464" i="3"/>
  <c r="C3464" i="3"/>
  <c r="B3465" i="3"/>
  <c r="E3465" i="3"/>
  <c r="C3465" i="3"/>
  <c r="B3466" i="3"/>
  <c r="D3466" i="3"/>
  <c r="C3466" i="3"/>
  <c r="AH3466" i="3"/>
  <c r="B3467" i="3"/>
  <c r="E3467" i="3"/>
  <c r="C3467" i="3"/>
  <c r="D3467" i="3"/>
  <c r="AH3467" i="3"/>
  <c r="B3468" i="3"/>
  <c r="C3468" i="3"/>
  <c r="D3468" i="3"/>
  <c r="E3468" i="3"/>
  <c r="AH3468" i="3"/>
  <c r="B3469" i="3"/>
  <c r="D3469" i="3"/>
  <c r="E3469" i="3"/>
  <c r="C3469" i="3"/>
  <c r="AH3469" i="3"/>
  <c r="B3470" i="3"/>
  <c r="D3470" i="3"/>
  <c r="C3470" i="3"/>
  <c r="AH3470" i="3"/>
  <c r="B3471" i="3"/>
  <c r="E3471" i="3"/>
  <c r="C3471" i="3"/>
  <c r="D3471" i="3"/>
  <c r="AH3471" i="3"/>
  <c r="C3473" i="3"/>
  <c r="D3473" i="3"/>
  <c r="B3474" i="3"/>
  <c r="D3474" i="3"/>
  <c r="C3474" i="3"/>
  <c r="E3474" i="3"/>
  <c r="AH3474" i="3"/>
  <c r="B3475" i="3"/>
  <c r="E3475" i="3"/>
  <c r="C3475" i="3"/>
  <c r="D3475" i="3"/>
  <c r="AH3475" i="3"/>
  <c r="B3476" i="3"/>
  <c r="E3476" i="3"/>
  <c r="C3476" i="3"/>
  <c r="D3476" i="3"/>
  <c r="AH3476" i="3"/>
  <c r="B3477" i="3"/>
  <c r="D3477" i="3"/>
  <c r="C3477" i="3"/>
  <c r="AH3477" i="3"/>
  <c r="B3478" i="3"/>
  <c r="D3478" i="3"/>
  <c r="C3478" i="3"/>
  <c r="E3478" i="3"/>
  <c r="AH3478" i="3"/>
  <c r="B3479" i="3"/>
  <c r="E3479" i="3"/>
  <c r="C3479" i="3"/>
  <c r="D3479" i="3"/>
  <c r="AH3479" i="3"/>
  <c r="B3480" i="3"/>
  <c r="E3480" i="3"/>
  <c r="C3480" i="3"/>
  <c r="D3480" i="3"/>
  <c r="AH3480" i="3"/>
  <c r="B3481" i="3"/>
  <c r="D3481" i="3"/>
  <c r="C3481" i="3"/>
  <c r="AH3481" i="3"/>
  <c r="B3482" i="3"/>
  <c r="D3482" i="3"/>
  <c r="C3482" i="3"/>
  <c r="E3482" i="3"/>
  <c r="AH3482" i="3"/>
  <c r="B3483" i="3"/>
  <c r="E3483" i="3"/>
  <c r="C3483" i="3"/>
  <c r="D3483" i="3"/>
  <c r="AH3483" i="3"/>
  <c r="B3484" i="3"/>
  <c r="E3484" i="3"/>
  <c r="C3484" i="3"/>
  <c r="D3484" i="3"/>
  <c r="AH3484" i="3"/>
  <c r="B3485" i="3"/>
  <c r="D3485" i="3"/>
  <c r="C3485" i="3"/>
  <c r="AH3485" i="3"/>
  <c r="B3486" i="3"/>
  <c r="D3486" i="3"/>
  <c r="C3486" i="3"/>
  <c r="E3486" i="3"/>
  <c r="AH3486" i="3"/>
  <c r="B3487" i="3"/>
  <c r="E3487" i="3"/>
  <c r="C3487" i="3"/>
  <c r="D3487" i="3"/>
  <c r="AH3487" i="3"/>
  <c r="B3488" i="3"/>
  <c r="E3488" i="3"/>
  <c r="C3488" i="3"/>
  <c r="D3488" i="3"/>
  <c r="AH3488" i="3"/>
  <c r="B3489" i="3"/>
  <c r="D3489" i="3"/>
  <c r="C3489" i="3"/>
  <c r="AH3489" i="3"/>
  <c r="B3490" i="3"/>
  <c r="D3490" i="3"/>
  <c r="C3490" i="3"/>
  <c r="E3490" i="3"/>
  <c r="AH3490" i="3"/>
  <c r="B3491" i="3"/>
  <c r="E3491" i="3"/>
  <c r="C3491" i="3"/>
  <c r="D3491" i="3"/>
  <c r="AH3491" i="3"/>
  <c r="B3492" i="3"/>
  <c r="E3492" i="3"/>
  <c r="C3492" i="3"/>
  <c r="D3492" i="3"/>
  <c r="AH3492" i="3"/>
  <c r="B3493" i="3"/>
  <c r="D3493" i="3"/>
  <c r="C3493" i="3"/>
  <c r="AH3493" i="3"/>
  <c r="B3494" i="3"/>
  <c r="D3494" i="3"/>
  <c r="C3494" i="3"/>
  <c r="E3494" i="3"/>
  <c r="AH3494" i="3"/>
  <c r="B3495" i="3"/>
  <c r="E3495" i="3"/>
  <c r="C3495" i="3"/>
  <c r="D3495" i="3"/>
  <c r="AH3495" i="3"/>
  <c r="B3496" i="3"/>
  <c r="E3496" i="3"/>
  <c r="C3496" i="3"/>
  <c r="D3496" i="3"/>
  <c r="AH3496" i="3"/>
  <c r="B3497" i="3"/>
  <c r="D3497" i="3"/>
  <c r="C3497" i="3"/>
  <c r="AH3497" i="3"/>
  <c r="B3498" i="3"/>
  <c r="D3498" i="3"/>
  <c r="C3498" i="3"/>
  <c r="E3498" i="3"/>
  <c r="AH3498" i="3"/>
  <c r="B3499" i="3"/>
  <c r="E3499" i="3"/>
  <c r="C3499" i="3"/>
  <c r="D3499" i="3"/>
  <c r="AH3499" i="3"/>
  <c r="C3501" i="3"/>
  <c r="B3502" i="3"/>
  <c r="C3502" i="3"/>
  <c r="D3502" i="3"/>
  <c r="E3502" i="3"/>
  <c r="AH3502" i="3"/>
  <c r="B3503" i="3"/>
  <c r="D3503" i="3"/>
  <c r="E3503" i="3"/>
  <c r="C3503" i="3"/>
  <c r="AH3503" i="3"/>
  <c r="B3504" i="3"/>
  <c r="D3504" i="3"/>
  <c r="C3504" i="3"/>
  <c r="AH3504" i="3"/>
  <c r="B3505" i="3"/>
  <c r="E3505" i="3"/>
  <c r="C3505" i="3"/>
  <c r="D3505" i="3"/>
  <c r="AH3505" i="3"/>
  <c r="B3506" i="3"/>
  <c r="C3506" i="3"/>
  <c r="D3506" i="3"/>
  <c r="E3506" i="3"/>
  <c r="AH3506" i="3"/>
  <c r="B3507" i="3"/>
  <c r="D3507" i="3"/>
  <c r="E3507" i="3"/>
  <c r="C3507" i="3"/>
  <c r="AH3507" i="3"/>
  <c r="B3508" i="3"/>
  <c r="D3508" i="3"/>
  <c r="C3508" i="3"/>
  <c r="AH3508" i="3"/>
  <c r="B3509" i="3"/>
  <c r="E3509" i="3"/>
  <c r="C3509" i="3"/>
  <c r="D3509" i="3"/>
  <c r="AH3509" i="3"/>
  <c r="B3510" i="3"/>
  <c r="C3510" i="3"/>
  <c r="D3510" i="3"/>
  <c r="E3510" i="3"/>
  <c r="AH3510" i="3"/>
  <c r="B3511" i="3"/>
  <c r="D3511" i="3"/>
  <c r="E3511" i="3"/>
  <c r="C3511" i="3"/>
  <c r="AH3511" i="3"/>
  <c r="B3512" i="3"/>
  <c r="D3512" i="3"/>
  <c r="C3512" i="3"/>
  <c r="AH3512" i="3"/>
  <c r="B3513" i="3"/>
  <c r="E3513" i="3"/>
  <c r="C3513" i="3"/>
  <c r="D3513" i="3"/>
  <c r="AH3513" i="3"/>
  <c r="B3514" i="3"/>
  <c r="C3514" i="3"/>
  <c r="D3514" i="3"/>
  <c r="E3514" i="3"/>
  <c r="AH3514" i="3"/>
  <c r="B3515" i="3"/>
  <c r="D3515" i="3"/>
  <c r="E3515" i="3"/>
  <c r="C3515" i="3"/>
  <c r="AH3515" i="3"/>
  <c r="B3516" i="3"/>
  <c r="D3516" i="3"/>
  <c r="C3516" i="3"/>
  <c r="AH3516" i="3"/>
  <c r="B3517" i="3"/>
  <c r="E3517" i="3"/>
  <c r="C3517" i="3"/>
  <c r="D3517" i="3"/>
  <c r="AH3517" i="3"/>
  <c r="B3518" i="3"/>
  <c r="C3518" i="3"/>
  <c r="D3518" i="3"/>
  <c r="E3518" i="3"/>
  <c r="AH3518" i="3"/>
  <c r="B3519" i="3"/>
  <c r="D3519" i="3"/>
  <c r="E3519" i="3"/>
  <c r="C3519" i="3"/>
  <c r="AH3519" i="3"/>
  <c r="B3520" i="3"/>
  <c r="D3520" i="3"/>
  <c r="C3520" i="3"/>
  <c r="AH3520" i="3"/>
  <c r="B3521" i="3"/>
  <c r="E3521" i="3"/>
  <c r="C3521" i="3"/>
  <c r="D3521" i="3"/>
  <c r="AH3521" i="3"/>
  <c r="B3522" i="3"/>
  <c r="C3522" i="3"/>
  <c r="D3522" i="3"/>
  <c r="E3522" i="3"/>
  <c r="AH3522" i="3"/>
  <c r="B3523" i="3"/>
  <c r="D3523" i="3"/>
  <c r="E3523" i="3"/>
  <c r="C3523" i="3"/>
  <c r="AH3523" i="3"/>
  <c r="B3524" i="3"/>
  <c r="D3524" i="3"/>
  <c r="C3524" i="3"/>
  <c r="AH3524" i="3"/>
  <c r="B3525" i="3"/>
  <c r="E3525" i="3"/>
  <c r="C3525" i="3"/>
  <c r="D3525" i="3"/>
  <c r="AH3525" i="3"/>
  <c r="B3526" i="3"/>
  <c r="C3526" i="3"/>
  <c r="D3526" i="3"/>
  <c r="E3526" i="3"/>
  <c r="AH3526" i="3"/>
  <c r="B3527" i="3"/>
  <c r="D3527" i="3"/>
  <c r="E3527" i="3"/>
  <c r="C3527" i="3"/>
  <c r="AH3527" i="3"/>
  <c r="B3529" i="3"/>
  <c r="D3529" i="3"/>
  <c r="C3529" i="3"/>
  <c r="B3530" i="3"/>
  <c r="E3530" i="3"/>
  <c r="C3530" i="3"/>
  <c r="D3530" i="3"/>
  <c r="AH3530" i="3"/>
  <c r="B3531" i="3"/>
  <c r="D3531" i="3"/>
  <c r="C3531" i="3"/>
  <c r="AH3531" i="3"/>
  <c r="B3532" i="3"/>
  <c r="D3532" i="3"/>
  <c r="C3532" i="3"/>
  <c r="E3532" i="3"/>
  <c r="AH3532" i="3"/>
  <c r="B3533" i="3"/>
  <c r="E3533" i="3"/>
  <c r="C3533" i="3"/>
  <c r="D3533" i="3"/>
  <c r="AH3533" i="3"/>
  <c r="B3534" i="3"/>
  <c r="E3534" i="3"/>
  <c r="C3534" i="3"/>
  <c r="D3534" i="3"/>
  <c r="AH3534" i="3"/>
  <c r="B3535" i="3"/>
  <c r="D3535" i="3"/>
  <c r="C3535" i="3"/>
  <c r="AH3535" i="3"/>
  <c r="B3536" i="3"/>
  <c r="D3536" i="3"/>
  <c r="C3536" i="3"/>
  <c r="E3536" i="3"/>
  <c r="AH3536" i="3"/>
  <c r="B3537" i="3"/>
  <c r="E3537" i="3"/>
  <c r="C3537" i="3"/>
  <c r="D3537" i="3"/>
  <c r="AH3537" i="3"/>
  <c r="B3538" i="3"/>
  <c r="E3538" i="3"/>
  <c r="C3538" i="3"/>
  <c r="D3538" i="3"/>
  <c r="AH3538" i="3"/>
  <c r="B3539" i="3"/>
  <c r="D3539" i="3"/>
  <c r="C3539" i="3"/>
  <c r="AH3539" i="3"/>
  <c r="B3540" i="3"/>
  <c r="D3540" i="3"/>
  <c r="C3540" i="3"/>
  <c r="E3540" i="3"/>
  <c r="AH3540" i="3"/>
  <c r="B3541" i="3"/>
  <c r="E3541" i="3"/>
  <c r="C3541" i="3"/>
  <c r="D3541" i="3"/>
  <c r="AH3541" i="3"/>
  <c r="B3542" i="3"/>
  <c r="E3542" i="3"/>
  <c r="C3542" i="3"/>
  <c r="D3542" i="3"/>
  <c r="AH3542" i="3"/>
  <c r="B3543" i="3"/>
  <c r="D3543" i="3"/>
  <c r="C3543" i="3"/>
  <c r="AH3543" i="3"/>
  <c r="B3544" i="3"/>
  <c r="D3544" i="3"/>
  <c r="C3544" i="3"/>
  <c r="E3544" i="3"/>
  <c r="AH3544" i="3"/>
  <c r="B3545" i="3"/>
  <c r="E3545" i="3"/>
  <c r="C3545" i="3"/>
  <c r="D3545" i="3"/>
  <c r="AH3545" i="3"/>
  <c r="B3546" i="3"/>
  <c r="E3546" i="3"/>
  <c r="C3546" i="3"/>
  <c r="D3546" i="3"/>
  <c r="AH3546" i="3"/>
  <c r="B3547" i="3"/>
  <c r="D3547" i="3"/>
  <c r="C3547" i="3"/>
  <c r="AH3547" i="3"/>
  <c r="B3548" i="3"/>
  <c r="D3548" i="3"/>
  <c r="C3548" i="3"/>
  <c r="E3548" i="3"/>
  <c r="AH3548" i="3"/>
  <c r="B3549" i="3"/>
  <c r="E3549" i="3"/>
  <c r="C3549" i="3"/>
  <c r="D3549" i="3"/>
  <c r="AH3549" i="3"/>
  <c r="B3550" i="3"/>
  <c r="E3550" i="3"/>
  <c r="C3550" i="3"/>
  <c r="D3550" i="3"/>
  <c r="AH3550" i="3"/>
  <c r="B3551" i="3"/>
  <c r="D3551" i="3"/>
  <c r="C3551" i="3"/>
  <c r="AH3551" i="3"/>
  <c r="B3552" i="3"/>
  <c r="D3552" i="3"/>
  <c r="C3552" i="3"/>
  <c r="E3552" i="3"/>
  <c r="AH3552" i="3"/>
  <c r="B3553" i="3"/>
  <c r="E3553" i="3"/>
  <c r="C3553" i="3"/>
  <c r="D3553" i="3"/>
  <c r="AH3553" i="3"/>
  <c r="B3554" i="3"/>
  <c r="E3554" i="3"/>
  <c r="C3554" i="3"/>
  <c r="D3554" i="3"/>
  <c r="AH3554" i="3"/>
  <c r="B3555" i="3"/>
  <c r="D3555" i="3"/>
  <c r="C3555" i="3"/>
  <c r="AH3555" i="3"/>
  <c r="B3557" i="3"/>
  <c r="D3557" i="3"/>
  <c r="C3557" i="3"/>
  <c r="B3558" i="3"/>
  <c r="D3558" i="3"/>
  <c r="C3558" i="3"/>
  <c r="AH3558" i="3"/>
  <c r="B3559" i="3"/>
  <c r="E3559" i="3"/>
  <c r="C3559" i="3"/>
  <c r="D3559" i="3"/>
  <c r="AH3559" i="3"/>
  <c r="B3560" i="3"/>
  <c r="C3560" i="3"/>
  <c r="D3560" i="3"/>
  <c r="E3560" i="3"/>
  <c r="AH3560" i="3"/>
  <c r="B3561" i="3"/>
  <c r="D3561" i="3"/>
  <c r="E3561" i="3"/>
  <c r="C3561" i="3"/>
  <c r="AH3561" i="3"/>
  <c r="B3562" i="3"/>
  <c r="D3562" i="3"/>
  <c r="C3562" i="3"/>
  <c r="AH3562" i="3"/>
  <c r="B3563" i="3"/>
  <c r="E3563" i="3"/>
  <c r="C3563" i="3"/>
  <c r="D3563" i="3"/>
  <c r="AH3563" i="3"/>
  <c r="B3564" i="3"/>
  <c r="C3564" i="3"/>
  <c r="D3564" i="3"/>
  <c r="E3564" i="3"/>
  <c r="AH3564" i="3"/>
  <c r="B3565" i="3"/>
  <c r="D3565" i="3"/>
  <c r="E3565" i="3"/>
  <c r="C3565" i="3"/>
  <c r="AH3565" i="3"/>
  <c r="B3566" i="3"/>
  <c r="D3566" i="3"/>
  <c r="C3566" i="3"/>
  <c r="AH3566" i="3"/>
  <c r="B3567" i="3"/>
  <c r="E3567" i="3"/>
  <c r="C3567" i="3"/>
  <c r="D3567" i="3"/>
  <c r="AH3567" i="3"/>
  <c r="B3568" i="3"/>
  <c r="C3568" i="3"/>
  <c r="D3568" i="3"/>
  <c r="E3568" i="3"/>
  <c r="AH3568" i="3"/>
  <c r="B3569" i="3"/>
  <c r="D3569" i="3"/>
  <c r="E3569" i="3"/>
  <c r="C3569" i="3"/>
  <c r="AH3569" i="3"/>
  <c r="B3570" i="3"/>
  <c r="D3570" i="3"/>
  <c r="C3570" i="3"/>
  <c r="AH3570" i="3"/>
  <c r="B3571" i="3"/>
  <c r="E3571" i="3"/>
  <c r="C3571" i="3"/>
  <c r="D3571" i="3"/>
  <c r="AH3571" i="3"/>
  <c r="B3572" i="3"/>
  <c r="C3572" i="3"/>
  <c r="D3572" i="3"/>
  <c r="E3572" i="3"/>
  <c r="AH3572" i="3"/>
  <c r="B3573" i="3"/>
  <c r="D3573" i="3"/>
  <c r="E3573" i="3"/>
  <c r="C3573" i="3"/>
  <c r="AH3573" i="3"/>
  <c r="B3574" i="3"/>
  <c r="D3574" i="3"/>
  <c r="C3574" i="3"/>
  <c r="AH3574" i="3"/>
  <c r="B3575" i="3"/>
  <c r="E3575" i="3"/>
  <c r="C3575" i="3"/>
  <c r="D3575" i="3"/>
  <c r="AH3575" i="3"/>
  <c r="B3576" i="3"/>
  <c r="C3576" i="3"/>
  <c r="D3576" i="3"/>
  <c r="E3576" i="3"/>
  <c r="AH3576" i="3"/>
  <c r="B3577" i="3"/>
  <c r="D3577" i="3"/>
  <c r="E3577" i="3"/>
  <c r="C3577" i="3"/>
  <c r="AH3577" i="3"/>
  <c r="B3578" i="3"/>
  <c r="D3578" i="3"/>
  <c r="C3578" i="3"/>
  <c r="AH3578" i="3"/>
  <c r="B3579" i="3"/>
  <c r="E3579" i="3"/>
  <c r="C3579" i="3"/>
  <c r="D3579" i="3"/>
  <c r="AH3579" i="3"/>
  <c r="B3580" i="3"/>
  <c r="C3580" i="3"/>
  <c r="D3580" i="3"/>
  <c r="E3580" i="3"/>
  <c r="AH3580" i="3"/>
  <c r="B3581" i="3"/>
  <c r="D3581" i="3"/>
  <c r="E3581" i="3"/>
  <c r="C3581" i="3"/>
  <c r="AH3581" i="3"/>
  <c r="B3582" i="3"/>
  <c r="D3582" i="3"/>
  <c r="C3582" i="3"/>
  <c r="AH3582" i="3"/>
  <c r="B3583" i="3"/>
  <c r="E3583" i="3"/>
  <c r="C3583" i="3"/>
  <c r="D3583" i="3"/>
  <c r="AH3583" i="3"/>
  <c r="B3585" i="3"/>
  <c r="D3585" i="3"/>
  <c r="C3585" i="3"/>
  <c r="B3586" i="3"/>
  <c r="D3586" i="3"/>
  <c r="C3586" i="3"/>
  <c r="E3586" i="3"/>
  <c r="AH3586" i="3"/>
  <c r="B3587" i="3"/>
  <c r="E3587" i="3"/>
  <c r="C3587" i="3"/>
  <c r="D3587" i="3"/>
  <c r="AH3587" i="3"/>
  <c r="B3588" i="3"/>
  <c r="E3588" i="3"/>
  <c r="C3588" i="3"/>
  <c r="D3588" i="3"/>
  <c r="AH3588" i="3"/>
  <c r="B3589" i="3"/>
  <c r="D3589" i="3"/>
  <c r="C3589" i="3"/>
  <c r="AH3589" i="3"/>
  <c r="B3590" i="3"/>
  <c r="D3590" i="3"/>
  <c r="C3590" i="3"/>
  <c r="E3590" i="3"/>
  <c r="AH3590" i="3"/>
  <c r="B3591" i="3"/>
  <c r="E3591" i="3"/>
  <c r="C3591" i="3"/>
  <c r="D3591" i="3"/>
  <c r="AH3591" i="3"/>
  <c r="B3592" i="3"/>
  <c r="E3592" i="3"/>
  <c r="C3592" i="3"/>
  <c r="D3592" i="3"/>
  <c r="AH3592" i="3"/>
  <c r="B3593" i="3"/>
  <c r="D3593" i="3"/>
  <c r="C3593" i="3"/>
  <c r="AH3593" i="3"/>
  <c r="B3594" i="3"/>
  <c r="D3594" i="3"/>
  <c r="C3594" i="3"/>
  <c r="E3594" i="3"/>
  <c r="AH3594" i="3"/>
  <c r="B3595" i="3"/>
  <c r="E3595" i="3"/>
  <c r="C3595" i="3"/>
  <c r="D3595" i="3"/>
  <c r="AH3595" i="3"/>
  <c r="B3596" i="3"/>
  <c r="E3596" i="3"/>
  <c r="C3596" i="3"/>
  <c r="D3596" i="3"/>
  <c r="AH3596" i="3"/>
  <c r="B3597" i="3"/>
  <c r="D3597" i="3"/>
  <c r="C3597" i="3"/>
  <c r="AH3597" i="3"/>
  <c r="B3598" i="3"/>
  <c r="D3598" i="3"/>
  <c r="C3598" i="3"/>
  <c r="E3598" i="3"/>
  <c r="AH3598" i="3"/>
  <c r="B3599" i="3"/>
  <c r="E3599" i="3"/>
  <c r="C3599" i="3"/>
  <c r="D3599" i="3"/>
  <c r="AH3599" i="3"/>
  <c r="B3600" i="3"/>
  <c r="E3600" i="3"/>
  <c r="C3600" i="3"/>
  <c r="D3600" i="3"/>
  <c r="AH3600" i="3"/>
  <c r="B3601" i="3"/>
  <c r="D3601" i="3"/>
  <c r="C3601" i="3"/>
  <c r="AH3601" i="3"/>
  <c r="B3602" i="3"/>
  <c r="D3602" i="3"/>
  <c r="C3602" i="3"/>
  <c r="E3602" i="3"/>
  <c r="AH3602" i="3"/>
  <c r="B3603" i="3"/>
  <c r="E3603" i="3"/>
  <c r="C3603" i="3"/>
  <c r="D3603" i="3"/>
  <c r="AH3603" i="3"/>
  <c r="B3604" i="3"/>
  <c r="E3604" i="3"/>
  <c r="C3604" i="3"/>
  <c r="D3604" i="3"/>
  <c r="AH3604" i="3"/>
  <c r="B3605" i="3"/>
  <c r="D3605" i="3"/>
  <c r="C3605" i="3"/>
  <c r="AH3605" i="3"/>
  <c r="B3606" i="3"/>
  <c r="D3606" i="3"/>
  <c r="C3606" i="3"/>
  <c r="E3606" i="3"/>
  <c r="AH3606" i="3"/>
  <c r="B3607" i="3"/>
  <c r="E3607" i="3"/>
  <c r="C3607" i="3"/>
  <c r="D3607" i="3"/>
  <c r="AH3607" i="3"/>
  <c r="B3608" i="3"/>
  <c r="E3608" i="3"/>
  <c r="C3608" i="3"/>
  <c r="D3608" i="3"/>
  <c r="AH3608" i="3"/>
  <c r="B3609" i="3"/>
  <c r="D3609" i="3"/>
  <c r="C3609" i="3"/>
  <c r="AH3609" i="3"/>
  <c r="B3610" i="3"/>
  <c r="D3610" i="3"/>
  <c r="C3610" i="3"/>
  <c r="E3610" i="3"/>
  <c r="AH3610" i="3"/>
  <c r="B3611" i="3"/>
  <c r="E3611" i="3"/>
  <c r="C3611" i="3"/>
  <c r="D3611" i="3"/>
  <c r="AH3611" i="3"/>
  <c r="C3613" i="3"/>
  <c r="B3614" i="3"/>
  <c r="C3614" i="3"/>
  <c r="D3614" i="3"/>
  <c r="E3614" i="3"/>
  <c r="AH3614" i="3"/>
  <c r="B3615" i="3"/>
  <c r="D3615" i="3"/>
  <c r="E3615" i="3"/>
  <c r="C3615" i="3"/>
  <c r="AH3615" i="3"/>
  <c r="B3616" i="3"/>
  <c r="D3616" i="3"/>
  <c r="C3616" i="3"/>
  <c r="AH3616" i="3"/>
  <c r="B3617" i="3"/>
  <c r="E3617" i="3"/>
  <c r="C3617" i="3"/>
  <c r="D3617" i="3"/>
  <c r="AH3617" i="3"/>
  <c r="B3618" i="3"/>
  <c r="C3618" i="3"/>
  <c r="D3618" i="3"/>
  <c r="E3618" i="3"/>
  <c r="AH3618" i="3"/>
  <c r="B3619" i="3"/>
  <c r="D3619" i="3"/>
  <c r="E3619" i="3"/>
  <c r="C3619" i="3"/>
  <c r="AH3619" i="3"/>
  <c r="B3620" i="3"/>
  <c r="D3620" i="3"/>
  <c r="C3620" i="3"/>
  <c r="AH3620" i="3"/>
  <c r="B3621" i="3"/>
  <c r="E3621" i="3"/>
  <c r="C3621" i="3"/>
  <c r="D3621" i="3"/>
  <c r="AH3621" i="3"/>
  <c r="B3622" i="3"/>
  <c r="C3622" i="3"/>
  <c r="D3622" i="3"/>
  <c r="E3622" i="3"/>
  <c r="AH3622" i="3"/>
  <c r="B3623" i="3"/>
  <c r="D3623" i="3"/>
  <c r="E3623" i="3"/>
  <c r="C3623" i="3"/>
  <c r="AH3623" i="3"/>
  <c r="B3624" i="3"/>
  <c r="D3624" i="3"/>
  <c r="C3624" i="3"/>
  <c r="AH3624" i="3"/>
  <c r="B3625" i="3"/>
  <c r="E3625" i="3"/>
  <c r="C3625" i="3"/>
  <c r="D3625" i="3"/>
  <c r="AH3625" i="3"/>
  <c r="B3626" i="3"/>
  <c r="C3626" i="3"/>
  <c r="D3626" i="3"/>
  <c r="E3626" i="3"/>
  <c r="AH3626" i="3"/>
  <c r="B3627" i="3"/>
  <c r="D3627" i="3"/>
  <c r="E3627" i="3"/>
  <c r="C3627" i="3"/>
  <c r="AH3627" i="3"/>
  <c r="B3628" i="3"/>
  <c r="D3628" i="3"/>
  <c r="C3628" i="3"/>
  <c r="AH3628" i="3"/>
  <c r="B3629" i="3"/>
  <c r="E3629" i="3"/>
  <c r="C3629" i="3"/>
  <c r="D3629" i="3"/>
  <c r="AH3629" i="3"/>
  <c r="B3630" i="3"/>
  <c r="C3630" i="3"/>
  <c r="D3630" i="3"/>
  <c r="E3630" i="3"/>
  <c r="AH3630" i="3"/>
  <c r="B3631" i="3"/>
  <c r="D3631" i="3"/>
  <c r="E3631" i="3"/>
  <c r="C3631" i="3"/>
  <c r="AH3631" i="3"/>
  <c r="B3632" i="3"/>
  <c r="D3632" i="3"/>
  <c r="C3632" i="3"/>
  <c r="AH3632" i="3"/>
  <c r="B3633" i="3"/>
  <c r="E3633" i="3"/>
  <c r="C3633" i="3"/>
  <c r="D3633" i="3"/>
  <c r="AH3633" i="3"/>
  <c r="B3634" i="3"/>
  <c r="C3634" i="3"/>
  <c r="D3634" i="3"/>
  <c r="E3634" i="3"/>
  <c r="AH3634" i="3"/>
  <c r="B3635" i="3"/>
  <c r="D3635" i="3"/>
  <c r="E3635" i="3"/>
  <c r="C3635" i="3"/>
  <c r="AH3635" i="3"/>
  <c r="B3636" i="3"/>
  <c r="D3636" i="3"/>
  <c r="C3636" i="3"/>
  <c r="AH3636" i="3"/>
  <c r="B3637" i="3"/>
  <c r="E3637" i="3"/>
  <c r="C3637" i="3"/>
  <c r="D3637" i="3"/>
  <c r="AH3637" i="3"/>
  <c r="B3638" i="3"/>
  <c r="C3638" i="3"/>
  <c r="D3638" i="3"/>
  <c r="E3638" i="3"/>
  <c r="AH3638" i="3"/>
  <c r="B3639" i="3"/>
  <c r="D3639" i="3"/>
  <c r="E3639" i="3"/>
  <c r="C3639" i="3"/>
  <c r="AH3639" i="3"/>
  <c r="B3641" i="3"/>
  <c r="D3641" i="3"/>
  <c r="C3641" i="3"/>
  <c r="B3642" i="3"/>
  <c r="E3642" i="3"/>
  <c r="C3642" i="3"/>
  <c r="D3642" i="3"/>
  <c r="AH3642" i="3"/>
  <c r="B3643" i="3"/>
  <c r="D3643" i="3"/>
  <c r="C3643" i="3"/>
  <c r="AH3643" i="3"/>
  <c r="B3644" i="3"/>
  <c r="D3644" i="3"/>
  <c r="C3644" i="3"/>
  <c r="E3644" i="3"/>
  <c r="AH3644" i="3"/>
  <c r="B3645" i="3"/>
  <c r="E3645" i="3"/>
  <c r="C3645" i="3"/>
  <c r="D3645" i="3"/>
  <c r="AH3645" i="3"/>
  <c r="B3646" i="3"/>
  <c r="E3646" i="3"/>
  <c r="C3646" i="3"/>
  <c r="D3646" i="3"/>
  <c r="AH3646" i="3"/>
  <c r="B3647" i="3"/>
  <c r="D3647" i="3"/>
  <c r="C3647" i="3"/>
  <c r="AH3647" i="3"/>
  <c r="B3648" i="3"/>
  <c r="D3648" i="3"/>
  <c r="C3648" i="3"/>
  <c r="E3648" i="3"/>
  <c r="AH3648" i="3"/>
  <c r="B3649" i="3"/>
  <c r="E3649" i="3"/>
  <c r="C3649" i="3"/>
  <c r="D3649" i="3"/>
  <c r="AH3649" i="3"/>
  <c r="B3650" i="3"/>
  <c r="E3650" i="3"/>
  <c r="C3650" i="3"/>
  <c r="D3650" i="3"/>
  <c r="AH3650" i="3"/>
  <c r="B3651" i="3"/>
  <c r="D3651" i="3"/>
  <c r="C3651" i="3"/>
  <c r="AH3651" i="3"/>
  <c r="B3652" i="3"/>
  <c r="D3652" i="3"/>
  <c r="C3652" i="3"/>
  <c r="E3652" i="3"/>
  <c r="AH3652" i="3"/>
  <c r="B3653" i="3"/>
  <c r="E3653" i="3"/>
  <c r="C3653" i="3"/>
  <c r="D3653" i="3"/>
  <c r="AH3653" i="3"/>
  <c r="B3654" i="3"/>
  <c r="E3654" i="3"/>
  <c r="C3654" i="3"/>
  <c r="D3654" i="3"/>
  <c r="AH3654" i="3"/>
  <c r="B3655" i="3"/>
  <c r="D3655" i="3"/>
  <c r="C3655" i="3"/>
  <c r="AH3655" i="3"/>
  <c r="B3656" i="3"/>
  <c r="D3656" i="3"/>
  <c r="C3656" i="3"/>
  <c r="E3656" i="3"/>
  <c r="AH3656" i="3"/>
  <c r="B3657" i="3"/>
  <c r="E3657" i="3"/>
  <c r="C3657" i="3"/>
  <c r="D3657" i="3"/>
  <c r="AH3657" i="3"/>
  <c r="B3658" i="3"/>
  <c r="E3658" i="3"/>
  <c r="C3658" i="3"/>
  <c r="D3658" i="3"/>
  <c r="AH3658" i="3"/>
  <c r="B3659" i="3"/>
  <c r="D3659" i="3"/>
  <c r="C3659" i="3"/>
  <c r="AH3659" i="3"/>
  <c r="B3660" i="3"/>
  <c r="D3660" i="3"/>
  <c r="C3660" i="3"/>
  <c r="E3660" i="3"/>
  <c r="AH3660" i="3"/>
  <c r="B3661" i="3"/>
  <c r="E3661" i="3"/>
  <c r="C3661" i="3"/>
  <c r="D3661" i="3"/>
  <c r="AH3661" i="3"/>
  <c r="B3662" i="3"/>
  <c r="E3662" i="3"/>
  <c r="C3662" i="3"/>
  <c r="D3662" i="3"/>
  <c r="AH3662" i="3"/>
  <c r="B3663" i="3"/>
  <c r="D3663" i="3"/>
  <c r="C3663" i="3"/>
  <c r="AH3663" i="3"/>
  <c r="B3664" i="3"/>
  <c r="D3664" i="3"/>
  <c r="C3664" i="3"/>
  <c r="E3664" i="3"/>
  <c r="AH3664" i="3"/>
  <c r="B3665" i="3"/>
  <c r="E3665" i="3"/>
  <c r="C3665" i="3"/>
  <c r="D3665" i="3"/>
  <c r="AH3665" i="3"/>
  <c r="B3666" i="3"/>
  <c r="E3666" i="3"/>
  <c r="C3666" i="3"/>
  <c r="D3666" i="3"/>
  <c r="AH3666" i="3"/>
  <c r="B3667" i="3"/>
  <c r="D3667" i="3"/>
  <c r="C3667" i="3"/>
  <c r="AH3667" i="3"/>
  <c r="B3669" i="3"/>
  <c r="D3669" i="3"/>
  <c r="C3669" i="3"/>
  <c r="B3670" i="3"/>
  <c r="D3670" i="3"/>
  <c r="C3670" i="3"/>
  <c r="AH3670" i="3"/>
  <c r="B3671" i="3"/>
  <c r="E3671" i="3"/>
  <c r="C3671" i="3"/>
  <c r="D3671" i="3"/>
  <c r="AH3671" i="3"/>
  <c r="B3672" i="3"/>
  <c r="C3672" i="3"/>
  <c r="D3672" i="3"/>
  <c r="E3672" i="3"/>
  <c r="AH3672" i="3"/>
  <c r="B3673" i="3"/>
  <c r="D3673" i="3"/>
  <c r="E3673" i="3"/>
  <c r="C3673" i="3"/>
  <c r="AH3673" i="3"/>
  <c r="B3674" i="3"/>
  <c r="D3674" i="3"/>
  <c r="C3674" i="3"/>
  <c r="AH3674" i="3"/>
  <c r="B3675" i="3"/>
  <c r="E3675" i="3"/>
  <c r="C3675" i="3"/>
  <c r="D3675" i="3"/>
  <c r="AH3675" i="3"/>
  <c r="B3676" i="3"/>
  <c r="C3676" i="3"/>
  <c r="D3676" i="3"/>
  <c r="E3676" i="3"/>
  <c r="AH3676" i="3"/>
  <c r="B3677" i="3"/>
  <c r="D3677" i="3"/>
  <c r="E3677" i="3"/>
  <c r="C3677" i="3"/>
  <c r="AH3677" i="3"/>
  <c r="B3678" i="3"/>
  <c r="D3678" i="3"/>
  <c r="C3678" i="3"/>
  <c r="AH3678" i="3"/>
  <c r="B3679" i="3"/>
  <c r="E3679" i="3"/>
  <c r="C3679" i="3"/>
  <c r="D3679" i="3"/>
  <c r="AH3679" i="3"/>
  <c r="B3680" i="3"/>
  <c r="C3680" i="3"/>
  <c r="D3680" i="3"/>
  <c r="E3680" i="3"/>
  <c r="AH3680" i="3"/>
  <c r="B3681" i="3"/>
  <c r="D3681" i="3"/>
  <c r="E3681" i="3"/>
  <c r="C3681" i="3"/>
  <c r="AH3681" i="3"/>
  <c r="B3682" i="3"/>
  <c r="C3682" i="3"/>
  <c r="AH3682" i="3"/>
  <c r="B3683" i="3"/>
  <c r="E3683" i="3"/>
  <c r="C3683" i="3"/>
  <c r="D3683" i="3"/>
  <c r="AH3683" i="3"/>
  <c r="B3684" i="3"/>
  <c r="C3684" i="3"/>
  <c r="D3684" i="3"/>
  <c r="E3684" i="3"/>
  <c r="AH3684" i="3"/>
  <c r="B3685" i="3"/>
  <c r="D3685" i="3"/>
  <c r="E3685" i="3"/>
  <c r="C3685" i="3"/>
  <c r="AH3685" i="3"/>
  <c r="B3686" i="3"/>
  <c r="C3686" i="3"/>
  <c r="AH3686" i="3"/>
  <c r="B3687" i="3"/>
  <c r="E3687" i="3"/>
  <c r="C3687" i="3"/>
  <c r="D3687" i="3"/>
  <c r="AH3687" i="3"/>
  <c r="B3688" i="3"/>
  <c r="C3688" i="3"/>
  <c r="D3688" i="3"/>
  <c r="E3688" i="3"/>
  <c r="AH3688" i="3"/>
  <c r="B3689" i="3"/>
  <c r="D3689" i="3"/>
  <c r="E3689" i="3"/>
  <c r="C3689" i="3"/>
  <c r="AH3689" i="3"/>
  <c r="B3690" i="3"/>
  <c r="C3690" i="3"/>
  <c r="AH3690" i="3"/>
  <c r="B3691" i="3"/>
  <c r="E3691" i="3"/>
  <c r="C3691" i="3"/>
  <c r="D3691" i="3"/>
  <c r="AH3691" i="3"/>
  <c r="B3692" i="3"/>
  <c r="C3692" i="3"/>
  <c r="D3692" i="3"/>
  <c r="E3692" i="3"/>
  <c r="AH3692" i="3"/>
  <c r="B3693" i="3"/>
  <c r="D3693" i="3"/>
  <c r="E3693" i="3"/>
  <c r="C3693" i="3"/>
  <c r="AH3693" i="3"/>
  <c r="B3694" i="3"/>
  <c r="C3694" i="3"/>
  <c r="AH3694" i="3"/>
  <c r="B3695" i="3"/>
  <c r="E3695" i="3"/>
  <c r="C3695" i="3"/>
  <c r="D3695" i="3"/>
  <c r="AH3695" i="3"/>
  <c r="C3697" i="3"/>
  <c r="D3697" i="3"/>
  <c r="B3698" i="3"/>
  <c r="D3698" i="3"/>
  <c r="C3698" i="3"/>
  <c r="E3698" i="3"/>
  <c r="AH3698" i="3"/>
  <c r="B3699" i="3"/>
  <c r="E3699" i="3"/>
  <c r="C3699" i="3"/>
  <c r="D3699" i="3"/>
  <c r="AH3699" i="3"/>
  <c r="B3700" i="3"/>
  <c r="E3700" i="3"/>
  <c r="C3700" i="3"/>
  <c r="D3700" i="3"/>
  <c r="AH3700" i="3"/>
  <c r="B3701" i="3"/>
  <c r="C3701" i="3"/>
  <c r="AH3701" i="3"/>
  <c r="B3702" i="3"/>
  <c r="D3702" i="3"/>
  <c r="C3702" i="3"/>
  <c r="E3702" i="3"/>
  <c r="AH3702" i="3"/>
  <c r="B3703" i="3"/>
  <c r="E3703" i="3"/>
  <c r="C3703" i="3"/>
  <c r="D3703" i="3"/>
  <c r="AH3703" i="3"/>
  <c r="B3704" i="3"/>
  <c r="E3704" i="3"/>
  <c r="C3704" i="3"/>
  <c r="D3704" i="3"/>
  <c r="AH3704" i="3"/>
  <c r="B3705" i="3"/>
  <c r="C3705" i="3"/>
  <c r="AH3705" i="3"/>
  <c r="B3706" i="3"/>
  <c r="D3706" i="3"/>
  <c r="C3706" i="3"/>
  <c r="E3706" i="3"/>
  <c r="AH3706" i="3"/>
  <c r="B3707" i="3"/>
  <c r="E3707" i="3"/>
  <c r="C3707" i="3"/>
  <c r="D3707" i="3"/>
  <c r="AH3707" i="3"/>
  <c r="B3708" i="3"/>
  <c r="E3708" i="3"/>
  <c r="C3708" i="3"/>
  <c r="D3708" i="3"/>
  <c r="AH3708" i="3"/>
  <c r="B3709" i="3"/>
  <c r="C3709" i="3"/>
  <c r="AH3709" i="3"/>
  <c r="B3710" i="3"/>
  <c r="D3710" i="3"/>
  <c r="C3710" i="3"/>
  <c r="E3710" i="3"/>
  <c r="AH3710" i="3"/>
  <c r="B3711" i="3"/>
  <c r="E3711" i="3"/>
  <c r="C3711" i="3"/>
  <c r="D3711" i="3"/>
  <c r="AH3711" i="3"/>
  <c r="B3712" i="3"/>
  <c r="E3712" i="3"/>
  <c r="C3712" i="3"/>
  <c r="D3712" i="3"/>
  <c r="AH3712" i="3"/>
  <c r="B3713" i="3"/>
  <c r="C3713" i="3"/>
  <c r="AH3713" i="3"/>
  <c r="B3714" i="3"/>
  <c r="D3714" i="3"/>
  <c r="C3714" i="3"/>
  <c r="E3714" i="3"/>
  <c r="AH3714" i="3"/>
  <c r="B3715" i="3"/>
  <c r="E3715" i="3"/>
  <c r="C3715" i="3"/>
  <c r="D3715" i="3"/>
  <c r="AH3715" i="3"/>
  <c r="B3716" i="3"/>
  <c r="E3716" i="3"/>
  <c r="C3716" i="3"/>
  <c r="D3716" i="3"/>
  <c r="AH3716" i="3"/>
  <c r="B3717" i="3"/>
  <c r="C3717" i="3"/>
  <c r="AH3717" i="3"/>
  <c r="B3718" i="3"/>
  <c r="D3718" i="3"/>
  <c r="C3718" i="3"/>
  <c r="E3718" i="3"/>
  <c r="AH3718" i="3"/>
  <c r="B3719" i="3"/>
  <c r="E3719" i="3"/>
  <c r="C3719" i="3"/>
  <c r="D3719" i="3"/>
  <c r="AH3719" i="3"/>
  <c r="B3720" i="3"/>
  <c r="E3720" i="3"/>
  <c r="C3720" i="3"/>
  <c r="D3720" i="3"/>
  <c r="AH3720" i="3"/>
  <c r="B3721" i="3"/>
  <c r="C3721" i="3"/>
  <c r="AH3721" i="3"/>
  <c r="B3722" i="3"/>
  <c r="D3722" i="3"/>
  <c r="C3722" i="3"/>
  <c r="E3722" i="3"/>
  <c r="AH3722" i="3"/>
  <c r="B3723" i="3"/>
  <c r="E3723" i="3"/>
  <c r="C3723" i="3"/>
  <c r="D3723" i="3"/>
  <c r="AH3723" i="3"/>
  <c r="C3725" i="3"/>
  <c r="B3726" i="3"/>
  <c r="C3726" i="3"/>
  <c r="D3726" i="3"/>
  <c r="E3726" i="3"/>
  <c r="AH3726" i="3"/>
  <c r="B3727" i="3"/>
  <c r="D3727" i="3"/>
  <c r="E3727" i="3"/>
  <c r="C3727" i="3"/>
  <c r="AH3727" i="3"/>
  <c r="B3728" i="3"/>
  <c r="C3728" i="3"/>
  <c r="AH3728" i="3"/>
  <c r="B3729" i="3"/>
  <c r="E3729" i="3"/>
  <c r="C3729" i="3"/>
  <c r="D3729" i="3"/>
  <c r="AH3729" i="3"/>
  <c r="B3730" i="3"/>
  <c r="C3730" i="3"/>
  <c r="D3730" i="3"/>
  <c r="E3730" i="3"/>
  <c r="AH3730" i="3"/>
  <c r="B3731" i="3"/>
  <c r="D3731" i="3"/>
  <c r="E3731" i="3"/>
  <c r="C3731" i="3"/>
  <c r="AH3731" i="3"/>
  <c r="B3732" i="3"/>
  <c r="C3732" i="3"/>
  <c r="AH3732" i="3"/>
  <c r="B3733" i="3"/>
  <c r="E3733" i="3"/>
  <c r="C3733" i="3"/>
  <c r="D3733" i="3"/>
  <c r="AH3733" i="3"/>
  <c r="B3734" i="3"/>
  <c r="C3734" i="3"/>
  <c r="D3734" i="3"/>
  <c r="E3734" i="3"/>
  <c r="AH3734" i="3"/>
  <c r="B3735" i="3"/>
  <c r="D3735" i="3"/>
  <c r="E3735" i="3"/>
  <c r="C3735" i="3"/>
  <c r="AH3735" i="3"/>
  <c r="B3736" i="3"/>
  <c r="C3736" i="3"/>
  <c r="AH3736" i="3"/>
  <c r="B3737" i="3"/>
  <c r="E3737" i="3"/>
  <c r="C3737" i="3"/>
  <c r="D3737" i="3"/>
  <c r="AH3737" i="3"/>
  <c r="B3738" i="3"/>
  <c r="C3738" i="3"/>
  <c r="D3738" i="3"/>
  <c r="E3738" i="3"/>
  <c r="AH3738" i="3"/>
  <c r="B3739" i="3"/>
  <c r="D3739" i="3"/>
  <c r="E3739" i="3"/>
  <c r="C3739" i="3"/>
  <c r="AH3739" i="3"/>
  <c r="B3740" i="3"/>
  <c r="C3740" i="3"/>
  <c r="AH3740" i="3"/>
  <c r="B3741" i="3"/>
  <c r="E3741" i="3"/>
  <c r="C3741" i="3"/>
  <c r="D3741" i="3"/>
  <c r="AH3741" i="3"/>
  <c r="B3742" i="3"/>
  <c r="C3742" i="3"/>
  <c r="D3742" i="3"/>
  <c r="E3742" i="3"/>
  <c r="AH3742" i="3"/>
  <c r="B3743" i="3"/>
  <c r="D3743" i="3"/>
  <c r="E3743" i="3"/>
  <c r="C3743" i="3"/>
  <c r="AH3743" i="3"/>
  <c r="B3744" i="3"/>
  <c r="C3744" i="3"/>
  <c r="AH3744" i="3"/>
  <c r="B3745" i="3"/>
  <c r="E3745" i="3"/>
  <c r="C3745" i="3"/>
  <c r="D3745" i="3"/>
  <c r="AH3745" i="3"/>
  <c r="B3746" i="3"/>
  <c r="C3746" i="3"/>
  <c r="D3746" i="3"/>
  <c r="E3746" i="3"/>
  <c r="AH3746" i="3"/>
  <c r="B3747" i="3"/>
  <c r="D3747" i="3"/>
  <c r="E3747" i="3"/>
  <c r="C3747" i="3"/>
  <c r="AH3747" i="3"/>
  <c r="B3748" i="3"/>
  <c r="C3748" i="3"/>
  <c r="AH3748" i="3"/>
  <c r="B3749" i="3"/>
  <c r="E3749" i="3"/>
  <c r="C3749" i="3"/>
  <c r="D3749" i="3"/>
  <c r="AH3749" i="3"/>
  <c r="B3750" i="3"/>
  <c r="C3750" i="3"/>
  <c r="D3750" i="3"/>
  <c r="E3750" i="3"/>
  <c r="AH3750" i="3"/>
  <c r="B3751" i="3"/>
  <c r="D3751" i="3"/>
  <c r="E3751" i="3"/>
  <c r="C3751" i="3"/>
  <c r="AH3751" i="3"/>
  <c r="B3753" i="3"/>
  <c r="D3753" i="3"/>
  <c r="C3753" i="3"/>
  <c r="B3754" i="3"/>
  <c r="E3754" i="3"/>
  <c r="C3754" i="3"/>
  <c r="D3754" i="3"/>
  <c r="AH3754" i="3"/>
  <c r="B3755" i="3"/>
  <c r="D3755" i="3"/>
  <c r="C3755" i="3"/>
  <c r="B3756" i="3"/>
  <c r="D3756" i="3"/>
  <c r="C3756" i="3"/>
  <c r="B3757" i="3"/>
  <c r="E3757" i="3"/>
  <c r="C3757" i="3"/>
  <c r="D3757" i="3"/>
  <c r="AH3757" i="3"/>
  <c r="B3758" i="3"/>
  <c r="E3758" i="3"/>
  <c r="C3758" i="3"/>
  <c r="D3758" i="3"/>
  <c r="AH3758" i="3"/>
  <c r="B3759" i="3"/>
  <c r="D3759" i="3"/>
  <c r="E3759" i="3"/>
  <c r="C3759" i="3"/>
  <c r="AH3759" i="3"/>
  <c r="B3760" i="3"/>
  <c r="D3760" i="3"/>
  <c r="C3760" i="3"/>
  <c r="E3760" i="3"/>
  <c r="AH3760" i="3"/>
  <c r="B3761" i="3"/>
  <c r="E3761" i="3"/>
  <c r="C3761" i="3"/>
  <c r="D3761" i="3"/>
  <c r="AH3761" i="3"/>
  <c r="B3762" i="3"/>
  <c r="E3762" i="3"/>
  <c r="C3762" i="3"/>
  <c r="D3762" i="3"/>
  <c r="AH3762" i="3"/>
  <c r="B3763" i="3"/>
  <c r="D3763" i="3"/>
  <c r="C3763" i="3"/>
  <c r="B3764" i="3"/>
  <c r="D3764" i="3"/>
  <c r="C3764" i="3"/>
  <c r="E3764" i="3"/>
  <c r="B3765" i="3"/>
  <c r="E3765" i="3"/>
  <c r="C3765" i="3"/>
  <c r="D3765" i="3"/>
  <c r="AH3765" i="3"/>
  <c r="B3766" i="3"/>
  <c r="E3766" i="3"/>
  <c r="C3766" i="3"/>
  <c r="D3766" i="3"/>
  <c r="AH3766" i="3"/>
  <c r="B3767" i="3"/>
  <c r="D3767" i="3"/>
  <c r="E3767" i="3"/>
  <c r="C3767" i="3"/>
  <c r="AH3767" i="3"/>
  <c r="B3768" i="3"/>
  <c r="D3768" i="3"/>
  <c r="C3768" i="3"/>
  <c r="AH3768" i="3"/>
  <c r="B3769" i="3"/>
  <c r="E3769" i="3"/>
  <c r="C3769" i="3"/>
  <c r="D3769" i="3"/>
  <c r="AH3769" i="3"/>
  <c r="B3770" i="3"/>
  <c r="E3770" i="3"/>
  <c r="C3770" i="3"/>
  <c r="D3770" i="3"/>
  <c r="AH3770" i="3"/>
  <c r="B3771" i="3"/>
  <c r="D3771" i="3"/>
  <c r="C3771" i="3"/>
  <c r="B3772" i="3"/>
  <c r="D3772" i="3"/>
  <c r="C3772" i="3"/>
  <c r="B3773" i="3"/>
  <c r="E3773" i="3"/>
  <c r="C3773" i="3"/>
  <c r="D3773" i="3"/>
  <c r="AH3773" i="3"/>
  <c r="B3774" i="3"/>
  <c r="E3774" i="3"/>
  <c r="C3774" i="3"/>
  <c r="D3774" i="3"/>
  <c r="AH3774" i="3"/>
  <c r="B3775" i="3"/>
  <c r="D3775" i="3"/>
  <c r="E3775" i="3"/>
  <c r="C3775" i="3"/>
  <c r="AH3775" i="3"/>
  <c r="B3776" i="3"/>
  <c r="D3776" i="3"/>
  <c r="C3776" i="3"/>
  <c r="E3776" i="3"/>
  <c r="AH3776" i="3"/>
  <c r="B3777" i="3"/>
  <c r="E3777" i="3"/>
  <c r="C3777" i="3"/>
  <c r="D3777" i="3"/>
  <c r="AH3777" i="3"/>
  <c r="B3778" i="3"/>
  <c r="E3778" i="3"/>
  <c r="C3778" i="3"/>
  <c r="D3778" i="3"/>
  <c r="AH3778" i="3"/>
  <c r="B3779" i="3"/>
  <c r="D3779" i="3"/>
  <c r="C3779" i="3"/>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H4" i="2"/>
  <c r="L150" i="2"/>
  <c r="M150" i="2"/>
  <c r="N150" i="2"/>
  <c r="P150" i="2"/>
  <c r="L151" i="2"/>
  <c r="M151" i="2"/>
  <c r="N151" i="2"/>
  <c r="H6" i="2"/>
  <c r="N152" i="2"/>
  <c r="N153" i="2"/>
  <c r="P153" i="2"/>
  <c r="H8" i="2"/>
  <c r="L154" i="2"/>
  <c r="M154" i="2"/>
  <c r="N154" i="2"/>
  <c r="P154" i="2"/>
  <c r="H9" i="2"/>
  <c r="L155" i="2"/>
  <c r="M155" i="2"/>
  <c r="N155" i="2"/>
  <c r="P155" i="2"/>
  <c r="L156" i="2"/>
  <c r="M156" i="2"/>
  <c r="N156" i="2"/>
  <c r="P156" i="2"/>
  <c r="H11" i="2"/>
  <c r="L157" i="2"/>
  <c r="M157" i="2"/>
  <c r="N157" i="2"/>
  <c r="K150" i="2"/>
  <c r="K158" i="2"/>
  <c r="L158" i="2"/>
  <c r="M158" i="2"/>
  <c r="N158" i="2"/>
  <c r="P158" i="2"/>
  <c r="H13" i="2"/>
  <c r="K159" i="2"/>
  <c r="L159" i="2"/>
  <c r="M159" i="2"/>
  <c r="N159" i="2"/>
  <c r="K160" i="2"/>
  <c r="L160" i="2"/>
  <c r="M160" i="2"/>
  <c r="N160" i="2"/>
  <c r="H15" i="2"/>
  <c r="M9" i="2"/>
  <c r="K161" i="2"/>
  <c r="L161" i="2"/>
  <c r="M161" i="2"/>
  <c r="N161" i="2"/>
  <c r="K162" i="2"/>
  <c r="L162" i="2"/>
  <c r="M162" i="2"/>
  <c r="N162" i="2"/>
  <c r="H17" i="2"/>
  <c r="K163" i="2"/>
  <c r="L163" i="2"/>
  <c r="M163" i="2"/>
  <c r="N163" i="2"/>
  <c r="K164" i="2"/>
  <c r="L164" i="2"/>
  <c r="M164" i="2"/>
  <c r="N164" i="2"/>
  <c r="H19" i="2"/>
  <c r="K165" i="2"/>
  <c r="L165" i="2"/>
  <c r="M165" i="2"/>
  <c r="N165" i="2"/>
  <c r="K166" i="2"/>
  <c r="L166" i="2"/>
  <c r="M166" i="2"/>
  <c r="N166" i="2"/>
  <c r="H21" i="2"/>
  <c r="K167" i="2"/>
  <c r="L167" i="2"/>
  <c r="M167" i="2"/>
  <c r="N167" i="2"/>
  <c r="K168" i="2"/>
  <c r="L168" i="2"/>
  <c r="M168" i="2"/>
  <c r="N168" i="2"/>
  <c r="H23" i="2"/>
  <c r="K169" i="2"/>
  <c r="L169" i="2"/>
  <c r="M169" i="2"/>
  <c r="N169" i="2"/>
  <c r="N170" i="2"/>
  <c r="H25" i="2"/>
  <c r="K171" i="2"/>
  <c r="L171" i="2"/>
  <c r="M171" i="2"/>
  <c r="N171" i="2"/>
  <c r="K172" i="2"/>
  <c r="L172" i="2"/>
  <c r="M172" i="2"/>
  <c r="N172" i="2"/>
  <c r="H27" i="2"/>
  <c r="N173" i="2"/>
  <c r="H28" i="2"/>
  <c r="K174" i="2"/>
  <c r="L174" i="2"/>
  <c r="M174" i="2"/>
  <c r="N174" i="2"/>
  <c r="H29" i="2"/>
  <c r="K175" i="2"/>
  <c r="L175" i="2"/>
  <c r="M175" i="2"/>
  <c r="N175" i="2"/>
  <c r="H30" i="2"/>
  <c r="K176" i="2"/>
  <c r="L176" i="2"/>
  <c r="M176" i="2"/>
  <c r="N176" i="2"/>
  <c r="M17" i="2"/>
  <c r="K177" i="2"/>
  <c r="L177" i="2"/>
  <c r="M177" i="2"/>
  <c r="N177" i="2"/>
  <c r="H32" i="2"/>
  <c r="K178" i="2"/>
  <c r="L178" i="2"/>
  <c r="M178" i="2"/>
  <c r="N178" i="2"/>
  <c r="H33" i="2"/>
  <c r="K179" i="2"/>
  <c r="L179" i="2"/>
  <c r="M179" i="2"/>
  <c r="N179" i="2"/>
  <c r="H34" i="2"/>
  <c r="K180" i="2"/>
  <c r="L180" i="2"/>
  <c r="M180" i="2"/>
  <c r="N180" i="2"/>
  <c r="H35" i="2"/>
  <c r="K181" i="2"/>
  <c r="L181" i="2"/>
  <c r="M181" i="2"/>
  <c r="N181" i="2"/>
  <c r="H36" i="2"/>
  <c r="K182" i="2"/>
  <c r="L182" i="2"/>
  <c r="M182" i="2"/>
  <c r="N182" i="2"/>
  <c r="H37" i="2"/>
  <c r="K183" i="2"/>
  <c r="L183" i="2"/>
  <c r="M183" i="2"/>
  <c r="N183" i="2"/>
  <c r="H38" i="2"/>
  <c r="K184" i="2"/>
  <c r="L184" i="2"/>
  <c r="M184" i="2"/>
  <c r="N184" i="2"/>
  <c r="H39" i="2"/>
  <c r="K185" i="2"/>
  <c r="L185" i="2"/>
  <c r="M185" i="2"/>
  <c r="N185" i="2"/>
  <c r="H40" i="2"/>
  <c r="K186" i="2"/>
  <c r="L186" i="2"/>
  <c r="M186" i="2"/>
  <c r="N186" i="2"/>
  <c r="H41" i="2"/>
  <c r="N187" i="2"/>
  <c r="H42" i="2"/>
  <c r="K188" i="2"/>
  <c r="L188" i="2"/>
  <c r="M188" i="2"/>
  <c r="N188" i="2"/>
  <c r="H43" i="2"/>
  <c r="N189" i="2"/>
  <c r="H44" i="2"/>
  <c r="K190" i="2"/>
  <c r="L190" i="2"/>
  <c r="M190" i="2"/>
  <c r="N190" i="2"/>
  <c r="H45" i="2"/>
  <c r="K191" i="2"/>
  <c r="L191" i="2"/>
  <c r="M191" i="2"/>
  <c r="N191" i="2"/>
  <c r="H46" i="2"/>
  <c r="K192" i="2"/>
  <c r="L192" i="2"/>
  <c r="M192" i="2"/>
  <c r="N192" i="2"/>
  <c r="K193" i="2"/>
  <c r="L193" i="2"/>
  <c r="M193" i="2"/>
  <c r="N193" i="2"/>
  <c r="H48" i="2"/>
  <c r="K194" i="2"/>
  <c r="L194" i="2"/>
  <c r="M194" i="2"/>
  <c r="N194" i="2"/>
  <c r="H49" i="2"/>
  <c r="K195" i="2"/>
  <c r="L195" i="2"/>
  <c r="M195" i="2"/>
  <c r="N195" i="2"/>
  <c r="H50" i="2"/>
  <c r="K196" i="2"/>
  <c r="L196" i="2"/>
  <c r="M196" i="2"/>
  <c r="N196" i="2"/>
  <c r="H51" i="2"/>
  <c r="K197" i="2"/>
  <c r="L197" i="2"/>
  <c r="M197" i="2"/>
  <c r="N197" i="2"/>
  <c r="H52" i="2"/>
  <c r="K198" i="2"/>
  <c r="L198" i="2"/>
  <c r="M198" i="2"/>
  <c r="N198" i="2"/>
  <c r="H53" i="2"/>
  <c r="K199" i="2"/>
  <c r="L199" i="2"/>
  <c r="M199" i="2"/>
  <c r="N199" i="2"/>
  <c r="H54" i="2"/>
  <c r="K200" i="2"/>
  <c r="L200" i="2"/>
  <c r="M200" i="2"/>
  <c r="N200" i="2"/>
  <c r="H55" i="2"/>
  <c r="K201" i="2"/>
  <c r="L201" i="2"/>
  <c r="M201" i="2"/>
  <c r="N201" i="2"/>
  <c r="H56" i="2"/>
  <c r="K202" i="2"/>
  <c r="L202" i="2"/>
  <c r="M202" i="2"/>
  <c r="N202" i="2"/>
  <c r="H57" i="2"/>
  <c r="K203" i="2"/>
  <c r="L203" i="2"/>
  <c r="M203" i="2"/>
  <c r="N203" i="2"/>
  <c r="H58" i="2"/>
  <c r="K204" i="2"/>
  <c r="L204" i="2"/>
  <c r="M204" i="2"/>
  <c r="N204" i="2"/>
  <c r="H59" i="2"/>
  <c r="K205" i="2"/>
  <c r="L205" i="2"/>
  <c r="M205" i="2"/>
  <c r="N205" i="2"/>
  <c r="H60" i="2"/>
  <c r="K206" i="2"/>
  <c r="L206" i="2"/>
  <c r="M206" i="2"/>
  <c r="N206" i="2"/>
  <c r="H61" i="2"/>
  <c r="K207" i="2"/>
  <c r="L207" i="2"/>
  <c r="M207" i="2"/>
  <c r="N207" i="2"/>
  <c r="H62" i="2"/>
  <c r="K208" i="2"/>
  <c r="L208" i="2"/>
  <c r="M208" i="2"/>
  <c r="N208" i="2"/>
  <c r="H63" i="2"/>
  <c r="K209" i="2"/>
  <c r="L209" i="2"/>
  <c r="M209" i="2"/>
  <c r="N209" i="2"/>
  <c r="H64" i="2"/>
  <c r="K210" i="2"/>
  <c r="L210" i="2"/>
  <c r="M210" i="2"/>
  <c r="N210" i="2"/>
  <c r="H65" i="2"/>
  <c r="K211" i="2"/>
  <c r="L211" i="2"/>
  <c r="M211" i="2"/>
  <c r="N211" i="2"/>
  <c r="H66" i="2"/>
  <c r="K212" i="2"/>
  <c r="L212" i="2"/>
  <c r="M212" i="2"/>
  <c r="N212" i="2"/>
  <c r="H67" i="2"/>
  <c r="K213" i="2"/>
  <c r="L213" i="2"/>
  <c r="M213" i="2"/>
  <c r="N213" i="2"/>
  <c r="H68" i="2"/>
  <c r="K214" i="2"/>
  <c r="L214" i="2"/>
  <c r="M214" i="2"/>
  <c r="N214" i="2"/>
  <c r="H69" i="2"/>
  <c r="N215" i="2"/>
  <c r="H70" i="2"/>
  <c r="K216" i="2"/>
  <c r="L216" i="2"/>
  <c r="M216" i="2"/>
  <c r="N216" i="2"/>
  <c r="H71" i="2"/>
  <c r="K217" i="2"/>
  <c r="L217" i="2"/>
  <c r="M217" i="2"/>
  <c r="N217" i="2"/>
  <c r="H72" i="2"/>
  <c r="N218" i="2"/>
  <c r="H73" i="2"/>
  <c r="L87" i="2"/>
  <c r="K219" i="2"/>
  <c r="L219" i="2"/>
  <c r="M219" i="2"/>
  <c r="N219" i="2"/>
  <c r="H74" i="2"/>
  <c r="K220" i="2"/>
  <c r="L220" i="2"/>
  <c r="M220" i="2"/>
  <c r="N220" i="2"/>
  <c r="H75" i="2"/>
  <c r="K221" i="2"/>
  <c r="L221" i="2"/>
  <c r="M221" i="2"/>
  <c r="N221" i="2"/>
  <c r="H76" i="2"/>
  <c r="K222" i="2"/>
  <c r="L222" i="2"/>
  <c r="M222" i="2"/>
  <c r="N222" i="2"/>
  <c r="H77" i="2"/>
  <c r="K223" i="2"/>
  <c r="L223" i="2"/>
  <c r="M223" i="2"/>
  <c r="N223" i="2"/>
  <c r="H78" i="2"/>
  <c r="K224" i="2"/>
  <c r="L224" i="2"/>
  <c r="M224" i="2"/>
  <c r="N224" i="2"/>
  <c r="H79" i="2"/>
  <c r="K225" i="2"/>
  <c r="L225" i="2"/>
  <c r="M225" i="2"/>
  <c r="N225" i="2"/>
  <c r="H80" i="2"/>
  <c r="K226" i="2"/>
  <c r="L226" i="2"/>
  <c r="M226" i="2"/>
  <c r="N226" i="2"/>
  <c r="H81" i="2"/>
  <c r="L89" i="2"/>
  <c r="K227" i="2"/>
  <c r="L227" i="2"/>
  <c r="M227" i="2"/>
  <c r="N227" i="2"/>
  <c r="H82" i="2"/>
  <c r="K228" i="2"/>
  <c r="L228" i="2"/>
  <c r="M228" i="2"/>
  <c r="N228" i="2"/>
  <c r="H83" i="2"/>
  <c r="K229" i="2"/>
  <c r="L229" i="2"/>
  <c r="M229" i="2"/>
  <c r="N229" i="2"/>
  <c r="H84" i="2"/>
  <c r="K230" i="2"/>
  <c r="L230" i="2"/>
  <c r="M230" i="2"/>
  <c r="N230" i="2"/>
  <c r="H85" i="2"/>
  <c r="K231" i="2"/>
  <c r="L231" i="2"/>
  <c r="M231" i="2"/>
  <c r="N231" i="2"/>
  <c r="H86" i="2"/>
  <c r="K232" i="2"/>
  <c r="L232" i="2"/>
  <c r="M232" i="2"/>
  <c r="N232" i="2"/>
  <c r="H87" i="2"/>
  <c r="K233" i="2"/>
  <c r="L233" i="2"/>
  <c r="M233" i="2"/>
  <c r="N233" i="2"/>
  <c r="H88" i="2"/>
  <c r="L91" i="2"/>
  <c r="K234" i="2"/>
  <c r="L234" i="2"/>
  <c r="M234" i="2"/>
  <c r="N234" i="2"/>
  <c r="H89" i="2"/>
  <c r="K235" i="2"/>
  <c r="L235" i="2"/>
  <c r="M235" i="2"/>
  <c r="N235" i="2"/>
  <c r="H90" i="2"/>
  <c r="K236" i="2"/>
  <c r="L236" i="2"/>
  <c r="M236" i="2"/>
  <c r="N236" i="2"/>
  <c r="H91" i="2"/>
  <c r="K237" i="2"/>
  <c r="L237" i="2"/>
  <c r="M237" i="2"/>
  <c r="N237" i="2"/>
  <c r="H92" i="2"/>
  <c r="K238" i="2"/>
  <c r="L238" i="2"/>
  <c r="M238" i="2"/>
  <c r="N238" i="2"/>
  <c r="H93" i="2"/>
  <c r="K239" i="2"/>
  <c r="L239" i="2"/>
  <c r="M239" i="2"/>
  <c r="N239" i="2"/>
  <c r="H94" i="2"/>
  <c r="K240" i="2"/>
  <c r="L240" i="2"/>
  <c r="M240" i="2"/>
  <c r="N240" i="2"/>
  <c r="H95" i="2"/>
  <c r="K241" i="2"/>
  <c r="L241" i="2"/>
  <c r="M241" i="2"/>
  <c r="N241" i="2"/>
  <c r="H96" i="2"/>
  <c r="L93" i="2"/>
  <c r="K242" i="2"/>
  <c r="L242" i="2"/>
  <c r="M242" i="2"/>
  <c r="N242" i="2"/>
  <c r="H97" i="2"/>
  <c r="K243" i="2"/>
  <c r="L243" i="2"/>
  <c r="M243" i="2"/>
  <c r="N243" i="2"/>
  <c r="H98" i="2"/>
  <c r="K244" i="2"/>
  <c r="L244" i="2"/>
  <c r="M244" i="2"/>
  <c r="N244" i="2"/>
  <c r="H99" i="2"/>
  <c r="K245" i="2"/>
  <c r="L245" i="2"/>
  <c r="M245" i="2"/>
  <c r="N245" i="2"/>
  <c r="H100" i="2"/>
  <c r="K246" i="2"/>
  <c r="L246" i="2"/>
  <c r="M246" i="2"/>
  <c r="N246" i="2"/>
  <c r="H101" i="2"/>
  <c r="K247" i="2"/>
  <c r="L247" i="2"/>
  <c r="M247" i="2"/>
  <c r="N247" i="2"/>
  <c r="H102" i="2"/>
  <c r="K248" i="2"/>
  <c r="L248" i="2"/>
  <c r="M248" i="2"/>
  <c r="N248" i="2"/>
  <c r="H103" i="2"/>
  <c r="K249" i="2"/>
  <c r="L249" i="2"/>
  <c r="M249" i="2"/>
  <c r="N249" i="2"/>
  <c r="H104" i="2"/>
  <c r="K250" i="2"/>
  <c r="L250" i="2"/>
  <c r="M250" i="2"/>
  <c r="N250" i="2"/>
  <c r="H105" i="2"/>
  <c r="L95" i="2"/>
  <c r="K251" i="2"/>
  <c r="L251" i="2"/>
  <c r="M251" i="2"/>
  <c r="N251" i="2"/>
  <c r="H106" i="2"/>
  <c r="K252" i="2"/>
  <c r="L252" i="2"/>
  <c r="M252" i="2"/>
  <c r="N252" i="2"/>
  <c r="H107" i="2"/>
  <c r="K253" i="2"/>
  <c r="L253" i="2"/>
  <c r="M253" i="2"/>
  <c r="N253" i="2"/>
  <c r="H108" i="2"/>
  <c r="K254" i="2"/>
  <c r="L254" i="2"/>
  <c r="M254" i="2"/>
  <c r="N254" i="2"/>
  <c r="H109" i="2"/>
  <c r="K255" i="2"/>
  <c r="L255" i="2"/>
  <c r="M255" i="2"/>
  <c r="N255" i="2"/>
  <c r="H110" i="2"/>
  <c r="K256" i="2"/>
  <c r="L256" i="2"/>
  <c r="M256" i="2"/>
  <c r="N256" i="2"/>
  <c r="H111" i="2"/>
  <c r="K257" i="2"/>
  <c r="L257" i="2"/>
  <c r="M257" i="2"/>
  <c r="N257" i="2"/>
  <c r="H112" i="2"/>
  <c r="K258" i="2"/>
  <c r="L258" i="2"/>
  <c r="M258" i="2"/>
  <c r="N258" i="2"/>
  <c r="H113" i="2"/>
  <c r="L97" i="2"/>
  <c r="K259" i="2"/>
  <c r="L259" i="2"/>
  <c r="M259" i="2"/>
  <c r="N259" i="2"/>
  <c r="K260" i="2"/>
  <c r="L260" i="2"/>
  <c r="M260" i="2"/>
  <c r="N260" i="2"/>
  <c r="H115" i="2"/>
  <c r="K261" i="2"/>
  <c r="L261" i="2"/>
  <c r="M261" i="2"/>
  <c r="N261" i="2"/>
  <c r="H116" i="2"/>
  <c r="K262" i="2"/>
  <c r="L262" i="2"/>
  <c r="M262" i="2"/>
  <c r="N262" i="2"/>
  <c r="H117" i="2"/>
  <c r="K263" i="2"/>
  <c r="L263" i="2"/>
  <c r="M263" i="2"/>
  <c r="N263" i="2"/>
  <c r="K264" i="2"/>
  <c r="L264" i="2"/>
  <c r="M264" i="2"/>
  <c r="N264" i="2"/>
  <c r="H119" i="2"/>
  <c r="M98" i="2"/>
  <c r="K265" i="2"/>
  <c r="L265" i="2"/>
  <c r="M265" i="2"/>
  <c r="N265" i="2"/>
  <c r="H120" i="2"/>
  <c r="K266" i="2"/>
  <c r="L266" i="2"/>
  <c r="M266" i="2"/>
  <c r="N266" i="2"/>
  <c r="H121" i="2"/>
  <c r="L99" i="2"/>
  <c r="K267" i="2"/>
  <c r="L267" i="2"/>
  <c r="M267" i="2"/>
  <c r="N267" i="2"/>
  <c r="H122" i="2"/>
  <c r="K268" i="2"/>
  <c r="L268" i="2"/>
  <c r="M268" i="2"/>
  <c r="N268" i="2"/>
  <c r="H123" i="2"/>
  <c r="K269" i="2"/>
  <c r="L269" i="2"/>
  <c r="M269" i="2"/>
  <c r="N269" i="2"/>
  <c r="H124" i="2"/>
  <c r="K270" i="2"/>
  <c r="L270" i="2"/>
  <c r="M270" i="2"/>
  <c r="N270" i="2"/>
  <c r="H125" i="2"/>
  <c r="K271" i="2"/>
  <c r="L271" i="2"/>
  <c r="M271" i="2"/>
  <c r="N271" i="2"/>
  <c r="H126" i="2"/>
  <c r="K272" i="2"/>
  <c r="L272" i="2"/>
  <c r="M272" i="2"/>
  <c r="N272" i="2"/>
  <c r="H127" i="2"/>
  <c r="K273" i="2"/>
  <c r="L273" i="2"/>
  <c r="M273" i="2"/>
  <c r="N273" i="2"/>
  <c r="H128" i="2"/>
  <c r="K274" i="2"/>
  <c r="L274" i="2"/>
  <c r="M274" i="2"/>
  <c r="N274" i="2"/>
  <c r="H129" i="2"/>
  <c r="K275" i="2"/>
  <c r="L275" i="2"/>
  <c r="M275" i="2"/>
  <c r="N275" i="2"/>
  <c r="H130" i="2"/>
  <c r="K276" i="2"/>
  <c r="L276" i="2"/>
  <c r="M276" i="2"/>
  <c r="N276" i="2"/>
  <c r="H131" i="2"/>
  <c r="K277" i="2"/>
  <c r="L277" i="2"/>
  <c r="M277" i="2"/>
  <c r="N277" i="2"/>
  <c r="L75" i="2"/>
  <c r="N95" i="2"/>
  <c r="L85" i="2"/>
  <c r="N85" i="2"/>
  <c r="L81" i="2"/>
  <c r="L79" i="2"/>
  <c r="L77" i="2"/>
  <c r="L73" i="2"/>
  <c r="AM3753" i="3"/>
  <c r="AM3725" i="3"/>
  <c r="AM3697" i="3"/>
  <c r="AM3669" i="3"/>
  <c r="AM3641" i="3"/>
  <c r="AM3613" i="3"/>
  <c r="AM3585" i="3"/>
  <c r="AM3557" i="3"/>
  <c r="AM3529" i="3"/>
  <c r="AM3501" i="3"/>
  <c r="AM3473" i="3"/>
  <c r="AM3445" i="3"/>
  <c r="AM3417" i="3"/>
  <c r="AM3389" i="3"/>
  <c r="E3390" i="3"/>
  <c r="AM3333" i="3"/>
  <c r="E3334" i="3"/>
  <c r="AM3277" i="3"/>
  <c r="E3278" i="3"/>
  <c r="AM3221" i="3"/>
  <c r="E3222" i="3"/>
  <c r="AM3165" i="3"/>
  <c r="E3166" i="3"/>
  <c r="AM3109" i="3"/>
  <c r="E3110" i="3"/>
  <c r="K157" i="2"/>
  <c r="K156" i="2"/>
  <c r="K155" i="2"/>
  <c r="K154" i="2"/>
  <c r="K151" i="2"/>
  <c r="O90" i="2"/>
  <c r="O87" i="2"/>
  <c r="O86" i="2"/>
  <c r="M86" i="2"/>
  <c r="M85" i="2"/>
  <c r="O84" i="2"/>
  <c r="M84" i="2"/>
  <c r="M83" i="2"/>
  <c r="O82" i="2"/>
  <c r="M82" i="2"/>
  <c r="M81" i="2"/>
  <c r="M80" i="2"/>
  <c r="M79" i="2"/>
  <c r="O78" i="2"/>
  <c r="M78" i="2"/>
  <c r="M77" i="2"/>
  <c r="M76" i="2"/>
  <c r="M75" i="2"/>
  <c r="O74" i="2"/>
  <c r="M74" i="2"/>
  <c r="M73" i="2"/>
  <c r="M71" i="2"/>
  <c r="O70" i="2"/>
  <c r="M70" i="2"/>
  <c r="AH3414" i="3"/>
  <c r="AH3410" i="3"/>
  <c r="AH3406" i="3"/>
  <c r="AH3402" i="3"/>
  <c r="AH3398" i="3"/>
  <c r="AH3394" i="3"/>
  <c r="AH3390" i="3"/>
  <c r="AH3384" i="3"/>
  <c r="AH3380" i="3"/>
  <c r="AH3376" i="3"/>
  <c r="AH3372" i="3"/>
  <c r="AH3368" i="3"/>
  <c r="AH3364" i="3"/>
  <c r="AM3361" i="3"/>
  <c r="E3362" i="3"/>
  <c r="AH3358" i="3"/>
  <c r="AH3354" i="3"/>
  <c r="AH3350" i="3"/>
  <c r="AH3346" i="3"/>
  <c r="AH3342" i="3"/>
  <c r="AH3338" i="3"/>
  <c r="AH3334" i="3"/>
  <c r="AH3328" i="3"/>
  <c r="AH3324" i="3"/>
  <c r="AH3320" i="3"/>
  <c r="AH3316" i="3"/>
  <c r="AH3312" i="3"/>
  <c r="AH3308" i="3"/>
  <c r="AM3305" i="3"/>
  <c r="E3306" i="3"/>
  <c r="AH3302" i="3"/>
  <c r="AH3298" i="3"/>
  <c r="AH3294" i="3"/>
  <c r="AH3290" i="3"/>
  <c r="AH3286" i="3"/>
  <c r="AH3282" i="3"/>
  <c r="AH3278" i="3"/>
  <c r="AH3272" i="3"/>
  <c r="AH3268" i="3"/>
  <c r="AH3264" i="3"/>
  <c r="AH3260" i="3"/>
  <c r="AH3256" i="3"/>
  <c r="AH3252" i="3"/>
  <c r="AM3249" i="3"/>
  <c r="E3250" i="3"/>
  <c r="AH3246" i="3"/>
  <c r="AH3242" i="3"/>
  <c r="AH3238" i="3"/>
  <c r="AH3234" i="3"/>
  <c r="AH3230" i="3"/>
  <c r="AH3226" i="3"/>
  <c r="AH3222" i="3"/>
  <c r="AH3216" i="3"/>
  <c r="AH3212" i="3"/>
  <c r="AH3208" i="3"/>
  <c r="AH3204" i="3"/>
  <c r="AH3200" i="3"/>
  <c r="AH3196" i="3"/>
  <c r="AM3193" i="3"/>
  <c r="E3194" i="3"/>
  <c r="AH3190" i="3"/>
  <c r="AH3186" i="3"/>
  <c r="AH3182" i="3"/>
  <c r="AH3178" i="3"/>
  <c r="AH3174" i="3"/>
  <c r="AH3170" i="3"/>
  <c r="AH3166" i="3"/>
  <c r="AH3160" i="3"/>
  <c r="AH3156" i="3"/>
  <c r="AH3152" i="3"/>
  <c r="AH3148" i="3"/>
  <c r="AH3144" i="3"/>
  <c r="AH3140" i="3"/>
  <c r="AM3137" i="3"/>
  <c r="E3138" i="3"/>
  <c r="AH3134" i="3"/>
  <c r="AH3130" i="3"/>
  <c r="AH3126" i="3"/>
  <c r="AH3122" i="3"/>
  <c r="AH3118" i="3"/>
  <c r="AH3114" i="3"/>
  <c r="AH3110" i="3"/>
  <c r="E3082" i="3"/>
  <c r="E3054" i="3"/>
  <c r="E3026" i="3"/>
  <c r="E2998" i="3"/>
  <c r="E2970" i="3"/>
  <c r="E2942" i="3"/>
  <c r="E2914" i="3"/>
  <c r="E2886" i="3"/>
  <c r="E2858" i="3"/>
  <c r="E2830" i="3"/>
  <c r="E2802" i="3"/>
  <c r="E2774" i="3"/>
  <c r="E2746" i="3"/>
  <c r="E2718" i="3"/>
  <c r="E2690" i="3"/>
  <c r="E2662" i="3"/>
  <c r="E2634" i="3"/>
  <c r="E2606" i="3"/>
  <c r="E2578" i="3"/>
  <c r="E2550" i="3"/>
  <c r="E2522" i="3"/>
  <c r="E2494" i="3"/>
  <c r="E2466" i="3"/>
  <c r="AH2099" i="3"/>
  <c r="AH2069" i="3"/>
  <c r="AH783" i="3"/>
  <c r="AH363" i="3"/>
  <c r="AH362" i="3"/>
  <c r="AH361" i="3"/>
  <c r="AH360" i="3"/>
  <c r="E251" i="3"/>
  <c r="AH251" i="3"/>
  <c r="E249" i="3"/>
  <c r="AH249" i="3"/>
  <c r="E250" i="3"/>
  <c r="AH250" i="3"/>
  <c r="AE45" i="3"/>
  <c r="AA65" i="3"/>
  <c r="X86" i="3"/>
  <c r="Z94" i="3"/>
  <c r="L101" i="3"/>
  <c r="U107" i="3"/>
  <c r="Q84" i="3"/>
  <c r="Y90" i="3"/>
  <c r="AA96" i="3"/>
  <c r="I101" i="3"/>
  <c r="R105" i="3"/>
  <c r="W108" i="3"/>
  <c r="AB111" i="3"/>
  <c r="AD133" i="3"/>
  <c r="Y130" i="3"/>
  <c r="V127" i="3"/>
  <c r="Q124" i="3"/>
  <c r="I121" i="3"/>
  <c r="AD117" i="3"/>
  <c r="T114" i="3"/>
  <c r="Z132" i="3"/>
  <c r="R130" i="3"/>
  <c r="I128" i="3"/>
  <c r="AE125" i="3"/>
  <c r="AA123" i="3"/>
  <c r="Y121" i="3"/>
  <c r="W119" i="3"/>
  <c r="S117" i="3"/>
  <c r="Q115" i="3"/>
  <c r="AA111" i="3"/>
  <c r="L107" i="2"/>
  <c r="L111" i="2"/>
  <c r="M113" i="2"/>
  <c r="O113" i="2"/>
  <c r="M105" i="2"/>
  <c r="M107" i="2"/>
  <c r="M111" i="2"/>
  <c r="O111" i="2"/>
  <c r="E154" i="3"/>
  <c r="E156" i="3"/>
  <c r="E158" i="3"/>
  <c r="E160" i="3"/>
  <c r="E162" i="3"/>
  <c r="E170" i="3"/>
  <c r="E172" i="3"/>
  <c r="E174" i="3"/>
  <c r="E176" i="3"/>
  <c r="E178" i="3"/>
  <c r="E180" i="3"/>
  <c r="E182" i="3"/>
  <c r="E184" i="3"/>
  <c r="E186" i="3"/>
  <c r="E188" i="3"/>
  <c r="E190" i="3"/>
  <c r="E226" i="3"/>
  <c r="E228" i="3"/>
  <c r="E230" i="3"/>
  <c r="E232" i="3"/>
  <c r="E234" i="3"/>
  <c r="E236" i="3"/>
  <c r="E238" i="3"/>
  <c r="E240" i="3"/>
  <c r="E242" i="3"/>
  <c r="E244" i="3"/>
  <c r="E267" i="3"/>
  <c r="E155" i="3"/>
  <c r="E157" i="3"/>
  <c r="E159" i="3"/>
  <c r="E161" i="3"/>
  <c r="E171" i="3"/>
  <c r="E173" i="3"/>
  <c r="E175" i="3"/>
  <c r="E177" i="3"/>
  <c r="E179" i="3"/>
  <c r="E181" i="3"/>
  <c r="E183" i="3"/>
  <c r="E185" i="3"/>
  <c r="E189" i="3"/>
  <c r="E229" i="3"/>
  <c r="E233" i="3"/>
  <c r="E235" i="3"/>
  <c r="E239" i="3"/>
  <c r="E241" i="3"/>
  <c r="E339" i="3"/>
  <c r="E341" i="3"/>
  <c r="E343" i="3"/>
  <c r="E345" i="3"/>
  <c r="E347" i="3"/>
  <c r="E349" i="3"/>
  <c r="E351" i="3"/>
  <c r="E354" i="3"/>
  <c r="E366" i="3"/>
  <c r="E369" i="3"/>
  <c r="E371" i="3"/>
  <c r="E373" i="3"/>
  <c r="E375" i="3"/>
  <c r="E377" i="3"/>
  <c r="E379" i="3"/>
  <c r="E381" i="3"/>
  <c r="E395" i="3"/>
  <c r="E397" i="3"/>
  <c r="E400" i="3"/>
  <c r="E402" i="3"/>
  <c r="E404" i="3"/>
  <c r="E406" i="3"/>
  <c r="E408" i="3"/>
  <c r="E410" i="3"/>
  <c r="E422" i="3"/>
  <c r="E423" i="3"/>
  <c r="E424" i="3"/>
  <c r="E425" i="3"/>
  <c r="E426" i="3"/>
  <c r="E427" i="3"/>
  <c r="E428" i="3"/>
  <c r="E429" i="3"/>
  <c r="E430" i="3"/>
  <c r="E431" i="3"/>
  <c r="E432" i="3"/>
  <c r="E433" i="3"/>
  <c r="E434" i="3"/>
  <c r="E435" i="3"/>
  <c r="E436" i="3"/>
  <c r="E437" i="3"/>
  <c r="E438" i="3"/>
  <c r="E439" i="3"/>
  <c r="E440" i="3"/>
  <c r="E441" i="3"/>
  <c r="E442" i="3"/>
  <c r="E443" i="3"/>
  <c r="E466" i="3"/>
  <c r="E467" i="3"/>
  <c r="E468" i="3"/>
  <c r="E478" i="3"/>
  <c r="E479" i="3"/>
  <c r="E480" i="3"/>
  <c r="E481" i="3"/>
  <c r="E482" i="3"/>
  <c r="E483" i="3"/>
  <c r="E484" i="3"/>
  <c r="E485" i="3"/>
  <c r="E486" i="3"/>
  <c r="E487" i="3"/>
  <c r="E488" i="3"/>
  <c r="E489" i="3"/>
  <c r="E490" i="3"/>
  <c r="E491" i="3"/>
  <c r="E492" i="3"/>
  <c r="E493" i="3"/>
  <c r="E494" i="3"/>
  <c r="E495" i="3"/>
  <c r="E496" i="3"/>
  <c r="E497" i="3"/>
  <c r="E534" i="3"/>
  <c r="E535" i="3"/>
  <c r="E536" i="3"/>
  <c r="E537" i="3"/>
  <c r="E538" i="3"/>
  <c r="E539" i="3"/>
  <c r="E540" i="3"/>
  <c r="E541" i="3"/>
  <c r="E542" i="3"/>
  <c r="E543" i="3"/>
  <c r="E544" i="3"/>
  <c r="E545" i="3"/>
  <c r="E546" i="3"/>
  <c r="E547" i="3"/>
  <c r="E548" i="3"/>
  <c r="E549" i="3"/>
  <c r="E550" i="3"/>
  <c r="E562" i="3"/>
  <c r="E563" i="3"/>
  <c r="E564" i="3"/>
  <c r="E565" i="3"/>
  <c r="E566" i="3"/>
  <c r="E567" i="3"/>
  <c r="E568" i="3"/>
  <c r="E569" i="3"/>
  <c r="E570" i="3"/>
  <c r="E571" i="3"/>
  <c r="E572" i="3"/>
  <c r="E573" i="3"/>
  <c r="E574" i="3"/>
  <c r="E575" i="3"/>
  <c r="E576" i="3"/>
  <c r="E577" i="3"/>
  <c r="E578" i="3"/>
  <c r="E590" i="3"/>
  <c r="E591" i="3"/>
  <c r="E592" i="3"/>
  <c r="E593" i="3"/>
  <c r="E594" i="3"/>
  <c r="E595" i="3"/>
  <c r="E596" i="3"/>
  <c r="E597" i="3"/>
  <c r="E598" i="3"/>
  <c r="E599" i="3"/>
  <c r="E600" i="3"/>
  <c r="E601" i="3"/>
  <c r="E602" i="3"/>
  <c r="E603" i="3"/>
  <c r="E604" i="3"/>
  <c r="E605" i="3"/>
  <c r="E606" i="3"/>
  <c r="E607" i="3"/>
  <c r="E608" i="3"/>
  <c r="E609" i="3"/>
  <c r="E610" i="3"/>
  <c r="E611" i="3"/>
  <c r="E613" i="3"/>
  <c r="E730" i="3"/>
  <c r="E731" i="3"/>
  <c r="E732" i="3"/>
  <c r="E733" i="3"/>
  <c r="E734" i="3"/>
  <c r="E735" i="3"/>
  <c r="E736" i="3"/>
  <c r="E737" i="3"/>
  <c r="E738" i="3"/>
  <c r="E739" i="3"/>
  <c r="E227" i="3"/>
  <c r="E231" i="3"/>
  <c r="E237" i="3"/>
  <c r="E243" i="3"/>
  <c r="E266" i="3"/>
  <c r="E268" i="3"/>
  <c r="E325" i="3"/>
  <c r="E338" i="3"/>
  <c r="E340" i="3"/>
  <c r="E342" i="3"/>
  <c r="E344" i="3"/>
  <c r="E346" i="3"/>
  <c r="E348" i="3"/>
  <c r="E350" i="3"/>
  <c r="E353" i="3"/>
  <c r="E367" i="3"/>
  <c r="E368" i="3"/>
  <c r="E370" i="3"/>
  <c r="E372" i="3"/>
  <c r="E374" i="3"/>
  <c r="E376" i="3"/>
  <c r="E378" i="3"/>
  <c r="E380" i="3"/>
  <c r="E384" i="3"/>
  <c r="E394" i="3"/>
  <c r="E396" i="3"/>
  <c r="E398" i="3"/>
  <c r="E399" i="3"/>
  <c r="E401" i="3"/>
  <c r="E403" i="3"/>
  <c r="E405" i="3"/>
  <c r="E407" i="3"/>
  <c r="E409" i="3"/>
  <c r="E411" i="3"/>
  <c r="E634" i="3"/>
  <c r="E635" i="3"/>
  <c r="E639" i="3"/>
  <c r="E674" i="3"/>
  <c r="E675" i="3"/>
  <c r="E676" i="3"/>
  <c r="E677" i="3"/>
  <c r="E678" i="3"/>
  <c r="E679" i="3"/>
  <c r="E680" i="3"/>
  <c r="E681" i="3"/>
  <c r="E682" i="3"/>
  <c r="E683" i="3"/>
  <c r="E684" i="3"/>
  <c r="E685" i="3"/>
  <c r="E686" i="3"/>
  <c r="E687" i="3"/>
  <c r="E688" i="3"/>
  <c r="E689" i="3"/>
  <c r="E690" i="3"/>
  <c r="E691" i="3"/>
  <c r="E692" i="3"/>
  <c r="E693" i="3"/>
  <c r="E711" i="3"/>
  <c r="E712" i="3"/>
  <c r="E713" i="3"/>
  <c r="E714" i="3"/>
  <c r="E715" i="3"/>
  <c r="E716" i="3"/>
  <c r="E717" i="3"/>
  <c r="E718" i="3"/>
  <c r="E786" i="3"/>
  <c r="E787" i="3"/>
  <c r="E788" i="3"/>
  <c r="E789" i="3"/>
  <c r="E790" i="3"/>
  <c r="E791" i="3"/>
  <c r="E792" i="3"/>
  <c r="E793" i="3"/>
  <c r="E794" i="3"/>
  <c r="E795" i="3"/>
  <c r="E796" i="3"/>
  <c r="E797" i="3"/>
  <c r="E798" i="3"/>
  <c r="E799" i="3"/>
  <c r="E800" i="3"/>
  <c r="E776" i="3"/>
  <c r="E777" i="3"/>
  <c r="E778" i="3"/>
  <c r="E779" i="3"/>
  <c r="E780" i="3"/>
  <c r="E781" i="3"/>
  <c r="E842" i="3"/>
  <c r="E843" i="3"/>
  <c r="E844" i="3"/>
  <c r="E845" i="3"/>
  <c r="E846" i="3"/>
  <c r="E847" i="3"/>
  <c r="E848" i="3"/>
  <c r="E849" i="3"/>
  <c r="E850" i="3"/>
  <c r="E851" i="3"/>
  <c r="E852" i="3"/>
  <c r="E853" i="3"/>
  <c r="E854" i="3"/>
  <c r="E855" i="3"/>
  <c r="E856" i="3"/>
  <c r="E857" i="3"/>
  <c r="E859" i="3"/>
  <c r="E860" i="3"/>
  <c r="E862" i="3"/>
  <c r="E887" i="3"/>
  <c r="E898" i="3"/>
  <c r="E899" i="3"/>
  <c r="E900" i="3"/>
  <c r="E901" i="3"/>
  <c r="E902" i="3"/>
  <c r="E903" i="3"/>
  <c r="E904" i="3"/>
  <c r="E905" i="3"/>
  <c r="E906" i="3"/>
  <c r="E907" i="3"/>
  <c r="E908" i="3"/>
  <c r="E909" i="3"/>
  <c r="E910" i="3"/>
  <c r="E911" i="3"/>
  <c r="E912" i="3"/>
  <c r="E913" i="3"/>
  <c r="E914" i="3"/>
  <c r="E915" i="3"/>
  <c r="E916" i="3"/>
  <c r="E917" i="3"/>
  <c r="E918" i="3"/>
  <c r="E919" i="3"/>
  <c r="E920" i="3"/>
  <c r="E921" i="3"/>
  <c r="E937" i="3"/>
  <c r="E938" i="3"/>
  <c r="E939" i="3"/>
  <c r="E941" i="3"/>
  <c r="E1109" i="3"/>
  <c r="E1110" i="3"/>
  <c r="E1111" i="3"/>
  <c r="E1112" i="3"/>
  <c r="E1113" i="3"/>
  <c r="E1114" i="3"/>
  <c r="E1115" i="3"/>
  <c r="E1116" i="3"/>
  <c r="E1117" i="3"/>
  <c r="E1118" i="3"/>
  <c r="E1119" i="3"/>
  <c r="E1122" i="3"/>
  <c r="E1123" i="3"/>
  <c r="E1124" i="3"/>
  <c r="E1125" i="3"/>
  <c r="E1126" i="3"/>
  <c r="E1127" i="3"/>
  <c r="E1128" i="3"/>
  <c r="E1129" i="3"/>
  <c r="E1130" i="3"/>
  <c r="E1131" i="3"/>
  <c r="E1132" i="3"/>
  <c r="E1133" i="3"/>
  <c r="E1134" i="3"/>
  <c r="E1135" i="3"/>
  <c r="E1136" i="3"/>
  <c r="E1137" i="3"/>
  <c r="E1138" i="3"/>
  <c r="E1139" i="3"/>
  <c r="E1140" i="3"/>
  <c r="E1141"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8" i="3"/>
  <c r="E1179" i="3"/>
  <c r="E1180" i="3"/>
  <c r="E1181" i="3"/>
  <c r="E1182" i="3"/>
  <c r="E1183" i="3"/>
  <c r="E1184" i="3"/>
  <c r="E1185" i="3"/>
  <c r="E1186" i="3"/>
  <c r="E1187" i="3"/>
  <c r="E1188" i="3"/>
  <c r="E1206" i="3"/>
  <c r="E1207" i="3"/>
  <c r="E1208" i="3"/>
  <c r="E1209" i="3"/>
  <c r="E1210" i="3"/>
  <c r="E1211" i="3"/>
  <c r="E1212" i="3"/>
  <c r="E1213" i="3"/>
  <c r="E1214" i="3"/>
  <c r="E1215" i="3"/>
  <c r="E1216" i="3"/>
  <c r="E1217" i="3"/>
  <c r="E1218" i="3"/>
  <c r="E1219" i="3"/>
  <c r="E1220" i="3"/>
  <c r="E1221" i="3"/>
  <c r="E1222" i="3"/>
  <c r="E1223" i="3"/>
  <c r="E1224" i="3"/>
  <c r="E1225" i="3"/>
  <c r="E1247" i="3"/>
  <c r="E1248" i="3"/>
  <c r="E1249" i="3"/>
  <c r="E1250" i="3"/>
  <c r="E1251" i="3"/>
  <c r="E1252" i="3"/>
  <c r="E1253" i="3"/>
  <c r="E1254" i="3"/>
  <c r="E1255" i="3"/>
  <c r="E1256" i="3"/>
  <c r="E1262" i="3"/>
  <c r="E1263" i="3"/>
  <c r="E1264" i="3"/>
  <c r="E1265" i="3"/>
  <c r="E1266" i="3"/>
  <c r="E1267" i="3"/>
  <c r="E1268" i="3"/>
  <c r="E1269" i="3"/>
  <c r="E1270" i="3"/>
  <c r="E1271" i="3"/>
  <c r="E1272" i="3"/>
  <c r="E1273" i="3"/>
  <c r="E1274" i="3"/>
  <c r="E1275" i="3"/>
  <c r="E1276" i="3"/>
  <c r="E1277" i="3"/>
  <c r="E1278" i="3"/>
  <c r="E1279" i="3"/>
  <c r="E1290" i="3"/>
  <c r="E1291" i="3"/>
  <c r="E1292" i="3"/>
  <c r="E1293" i="3"/>
  <c r="E1294" i="3"/>
  <c r="E1295" i="3"/>
  <c r="E1296" i="3"/>
  <c r="E1297" i="3"/>
  <c r="E1298" i="3"/>
  <c r="E1299" i="3"/>
  <c r="E1300" i="3"/>
  <c r="E1301" i="3"/>
  <c r="E1302" i="3"/>
  <c r="E1303" i="3"/>
  <c r="E1304" i="3"/>
  <c r="E1305" i="3"/>
  <c r="E1306" i="3"/>
  <c r="E1307" i="3"/>
  <c r="E1308" i="3"/>
  <c r="E1309" i="3"/>
  <c r="E1310" i="3"/>
  <c r="E1311" i="3"/>
  <c r="E1330" i="3"/>
  <c r="E1331" i="3"/>
  <c r="E1332" i="3"/>
  <c r="E1333" i="3"/>
  <c r="E1334" i="3"/>
  <c r="E1335" i="3"/>
  <c r="E1337" i="3"/>
  <c r="E1346" i="3"/>
  <c r="E1347" i="3"/>
  <c r="E1348" i="3"/>
  <c r="E1349" i="3"/>
  <c r="E1350" i="3"/>
  <c r="E1351" i="3"/>
  <c r="E1352" i="3"/>
  <c r="E1353" i="3"/>
  <c r="E1354" i="3"/>
  <c r="E1355" i="3"/>
  <c r="E1356" i="3"/>
  <c r="E1357" i="3"/>
  <c r="E1358" i="3"/>
  <c r="E1359" i="3"/>
  <c r="E1360" i="3"/>
  <c r="E1361" i="3"/>
  <c r="E1362" i="3"/>
  <c r="E1363" i="3"/>
  <c r="E1430" i="3"/>
  <c r="E1431" i="3"/>
  <c r="E1432" i="3"/>
  <c r="E1433" i="3"/>
  <c r="E1434" i="3"/>
  <c r="E1435" i="3"/>
  <c r="E1436" i="3"/>
  <c r="E1437" i="3"/>
  <c r="E1438" i="3"/>
  <c r="E1439" i="3"/>
  <c r="E1440" i="3"/>
  <c r="E1441" i="3"/>
  <c r="E1442" i="3"/>
  <c r="E1443" i="3"/>
  <c r="E1444" i="3"/>
  <c r="E1445" i="3"/>
  <c r="E1446" i="3"/>
  <c r="E1458" i="3"/>
  <c r="E1459" i="3"/>
  <c r="E1460" i="3"/>
  <c r="E1461" i="3"/>
  <c r="E1462" i="3"/>
  <c r="E1463" i="3"/>
  <c r="E1464" i="3"/>
  <c r="E1465" i="3"/>
  <c r="E1466" i="3"/>
  <c r="E1467" i="3"/>
  <c r="E1468" i="3"/>
  <c r="E1469" i="3"/>
  <c r="E1470" i="3"/>
  <c r="E1471" i="3"/>
  <c r="E1472" i="3"/>
  <c r="E1473" i="3"/>
  <c r="E1474" i="3"/>
  <c r="E1475" i="3"/>
  <c r="E1476" i="3"/>
  <c r="E1477" i="3"/>
  <c r="E1542" i="3"/>
  <c r="E1543" i="3"/>
  <c r="E1544" i="3"/>
  <c r="E1545" i="3"/>
  <c r="E1546" i="3"/>
  <c r="E1547" i="3"/>
  <c r="E1548" i="3"/>
  <c r="E1549" i="3"/>
  <c r="E1550" i="3"/>
  <c r="E1551" i="3"/>
  <c r="E1552" i="3"/>
  <c r="E1553" i="3"/>
  <c r="E1554" i="3"/>
  <c r="E1555" i="3"/>
  <c r="E1556" i="3"/>
  <c r="E1557" i="3"/>
  <c r="E1558" i="3"/>
  <c r="E1559" i="3"/>
  <c r="E1560" i="3"/>
  <c r="E1626" i="3"/>
  <c r="E1627" i="3"/>
  <c r="E1628" i="3"/>
  <c r="E1629" i="3"/>
  <c r="E1630" i="3"/>
  <c r="E1631" i="3"/>
  <c r="E1632" i="3"/>
  <c r="E1633" i="3"/>
  <c r="E1634" i="3"/>
  <c r="E1635" i="3"/>
  <c r="E1636" i="3"/>
  <c r="E1637" i="3"/>
  <c r="E1638" i="3"/>
  <c r="E1639" i="3"/>
  <c r="E1640" i="3"/>
  <c r="E1789" i="3"/>
  <c r="E1822" i="3"/>
  <c r="E1823" i="3"/>
  <c r="E1824" i="3"/>
  <c r="E1825" i="3"/>
  <c r="E1826" i="3"/>
  <c r="E1827" i="3"/>
  <c r="E1828" i="3"/>
  <c r="E1829" i="3"/>
  <c r="E1830" i="3"/>
  <c r="E1831" i="3"/>
  <c r="E1832" i="3"/>
  <c r="E1833" i="3"/>
  <c r="E1834" i="3"/>
  <c r="E1835" i="3"/>
  <c r="E1836" i="3"/>
  <c r="E1837" i="3"/>
  <c r="E1838" i="3"/>
  <c r="E1850" i="3"/>
  <c r="E1851" i="3"/>
  <c r="E1852" i="3"/>
  <c r="E1853" i="3"/>
  <c r="E1854" i="3"/>
  <c r="E1855" i="3"/>
  <c r="E1856" i="3"/>
  <c r="E1857" i="3"/>
  <c r="E1858" i="3"/>
  <c r="E1859" i="3"/>
  <c r="E1860" i="3"/>
  <c r="E1861" i="3"/>
  <c r="E1862" i="3"/>
  <c r="E1863" i="3"/>
  <c r="E1864" i="3"/>
  <c r="E1865" i="3"/>
  <c r="E1866" i="3"/>
  <c r="E1867" i="3"/>
  <c r="E1868" i="3"/>
  <c r="E1869" i="3"/>
  <c r="E1870" i="3"/>
  <c r="E1871" i="3"/>
  <c r="E1872" i="3"/>
  <c r="E1962" i="3"/>
  <c r="E1963" i="3"/>
  <c r="E1964" i="3"/>
  <c r="E1965" i="3"/>
  <c r="E1966" i="3"/>
  <c r="E1967" i="3"/>
  <c r="E1968" i="3"/>
  <c r="E1969" i="3"/>
  <c r="E1970" i="3"/>
  <c r="E1971" i="3"/>
  <c r="E1972" i="3"/>
  <c r="E1973" i="3"/>
  <c r="E1974" i="3"/>
  <c r="E1976" i="3"/>
  <c r="E1977" i="3"/>
  <c r="E1990" i="3"/>
  <c r="E1991" i="3"/>
  <c r="E1992" i="3"/>
  <c r="E1993" i="3"/>
  <c r="E1994" i="3"/>
  <c r="E1995" i="3"/>
  <c r="E1996" i="3"/>
  <c r="E1997" i="3"/>
  <c r="E1998" i="3"/>
  <c r="E1999" i="3"/>
  <c r="E2000" i="3"/>
  <c r="E2001" i="3"/>
  <c r="E2002" i="3"/>
  <c r="E2003" i="3"/>
  <c r="E2004" i="3"/>
  <c r="E2005" i="3"/>
  <c r="E2006" i="3"/>
  <c r="E2018" i="3"/>
  <c r="E2019" i="3"/>
  <c r="E2020" i="3"/>
  <c r="E2021" i="3"/>
  <c r="E2022" i="3"/>
  <c r="E2023" i="3"/>
  <c r="E2024" i="3"/>
  <c r="E2025" i="3"/>
  <c r="E2026" i="3"/>
  <c r="E2027" i="3"/>
  <c r="E2028" i="3"/>
  <c r="E2029" i="3"/>
  <c r="E2030" i="3"/>
  <c r="E2031" i="3"/>
  <c r="E2032" i="3"/>
  <c r="E2033" i="3"/>
  <c r="E2034" i="3"/>
  <c r="E2035" i="3"/>
  <c r="E2036" i="3"/>
  <c r="E2037" i="3"/>
  <c r="E814" i="3"/>
  <c r="E815" i="3"/>
  <c r="E816" i="3"/>
  <c r="E817" i="3"/>
  <c r="E818" i="3"/>
  <c r="E819" i="3"/>
  <c r="E820" i="3"/>
  <c r="E821" i="3"/>
  <c r="E822" i="3"/>
  <c r="E823" i="3"/>
  <c r="E824" i="3"/>
  <c r="E825" i="3"/>
  <c r="E826" i="3"/>
  <c r="E827" i="3"/>
  <c r="E828" i="3"/>
  <c r="E829" i="3"/>
  <c r="E830" i="3"/>
  <c r="E831" i="3"/>
  <c r="E832" i="3"/>
  <c r="E954" i="3"/>
  <c r="E955" i="3"/>
  <c r="E956" i="3"/>
  <c r="E957" i="3"/>
  <c r="E958" i="3"/>
  <c r="E959" i="3"/>
  <c r="E960" i="3"/>
  <c r="E961" i="3"/>
  <c r="E962" i="3"/>
  <c r="E963" i="3"/>
  <c r="E964" i="3"/>
  <c r="E965" i="3"/>
  <c r="E966" i="3"/>
  <c r="E982" i="3"/>
  <c r="E983" i="3"/>
  <c r="E984" i="3"/>
  <c r="E985" i="3"/>
  <c r="E986" i="3"/>
  <c r="E987" i="3"/>
  <c r="E988" i="3"/>
  <c r="E989" i="3"/>
  <c r="E990" i="3"/>
  <c r="E991" i="3"/>
  <c r="E992" i="3"/>
  <c r="E993" i="3"/>
  <c r="E994" i="3"/>
  <c r="E995" i="3"/>
  <c r="E996" i="3"/>
  <c r="E997" i="3"/>
  <c r="E998" i="3"/>
  <c r="E999" i="3"/>
  <c r="E1000" i="3"/>
  <c r="E1001" i="3"/>
  <c r="E1002" i="3"/>
  <c r="E1003" i="3"/>
  <c r="E1010" i="3"/>
  <c r="E1011" i="3"/>
  <c r="E1012" i="3"/>
  <c r="E1013" i="3"/>
  <c r="E1014" i="3"/>
  <c r="E1015" i="3"/>
  <c r="E1016" i="3"/>
  <c r="E1017" i="3"/>
  <c r="E1018" i="3"/>
  <c r="E1019" i="3"/>
  <c r="E1020" i="3"/>
  <c r="E1021" i="3"/>
  <c r="E1022" i="3"/>
  <c r="E1023" i="3"/>
  <c r="E1024" i="3"/>
  <c r="E1025" i="3"/>
  <c r="E1038" i="3"/>
  <c r="E1039" i="3"/>
  <c r="E1040" i="3"/>
  <c r="E1041" i="3"/>
  <c r="E1042" i="3"/>
  <c r="E1043" i="3"/>
  <c r="E1044" i="3"/>
  <c r="E1045" i="3"/>
  <c r="E1046" i="3"/>
  <c r="E1047" i="3"/>
  <c r="E1048" i="3"/>
  <c r="E1049" i="3"/>
  <c r="E1050" i="3"/>
  <c r="E1051" i="3"/>
  <c r="E1052" i="3"/>
  <c r="E1053" i="3"/>
  <c r="E1054" i="3"/>
  <c r="E1055" i="3"/>
  <c r="E1056" i="3"/>
  <c r="E1057" i="3"/>
  <c r="E1066" i="3"/>
  <c r="E1067" i="3"/>
  <c r="E1068" i="3"/>
  <c r="E1069" i="3"/>
  <c r="E1070" i="3"/>
  <c r="E1071" i="3"/>
  <c r="E1072" i="3"/>
  <c r="E1073" i="3"/>
  <c r="E1074" i="3"/>
  <c r="E1075" i="3"/>
  <c r="E1076" i="3"/>
  <c r="E1077" i="3"/>
  <c r="E1078" i="3"/>
  <c r="E1079" i="3"/>
  <c r="E1080" i="3"/>
  <c r="E1081" i="3"/>
  <c r="E1082" i="3"/>
  <c r="E1083" i="3"/>
  <c r="E1084" i="3"/>
  <c r="E1085" i="3"/>
  <c r="E1374" i="3"/>
  <c r="E1375" i="3"/>
  <c r="E1376" i="3"/>
  <c r="E1377" i="3"/>
  <c r="E1378" i="3"/>
  <c r="E1379" i="3"/>
  <c r="E1380" i="3"/>
  <c r="E1381" i="3"/>
  <c r="E1382" i="3"/>
  <c r="E1383" i="3"/>
  <c r="E1384" i="3"/>
  <c r="E1385" i="3"/>
  <c r="E1386" i="3"/>
  <c r="E1402" i="3"/>
  <c r="E1403" i="3"/>
  <c r="E1404" i="3"/>
  <c r="E1405" i="3"/>
  <c r="E1406" i="3"/>
  <c r="E1407" i="3"/>
  <c r="E1408" i="3"/>
  <c r="E1409" i="3"/>
  <c r="E1410" i="3"/>
  <c r="E1411" i="3"/>
  <c r="E1412" i="3"/>
  <c r="E1413" i="3"/>
  <c r="E1414" i="3"/>
  <c r="E1415" i="3"/>
  <c r="E1416" i="3"/>
  <c r="E1417" i="3"/>
  <c r="E1573" i="3"/>
  <c r="E1574" i="3"/>
  <c r="E1575" i="3"/>
  <c r="E1576" i="3"/>
  <c r="E1577" i="3"/>
  <c r="E1578" i="3"/>
  <c r="E1579" i="3"/>
  <c r="E1580" i="3"/>
  <c r="E1581" i="3"/>
  <c r="E1582" i="3"/>
  <c r="E1583" i="3"/>
  <c r="E1584" i="3"/>
  <c r="E1585" i="3"/>
  <c r="E1598" i="3"/>
  <c r="E1599" i="3"/>
  <c r="E1600" i="3"/>
  <c r="E1601" i="3"/>
  <c r="E1602" i="3"/>
  <c r="E1603" i="3"/>
  <c r="E1604" i="3"/>
  <c r="E1682" i="3"/>
  <c r="E1683" i="3"/>
  <c r="E1684" i="3"/>
  <c r="E1685" i="3"/>
  <c r="E1686" i="3"/>
  <c r="E1687" i="3"/>
  <c r="E1688" i="3"/>
  <c r="E1689" i="3"/>
  <c r="E1690" i="3"/>
  <c r="E1691" i="3"/>
  <c r="E1692" i="3"/>
  <c r="E1693" i="3"/>
  <c r="E1694" i="3"/>
  <c r="E1695" i="3"/>
  <c r="E1696" i="3"/>
  <c r="E1697" i="3"/>
  <c r="E1698" i="3"/>
  <c r="E1700" i="3"/>
  <c r="E1710" i="3"/>
  <c r="E1711" i="3"/>
  <c r="E1712" i="3"/>
  <c r="E1713" i="3"/>
  <c r="E1714" i="3"/>
  <c r="E1715" i="3"/>
  <c r="E1716" i="3"/>
  <c r="E1717" i="3"/>
  <c r="E1738" i="3"/>
  <c r="E1739" i="3"/>
  <c r="E1740" i="3"/>
  <c r="E1741" i="3"/>
  <c r="E1742" i="3"/>
  <c r="E1743" i="3"/>
  <c r="E1744" i="3"/>
  <c r="E1745" i="3"/>
  <c r="E1746" i="3"/>
  <c r="E1747" i="3"/>
  <c r="E1748" i="3"/>
  <c r="E1749" i="3"/>
  <c r="E1750" i="3"/>
  <c r="E1751" i="3"/>
  <c r="E1752" i="3"/>
  <c r="E1753" i="3"/>
  <c r="E1754" i="3"/>
  <c r="E1755" i="3"/>
  <c r="E1756" i="3"/>
  <c r="E1780" i="3"/>
  <c r="E1781" i="3"/>
  <c r="E1782" i="3"/>
  <c r="E1783" i="3"/>
  <c r="E1784" i="3"/>
  <c r="E1785" i="3"/>
  <c r="E1786" i="3"/>
  <c r="E1787" i="3"/>
  <c r="E1941" i="3"/>
  <c r="E1942" i="3"/>
  <c r="E1943" i="3"/>
  <c r="E1944" i="3"/>
  <c r="E1945" i="3"/>
  <c r="E1946" i="3"/>
  <c r="E1947" i="3"/>
  <c r="E1948" i="3"/>
  <c r="E1949" i="3"/>
  <c r="E1950" i="3"/>
  <c r="E1951" i="3"/>
  <c r="E1952" i="3"/>
  <c r="E1953" i="3"/>
  <c r="E1954" i="3"/>
  <c r="E2074" i="3"/>
  <c r="E2075" i="3"/>
  <c r="E2076" i="3"/>
  <c r="E2077" i="3"/>
  <c r="E2078" i="3"/>
  <c r="E2079" i="3"/>
  <c r="E2080" i="3"/>
  <c r="E2081" i="3"/>
  <c r="E2082" i="3"/>
  <c r="E2083" i="3"/>
  <c r="E2084" i="3"/>
  <c r="E2085" i="3"/>
  <c r="E2086" i="3"/>
  <c r="E2087" i="3"/>
  <c r="E2088" i="3"/>
  <c r="E2089" i="3"/>
  <c r="E2090" i="3"/>
  <c r="E2091" i="3"/>
  <c r="E2092" i="3"/>
  <c r="E2093" i="3"/>
  <c r="E2094" i="3"/>
  <c r="E2095" i="3"/>
  <c r="E2096" i="3"/>
  <c r="E2097" i="3"/>
  <c r="E2102" i="3"/>
  <c r="E2103" i="3"/>
  <c r="E2104" i="3"/>
  <c r="E2105" i="3"/>
  <c r="E2106" i="3"/>
  <c r="E2107" i="3"/>
  <c r="E2108" i="3"/>
  <c r="E2109" i="3"/>
  <c r="E2110" i="3"/>
  <c r="E2111" i="3"/>
  <c r="E2112" i="3"/>
  <c r="E2113" i="3"/>
  <c r="E2114" i="3"/>
  <c r="E2115" i="3"/>
  <c r="E2116" i="3"/>
  <c r="E2118" i="3"/>
  <c r="E2119" i="3"/>
  <c r="E2120" i="3"/>
  <c r="E2122" i="3"/>
  <c r="E2123" i="3"/>
  <c r="E2124" i="3"/>
  <c r="E2125" i="3"/>
  <c r="E2126" i="3"/>
  <c r="E2127" i="3"/>
  <c r="E2130" i="3"/>
  <c r="E2131" i="3"/>
  <c r="E2132" i="3"/>
  <c r="E2133" i="3"/>
  <c r="E2134" i="3"/>
  <c r="E2135" i="3"/>
  <c r="E2136" i="3"/>
  <c r="E2137" i="3"/>
  <c r="E2138" i="3"/>
  <c r="E2139" i="3"/>
  <c r="E2140" i="3"/>
  <c r="E2141" i="3"/>
  <c r="E2142" i="3"/>
  <c r="E2143" i="3"/>
  <c r="E2144" i="3"/>
  <c r="E2145" i="3"/>
  <c r="E2146" i="3"/>
  <c r="E2147" i="3"/>
  <c r="E2148" i="3"/>
  <c r="E2149" i="3"/>
  <c r="E2150" i="3"/>
  <c r="E2158" i="3"/>
  <c r="E2159" i="3"/>
  <c r="E2160" i="3"/>
  <c r="E2161" i="3"/>
  <c r="E2162" i="3"/>
  <c r="E2163" i="3"/>
  <c r="E2164" i="3"/>
  <c r="E2165" i="3"/>
  <c r="E2166" i="3"/>
  <c r="E2167" i="3"/>
  <c r="E2168" i="3"/>
  <c r="E2169" i="3"/>
  <c r="E2170" i="3"/>
  <c r="E2171" i="3"/>
  <c r="E2172" i="3"/>
  <c r="E2175" i="3"/>
  <c r="E2186" i="3"/>
  <c r="E2187" i="3"/>
  <c r="E2188" i="3"/>
  <c r="E2189" i="3"/>
  <c r="E2190" i="3"/>
  <c r="E2191" i="3"/>
  <c r="E2192" i="3"/>
  <c r="E2193" i="3"/>
  <c r="E2194" i="3"/>
  <c r="E2195" i="3"/>
  <c r="E2196" i="3"/>
  <c r="E2197" i="3"/>
  <c r="E2198" i="3"/>
  <c r="E2199" i="3"/>
  <c r="E2200" i="3"/>
  <c r="E2201" i="3"/>
  <c r="E2202" i="3"/>
  <c r="E2203" i="3"/>
  <c r="E2204" i="3"/>
  <c r="E2205" i="3"/>
  <c r="E2206" i="3"/>
  <c r="E2236" i="3"/>
  <c r="E2237" i="3"/>
  <c r="E2238" i="3"/>
  <c r="E2239" i="3"/>
  <c r="E2242" i="3"/>
  <c r="E2243" i="3"/>
  <c r="E2244" i="3"/>
  <c r="E2245" i="3"/>
  <c r="E2246" i="3"/>
  <c r="E2247" i="3"/>
  <c r="E2248" i="3"/>
  <c r="E2249" i="3"/>
  <c r="E2250" i="3"/>
  <c r="E2251" i="3"/>
  <c r="E2252" i="3"/>
  <c r="E2253" i="3"/>
  <c r="E2254" i="3"/>
  <c r="E2255" i="3"/>
  <c r="E2256" i="3"/>
  <c r="E2257" i="3"/>
  <c r="E2258" i="3"/>
  <c r="E2259" i="3"/>
  <c r="E2298" i="3"/>
  <c r="E2299" i="3"/>
  <c r="E2300" i="3"/>
  <c r="E2301" i="3"/>
  <c r="E2302" i="3"/>
  <c r="E2303" i="3"/>
  <c r="E2304" i="3"/>
  <c r="E2305" i="3"/>
  <c r="E2306" i="3"/>
  <c r="E2307" i="3"/>
  <c r="E2308" i="3"/>
  <c r="E2309" i="3"/>
  <c r="E2310" i="3"/>
  <c r="E2311" i="3"/>
  <c r="E2312" i="3"/>
  <c r="E2313" i="3"/>
  <c r="E2314" i="3"/>
  <c r="E2315" i="3"/>
  <c r="E2326" i="3"/>
  <c r="E2327" i="3"/>
  <c r="E2328" i="3"/>
  <c r="E2333" i="3"/>
  <c r="E2334" i="3"/>
  <c r="E2064" i="3"/>
  <c r="E2065" i="3"/>
  <c r="E2066" i="3"/>
  <c r="E2067" i="3"/>
  <c r="E2214" i="3"/>
  <c r="E2215" i="3"/>
  <c r="E2216" i="3"/>
  <c r="E2217" i="3"/>
  <c r="E2218" i="3"/>
  <c r="E2219" i="3"/>
  <c r="E2220" i="3"/>
  <c r="E2221" i="3"/>
  <c r="E2222" i="3"/>
  <c r="E2223" i="3"/>
  <c r="E2224" i="3"/>
  <c r="E2225" i="3"/>
  <c r="E2226" i="3"/>
  <c r="E2227" i="3"/>
  <c r="E2228" i="3"/>
  <c r="E2229" i="3"/>
  <c r="E2230" i="3"/>
  <c r="E2231" i="3"/>
  <c r="E2232" i="3"/>
  <c r="E2233" i="3"/>
  <c r="E2234" i="3"/>
  <c r="E2235" i="3"/>
  <c r="E2329" i="3"/>
  <c r="E2330" i="3"/>
  <c r="E2331" i="3"/>
  <c r="M108" i="2"/>
  <c r="O108" i="2"/>
  <c r="L117" i="2"/>
  <c r="M106" i="2"/>
  <c r="O106" i="2"/>
  <c r="Z82" i="3"/>
  <c r="E2260" i="3"/>
  <c r="E2173" i="3"/>
  <c r="E2151" i="3"/>
  <c r="E1718" i="3"/>
  <c r="E1609" i="3"/>
  <c r="E1607" i="3"/>
  <c r="E1605" i="3"/>
  <c r="E1418" i="3"/>
  <c r="E1388" i="3"/>
  <c r="E1059" i="3"/>
  <c r="E1027" i="3"/>
  <c r="E1839" i="3"/>
  <c r="E1478" i="3"/>
  <c r="E1450" i="3"/>
  <c r="E1448" i="3"/>
  <c r="E1281" i="3"/>
  <c r="E1191" i="3"/>
  <c r="E1189" i="3"/>
  <c r="E940" i="3"/>
  <c r="E922" i="3"/>
  <c r="E888" i="3"/>
  <c r="E858" i="3"/>
  <c r="E804" i="3"/>
  <c r="E802" i="3"/>
  <c r="E719" i="3"/>
  <c r="E695" i="3"/>
  <c r="E671" i="3"/>
  <c r="E637" i="3"/>
  <c r="E355" i="3"/>
  <c r="E245" i="3"/>
  <c r="E614" i="3"/>
  <c r="E612" i="3"/>
  <c r="E582" i="3"/>
  <c r="E580" i="3"/>
  <c r="E498" i="3"/>
  <c r="E470" i="3"/>
  <c r="E412" i="3"/>
  <c r="E383" i="3"/>
  <c r="E193" i="3"/>
  <c r="E163" i="3"/>
  <c r="E326" i="3"/>
  <c r="E269" i="3"/>
  <c r="E194" i="3"/>
  <c r="E164" i="3"/>
  <c r="M126" i="2"/>
  <c r="O126" i="2"/>
  <c r="E2316" i="3"/>
  <c r="E1420" i="3"/>
  <c r="E967" i="3"/>
  <c r="E1978" i="3"/>
  <c r="E2068" i="3"/>
  <c r="E2319" i="3"/>
  <c r="E2317" i="3"/>
  <c r="E2207" i="3"/>
  <c r="E2174" i="3"/>
  <c r="S2073" i="3"/>
  <c r="U73" i="3"/>
  <c r="E2070" i="3"/>
  <c r="E1955" i="3"/>
  <c r="E1759" i="3"/>
  <c r="E1757" i="3"/>
  <c r="E1721" i="3"/>
  <c r="E1719" i="3"/>
  <c r="E1701" i="3"/>
  <c r="E1699" i="3"/>
  <c r="E1614" i="3"/>
  <c r="E1608" i="3"/>
  <c r="E1606" i="3"/>
  <c r="E1588" i="3"/>
  <c r="E1586" i="3"/>
  <c r="E1421" i="3"/>
  <c r="E1419" i="3"/>
  <c r="E1389" i="3"/>
  <c r="E1387" i="3"/>
  <c r="E1086" i="3"/>
  <c r="E1060" i="3"/>
  <c r="E1058" i="3"/>
  <c r="E1028" i="3"/>
  <c r="E1026" i="3"/>
  <c r="E1004" i="3"/>
  <c r="E972" i="3"/>
  <c r="E970" i="3"/>
  <c r="E968" i="3"/>
  <c r="E835" i="3"/>
  <c r="E833" i="3"/>
  <c r="E2039" i="3"/>
  <c r="E2011" i="3"/>
  <c r="E2009" i="3"/>
  <c r="E2007" i="3"/>
  <c r="E1979" i="3"/>
  <c r="E1975" i="3"/>
  <c r="E1874" i="3"/>
  <c r="E1844" i="3"/>
  <c r="E1840" i="3"/>
  <c r="E1790" i="3"/>
  <c r="E1479" i="3"/>
  <c r="E1449" i="3"/>
  <c r="E1447" i="3"/>
  <c r="E1368" i="3"/>
  <c r="E1366" i="3"/>
  <c r="E1364" i="3"/>
  <c r="E1338" i="3"/>
  <c r="E1336" i="3"/>
  <c r="E1312" i="3"/>
  <c r="E1282" i="3"/>
  <c r="E1280" i="3"/>
  <c r="E1226" i="3"/>
  <c r="E1192" i="3"/>
  <c r="E1190" i="3"/>
  <c r="E1142" i="3"/>
  <c r="E943" i="3"/>
  <c r="E891" i="3"/>
  <c r="E889" i="3"/>
  <c r="E863" i="3"/>
  <c r="E861" i="3"/>
  <c r="E782" i="3"/>
  <c r="E805" i="3"/>
  <c r="E803" i="3"/>
  <c r="E801" i="3"/>
  <c r="E720" i="3"/>
  <c r="E696" i="3"/>
  <c r="E694" i="3"/>
  <c r="E670" i="3"/>
  <c r="E668" i="3"/>
  <c r="E638" i="3"/>
  <c r="E636" i="3"/>
  <c r="E385" i="3"/>
  <c r="E382" i="3"/>
  <c r="E327" i="3"/>
  <c r="E581" i="3"/>
  <c r="E579" i="3"/>
  <c r="E469" i="3"/>
  <c r="E413" i="3"/>
  <c r="E386" i="3"/>
  <c r="E358" i="3"/>
  <c r="E329" i="3"/>
  <c r="E271" i="3"/>
  <c r="E247" i="3"/>
  <c r="E195" i="3"/>
  <c r="E191" i="3"/>
  <c r="E187" i="3"/>
  <c r="E165" i="3"/>
  <c r="E328" i="3"/>
  <c r="E270" i="3"/>
  <c r="E246" i="3"/>
  <c r="E192" i="3"/>
  <c r="M125" i="2"/>
  <c r="O125" i="2"/>
  <c r="M123" i="2"/>
  <c r="O123" i="2"/>
  <c r="E1758" i="3"/>
  <c r="E1761" i="3"/>
  <c r="E274" i="3"/>
  <c r="E166" i="3"/>
  <c r="E278" i="3"/>
  <c r="E417" i="3"/>
  <c r="E499" i="3"/>
  <c r="E553" i="3"/>
  <c r="E583" i="3"/>
  <c r="E389" i="3"/>
  <c r="E698" i="3"/>
  <c r="E722" i="3"/>
  <c r="E865" i="3"/>
  <c r="E893" i="3"/>
  <c r="E945" i="3"/>
  <c r="E1144" i="3"/>
  <c r="E1194" i="3"/>
  <c r="E1228" i="3"/>
  <c r="E1258" i="3"/>
  <c r="E1505" i="3"/>
  <c r="E1842" i="3"/>
  <c r="E1981" i="3"/>
  <c r="E976" i="3"/>
  <c r="E1030" i="3"/>
  <c r="E1393" i="3"/>
  <c r="E1423" i="3"/>
  <c r="E1610" i="3"/>
  <c r="E1618" i="3"/>
  <c r="E1723" i="3"/>
  <c r="E1727" i="3"/>
  <c r="E2152" i="3"/>
  <c r="E2178" i="3"/>
  <c r="E2209" i="3"/>
  <c r="E2261" i="3"/>
  <c r="E2040" i="3"/>
  <c r="E248" i="3"/>
  <c r="E272" i="3"/>
  <c r="E167" i="3"/>
  <c r="E273" i="3"/>
  <c r="E356" i="3"/>
  <c r="E388" i="3"/>
  <c r="E414" i="3"/>
  <c r="E502" i="3"/>
  <c r="E554" i="3"/>
  <c r="E586" i="3"/>
  <c r="E275" i="3"/>
  <c r="E387" i="3"/>
  <c r="E697" i="3"/>
  <c r="E723" i="3"/>
  <c r="E806" i="3"/>
  <c r="E864" i="3"/>
  <c r="E892" i="3"/>
  <c r="E942" i="3"/>
  <c r="E946" i="3"/>
  <c r="E1193" i="3"/>
  <c r="E1197" i="3"/>
  <c r="E1227" i="3"/>
  <c r="E1283" i="3"/>
  <c r="E1341" i="3"/>
  <c r="E1365" i="3"/>
  <c r="E1369" i="3"/>
  <c r="E1480" i="3"/>
  <c r="E1506" i="3"/>
  <c r="E1843" i="3"/>
  <c r="E1875" i="3"/>
  <c r="E1980" i="3"/>
  <c r="E2008" i="3"/>
  <c r="E2012" i="3"/>
  <c r="E2038" i="3"/>
  <c r="E836" i="3"/>
  <c r="E969" i="3"/>
  <c r="E973" i="3"/>
  <c r="E1005" i="3"/>
  <c r="E1392" i="3"/>
  <c r="E1422" i="3"/>
  <c r="E1587" i="3"/>
  <c r="E1591" i="3"/>
  <c r="E1611" i="3"/>
  <c r="E1615" i="3"/>
  <c r="E1619" i="3"/>
  <c r="E1702" i="3"/>
  <c r="E1706" i="3"/>
  <c r="E1720" i="3"/>
  <c r="E1724" i="3"/>
  <c r="E1728" i="3"/>
  <c r="E1760" i="3"/>
  <c r="E1956" i="3"/>
  <c r="E2071" i="3"/>
  <c r="E2155" i="3"/>
  <c r="E2177" i="3"/>
  <c r="E2210" i="3"/>
  <c r="E2262" i="3"/>
  <c r="E2318" i="3"/>
  <c r="E415" i="3"/>
  <c r="E471" i="3"/>
  <c r="E501" i="3"/>
  <c r="E551" i="3"/>
  <c r="E555" i="3"/>
  <c r="E585" i="3"/>
  <c r="E277" i="3"/>
  <c r="E357" i="3"/>
  <c r="E640" i="3"/>
  <c r="E724" i="3"/>
  <c r="E895" i="3"/>
  <c r="E947" i="3"/>
  <c r="E1196" i="3"/>
  <c r="E1284" i="3"/>
  <c r="E1340" i="3"/>
  <c r="E1451" i="3"/>
  <c r="E1481" i="3"/>
  <c r="E1503" i="3"/>
  <c r="E1983" i="3"/>
  <c r="E2013" i="3"/>
  <c r="E974" i="3"/>
  <c r="E1006" i="3"/>
  <c r="E1391" i="3"/>
  <c r="E1590" i="3"/>
  <c r="E1612" i="3"/>
  <c r="E1703" i="3"/>
  <c r="E1725" i="3"/>
  <c r="E1729" i="3"/>
  <c r="E2154" i="3"/>
  <c r="E2176" i="3"/>
  <c r="E2180" i="3"/>
  <c r="E2263" i="3"/>
  <c r="E2042" i="3"/>
  <c r="E276" i="3"/>
  <c r="E330" i="3"/>
  <c r="E331" i="3"/>
  <c r="E416" i="3"/>
  <c r="E500" i="3"/>
  <c r="E552" i="3"/>
  <c r="E556" i="3"/>
  <c r="E584" i="3"/>
  <c r="E641" i="3"/>
  <c r="E669" i="3"/>
  <c r="E699" i="3"/>
  <c r="E721" i="3"/>
  <c r="E725" i="3"/>
  <c r="E808" i="3"/>
  <c r="E866" i="3"/>
  <c r="E890" i="3"/>
  <c r="E894" i="3"/>
  <c r="E944" i="3"/>
  <c r="E948" i="3"/>
  <c r="E1143" i="3"/>
  <c r="E1195" i="3"/>
  <c r="E1199" i="3"/>
  <c r="E1229" i="3"/>
  <c r="E1257" i="3"/>
  <c r="E1285" i="3"/>
  <c r="E1313" i="3"/>
  <c r="E1339" i="3"/>
  <c r="E1343" i="3"/>
  <c r="E1367" i="3"/>
  <c r="E1452" i="3"/>
  <c r="E1482" i="3"/>
  <c r="E1504" i="3"/>
  <c r="E1508" i="3"/>
  <c r="E1841" i="3"/>
  <c r="E1845" i="3"/>
  <c r="E1873" i="3"/>
  <c r="E1982" i="3"/>
  <c r="E2010" i="3"/>
  <c r="E2014" i="3"/>
  <c r="E834" i="3"/>
  <c r="E971" i="3"/>
  <c r="E975" i="3"/>
  <c r="E1007" i="3"/>
  <c r="E1029" i="3"/>
  <c r="E1063" i="3"/>
  <c r="E1089" i="3"/>
  <c r="E1390" i="3"/>
  <c r="E1394" i="3"/>
  <c r="E1589" i="3"/>
  <c r="E1593" i="3"/>
  <c r="E1613" i="3"/>
  <c r="E1617" i="3"/>
  <c r="E1621" i="3"/>
  <c r="E1704" i="3"/>
  <c r="E1722" i="3"/>
  <c r="E1726" i="3"/>
  <c r="E1730" i="3"/>
  <c r="E1762" i="3"/>
  <c r="E1958" i="3"/>
  <c r="E2121" i="3"/>
  <c r="E2153" i="3"/>
  <c r="E2179" i="3"/>
  <c r="E2208" i="3"/>
  <c r="E2264" i="3"/>
  <c r="E2320" i="3"/>
  <c r="E2041" i="3"/>
  <c r="R2101" i="3"/>
  <c r="T74" i="3"/>
  <c r="E1957" i="3"/>
  <c r="E1616" i="3"/>
  <c r="E1594" i="3"/>
  <c r="E1062" i="3"/>
  <c r="E1230" i="3"/>
  <c r="E1146" i="3"/>
  <c r="E2322" i="3"/>
  <c r="E1087" i="3"/>
  <c r="E1984" i="3"/>
  <c r="E1454" i="3"/>
  <c r="E1145" i="3"/>
  <c r="E558" i="3"/>
  <c r="E2265" i="3"/>
  <c r="E1985" i="3"/>
  <c r="E1846" i="3"/>
  <c r="E1509" i="3"/>
  <c r="E1453" i="3"/>
  <c r="E1342" i="3"/>
  <c r="E1198" i="3"/>
  <c r="E949" i="3"/>
  <c r="E642" i="3"/>
  <c r="E333" i="3"/>
  <c r="E332" i="3"/>
  <c r="E2211" i="3"/>
  <c r="E1763" i="3"/>
  <c r="E1707" i="3"/>
  <c r="E1620" i="3"/>
  <c r="E1395" i="3"/>
  <c r="E1088" i="3"/>
  <c r="E1032" i="3"/>
  <c r="E978" i="3"/>
  <c r="E1507" i="3"/>
  <c r="E1200" i="3"/>
  <c r="E867" i="3"/>
  <c r="E390" i="3"/>
  <c r="E1396" i="3"/>
  <c r="E1061" i="3"/>
  <c r="E1031" i="3"/>
  <c r="E977" i="3"/>
  <c r="E1315" i="3"/>
  <c r="E1201" i="3"/>
  <c r="E950" i="3"/>
  <c r="E418" i="3"/>
  <c r="E334" i="3"/>
  <c r="E643" i="3"/>
  <c r="E2321" i="3"/>
  <c r="J75" i="3"/>
  <c r="Q75" i="3"/>
  <c r="E1705" i="3"/>
  <c r="E1592" i="3"/>
  <c r="E1397" i="3"/>
  <c r="E2015" i="3"/>
  <c r="E1483" i="3"/>
  <c r="E1370" i="3"/>
  <c r="E1314" i="3"/>
  <c r="E1202" i="3"/>
  <c r="E807" i="3"/>
  <c r="E587" i="3"/>
  <c r="E557" i="3"/>
  <c r="E503" i="3"/>
  <c r="E279" i="3"/>
  <c r="V77" i="3"/>
  <c r="E1090" i="3"/>
  <c r="E1147" i="3"/>
  <c r="E1986" i="3"/>
  <c r="E1398" i="3"/>
  <c r="E1033" i="3"/>
  <c r="AB77" i="3"/>
  <c r="E726" i="3"/>
  <c r="E1286" i="3"/>
  <c r="E1731" i="3"/>
  <c r="E335" i="3"/>
  <c r="E1455" i="3"/>
  <c r="E979" i="3"/>
  <c r="E1231" i="3"/>
  <c r="E1732" i="3"/>
  <c r="Q77" i="3"/>
  <c r="E1034" i="3"/>
  <c r="E1622" i="3"/>
  <c r="E810" i="3"/>
  <c r="E2181" i="3"/>
  <c r="E2266" i="3"/>
  <c r="E559" i="3"/>
  <c r="E809" i="3"/>
  <c r="E1511" i="3"/>
  <c r="E1733" i="3"/>
  <c r="E2323" i="3"/>
  <c r="E2043" i="3"/>
  <c r="E1035" i="3"/>
  <c r="E1847" i="3"/>
  <c r="E1259" i="3"/>
  <c r="Q81" i="3"/>
  <c r="E1399" i="3"/>
  <c r="E1424" i="3"/>
  <c r="E1791" i="3"/>
  <c r="E359" i="3"/>
  <c r="E2267" i="3"/>
  <c r="E419" i="3"/>
  <c r="O81" i="3"/>
  <c r="E1595" i="3"/>
  <c r="E811" i="3"/>
  <c r="E1987" i="3"/>
  <c r="E1287" i="3"/>
  <c r="E391" i="3"/>
  <c r="E1203" i="3"/>
  <c r="E1510" i="3"/>
  <c r="E2182" i="3"/>
  <c r="R76" i="3"/>
  <c r="L79" i="3"/>
  <c r="S79" i="3"/>
  <c r="U76" i="3"/>
  <c r="L76" i="3"/>
  <c r="P76" i="3"/>
  <c r="J79" i="3"/>
  <c r="Q79" i="3"/>
  <c r="I81" i="3"/>
  <c r="Q76" i="3"/>
  <c r="V76" i="3"/>
  <c r="Z79" i="3"/>
  <c r="T79" i="3"/>
  <c r="X79" i="3"/>
  <c r="V79" i="3"/>
  <c r="I76" i="3"/>
  <c r="O132" i="2"/>
  <c r="M132" i="2"/>
  <c r="M128" i="2"/>
  <c r="M109" i="2"/>
  <c r="M110" i="2"/>
  <c r="M112" i="2"/>
  <c r="M115" i="2"/>
  <c r="L118" i="2"/>
  <c r="N118" i="2"/>
  <c r="N119" i="2"/>
  <c r="L119" i="2"/>
  <c r="O116" i="2"/>
  <c r="M116" i="2"/>
  <c r="L116" i="2"/>
  <c r="L78" i="2"/>
  <c r="L74" i="2"/>
  <c r="M114" i="2"/>
  <c r="M117" i="2"/>
  <c r="M118" i="2"/>
  <c r="M119" i="2"/>
  <c r="N117" i="2"/>
  <c r="L115" i="2"/>
  <c r="N115" i="2"/>
  <c r="L113" i="2"/>
  <c r="L80" i="2"/>
  <c r="L76" i="2"/>
  <c r="L71" i="2"/>
  <c r="M87" i="2"/>
  <c r="M88" i="2"/>
  <c r="M89" i="2"/>
  <c r="M90" i="2"/>
  <c r="M91" i="2"/>
  <c r="M93" i="2"/>
  <c r="M92" i="2"/>
  <c r="M94" i="2"/>
  <c r="L82" i="2"/>
  <c r="L83" i="2"/>
  <c r="M95" i="2"/>
  <c r="M96" i="2"/>
  <c r="M97" i="2"/>
  <c r="O94" i="2"/>
  <c r="N97" i="2"/>
  <c r="M101" i="2"/>
  <c r="L101" i="2"/>
  <c r="M100" i="2"/>
  <c r="M99" i="2"/>
  <c r="N93" i="2"/>
  <c r="N83" i="2"/>
  <c r="N81" i="2"/>
  <c r="O107" i="2"/>
  <c r="L105" i="2"/>
  <c r="N73" i="2"/>
  <c r="L72" i="2"/>
  <c r="L98" i="2"/>
  <c r="L96" i="2"/>
  <c r="L94" i="2"/>
  <c r="L92" i="2"/>
  <c r="L90" i="2"/>
  <c r="I222" i="2"/>
  <c r="I226" i="2"/>
  <c r="Q113" i="2"/>
  <c r="L88" i="2"/>
  <c r="L86" i="2"/>
  <c r="L84" i="2"/>
  <c r="N101" i="2"/>
  <c r="I274" i="2"/>
  <c r="I275" i="2"/>
  <c r="O66" i="2"/>
  <c r="Q66" i="2"/>
  <c r="I256" i="2"/>
  <c r="I257" i="2"/>
  <c r="O57" i="2"/>
  <c r="Q57" i="2"/>
  <c r="N99" i="2"/>
  <c r="I190" i="2"/>
  <c r="I191" i="2"/>
  <c r="N24" i="2"/>
  <c r="Q24" i="2"/>
  <c r="I220" i="2"/>
  <c r="I221" i="2"/>
  <c r="N39" i="2"/>
  <c r="Q39" i="2"/>
  <c r="I224" i="2"/>
  <c r="I225" i="2"/>
  <c r="N41" i="2"/>
  <c r="Q41" i="2"/>
  <c r="I216" i="2"/>
  <c r="I217" i="2"/>
  <c r="O37" i="2"/>
  <c r="Q37" i="2"/>
  <c r="L100" i="2"/>
  <c r="L104" i="2"/>
  <c r="O104" i="2"/>
  <c r="M104" i="2"/>
  <c r="N109" i="2"/>
  <c r="L109" i="2"/>
  <c r="L106" i="2"/>
  <c r="L108" i="2"/>
  <c r="N110" i="2"/>
  <c r="L110" i="2"/>
  <c r="N114" i="2"/>
  <c r="L114" i="2"/>
  <c r="N128" i="2"/>
  <c r="L128" i="2"/>
  <c r="N105" i="2"/>
  <c r="M127" i="2"/>
  <c r="M129" i="2"/>
  <c r="L129" i="2"/>
  <c r="N129" i="2"/>
  <c r="L112" i="2"/>
  <c r="O124" i="2"/>
  <c r="M124" i="2"/>
  <c r="L135" i="2"/>
  <c r="N135" i="2"/>
  <c r="Q87" i="2"/>
  <c r="I228" i="2"/>
  <c r="I229" i="2"/>
  <c r="N43" i="2"/>
  <c r="Q43" i="2"/>
  <c r="I236" i="2"/>
  <c r="I237" i="2"/>
  <c r="N47" i="2"/>
  <c r="Q47" i="2"/>
  <c r="I208" i="2"/>
  <c r="I209" i="2"/>
  <c r="O33" i="2"/>
  <c r="Q33" i="2"/>
  <c r="I212" i="2"/>
  <c r="I213" i="2"/>
  <c r="N35" i="2"/>
  <c r="Q35" i="2"/>
  <c r="I194" i="2"/>
  <c r="I195" i="2"/>
  <c r="O26" i="2"/>
  <c r="Q26" i="2"/>
  <c r="I240" i="2"/>
  <c r="I241" i="2"/>
  <c r="N49" i="2"/>
  <c r="Q49" i="2"/>
  <c r="I246" i="2"/>
  <c r="I252" i="2"/>
  <c r="Q116" i="2"/>
  <c r="I254" i="2"/>
  <c r="I255" i="2"/>
  <c r="O56" i="2"/>
  <c r="Q56" i="2"/>
  <c r="I214" i="2"/>
  <c r="N36" i="2"/>
  <c r="Q36" i="2"/>
  <c r="I270" i="2"/>
  <c r="I271" i="2"/>
  <c r="N64" i="2"/>
  <c r="Q64" i="2"/>
  <c r="I251" i="2"/>
  <c r="Q95" i="2"/>
  <c r="I268" i="2"/>
  <c r="I269" i="2"/>
  <c r="N63" i="2"/>
  <c r="Q63" i="2"/>
  <c r="I178" i="2"/>
  <c r="I179" i="2"/>
  <c r="N18" i="2"/>
  <c r="Q18" i="2"/>
  <c r="I250" i="2"/>
  <c r="N54" i="2"/>
  <c r="Q54" i="2"/>
  <c r="I206" i="2"/>
  <c r="Q111" i="2"/>
  <c r="I164" i="2"/>
  <c r="I165" i="2"/>
  <c r="N11" i="2"/>
  <c r="Q11" i="2"/>
  <c r="I248" i="2"/>
  <c r="I249" i="2"/>
  <c r="N53" i="2"/>
  <c r="Q53" i="2"/>
  <c r="I264" i="2"/>
  <c r="I265" i="2"/>
  <c r="O61" i="2"/>
  <c r="Q61" i="2"/>
  <c r="I262" i="2"/>
  <c r="I263" i="2"/>
  <c r="O60" i="2"/>
  <c r="Q60" i="2"/>
  <c r="I253" i="2"/>
  <c r="O55" i="2"/>
  <c r="Q55" i="2"/>
  <c r="I223" i="2"/>
  <c r="O40" i="2"/>
  <c r="Q40" i="2"/>
  <c r="I258" i="2"/>
  <c r="I259" i="2"/>
  <c r="N58" i="2"/>
  <c r="Q58" i="2"/>
  <c r="I162" i="2"/>
  <c r="I163" i="2"/>
  <c r="O10" i="2"/>
  <c r="Q10" i="2"/>
  <c r="I168" i="2"/>
  <c r="I169" i="2"/>
  <c r="N13" i="2"/>
  <c r="Q13" i="2"/>
  <c r="I244" i="2"/>
  <c r="I245" i="2"/>
  <c r="N51" i="2"/>
  <c r="Q51" i="2"/>
  <c r="I196" i="2"/>
  <c r="I197" i="2"/>
  <c r="N27" i="2"/>
  <c r="Q27" i="2"/>
  <c r="I266" i="2"/>
  <c r="I267" i="2"/>
  <c r="O62" i="2"/>
  <c r="Q62" i="2"/>
  <c r="I247" i="2"/>
  <c r="O52" i="2"/>
  <c r="Q52" i="2"/>
  <c r="I166" i="2"/>
  <c r="I167" i="2"/>
  <c r="O12" i="2"/>
  <c r="Q12" i="2"/>
  <c r="I180" i="2"/>
  <c r="I181" i="2"/>
  <c r="N19" i="2"/>
  <c r="Q19" i="2"/>
  <c r="I176" i="2"/>
  <c r="I177" i="2"/>
  <c r="N17" i="2"/>
  <c r="Q17" i="2"/>
  <c r="I174" i="2"/>
  <c r="I175" i="2"/>
  <c r="N16" i="2"/>
  <c r="Q16" i="2"/>
  <c r="I154" i="2"/>
  <c r="I155" i="2"/>
  <c r="O6" i="2"/>
  <c r="Q6" i="2"/>
  <c r="I261" i="2"/>
  <c r="Q117" i="2"/>
  <c r="I160" i="2"/>
  <c r="I161" i="2"/>
  <c r="N9" i="2"/>
  <c r="Q9" i="2"/>
  <c r="I260" i="2"/>
  <c r="N59" i="2"/>
  <c r="Q59" i="2"/>
  <c r="I238" i="2"/>
  <c r="I239" i="2"/>
  <c r="O48" i="2"/>
  <c r="Q48" i="2"/>
  <c r="I150" i="2"/>
  <c r="I151" i="2"/>
  <c r="O4" i="2"/>
  <c r="Q4" i="2"/>
  <c r="Q96" i="2"/>
  <c r="Q74" i="2"/>
  <c r="I207" i="2"/>
  <c r="O32" i="2"/>
  <c r="Q32" i="2"/>
  <c r="Q84" i="2"/>
  <c r="Q86" i="2"/>
  <c r="Q107" i="2"/>
  <c r="Q81" i="2"/>
  <c r="I202" i="2"/>
  <c r="I205" i="2"/>
  <c r="Q83" i="2"/>
  <c r="I234" i="2"/>
  <c r="N91" i="2"/>
  <c r="Q91" i="2"/>
  <c r="I156" i="2"/>
  <c r="I157" i="2"/>
  <c r="N7" i="2"/>
  <c r="Q7" i="2"/>
  <c r="I158" i="2"/>
  <c r="O72" i="2"/>
  <c r="Q72" i="2"/>
  <c r="I193" i="2"/>
  <c r="Q80" i="2"/>
  <c r="I200" i="2"/>
  <c r="I201" i="2"/>
  <c r="N29" i="2"/>
  <c r="Q29" i="2"/>
  <c r="I232" i="2"/>
  <c r="I233" i="2"/>
  <c r="N45" i="2"/>
  <c r="Q45" i="2"/>
  <c r="I182" i="2"/>
  <c r="I184" i="2"/>
  <c r="Q78" i="2"/>
  <c r="I210" i="2"/>
  <c r="I211" i="2"/>
  <c r="N34" i="2"/>
  <c r="Q34" i="2"/>
  <c r="Q85" i="2"/>
  <c r="I219" i="2"/>
  <c r="O38" i="2"/>
  <c r="Q38" i="2"/>
  <c r="I227" i="2"/>
  <c r="O42" i="2"/>
  <c r="Q42" i="2"/>
  <c r="I230" i="2"/>
  <c r="I231" i="2"/>
  <c r="O44" i="2"/>
  <c r="Q44" i="2"/>
  <c r="I235" i="2"/>
  <c r="O46" i="2"/>
  <c r="Q46" i="2"/>
  <c r="Q92" i="2"/>
  <c r="Q115" i="2"/>
  <c r="I242" i="2"/>
  <c r="I243" i="2"/>
  <c r="O50" i="2"/>
  <c r="Q50" i="2"/>
  <c r="Q93" i="2"/>
  <c r="I159" i="2"/>
  <c r="O8" i="2"/>
  <c r="Q8" i="2"/>
  <c r="Q73" i="2"/>
  <c r="I171" i="2"/>
  <c r="O14" i="2"/>
  <c r="Q14" i="2"/>
  <c r="I172" i="2"/>
  <c r="N15" i="2"/>
  <c r="Q15" i="2"/>
  <c r="Q76" i="2"/>
  <c r="Q77" i="2"/>
  <c r="I183" i="2"/>
  <c r="O20" i="2"/>
  <c r="Q20" i="2"/>
  <c r="I185" i="2"/>
  <c r="O21" i="2"/>
  <c r="Q21" i="2"/>
  <c r="I186" i="2"/>
  <c r="N22" i="2"/>
  <c r="Q22" i="2"/>
  <c r="I188" i="2"/>
  <c r="N23" i="2"/>
  <c r="Q23" i="2"/>
  <c r="I192" i="2"/>
  <c r="N25" i="2"/>
  <c r="Q25" i="2"/>
  <c r="I198" i="2"/>
  <c r="I199" i="2"/>
  <c r="O28" i="2"/>
  <c r="Q28" i="2"/>
  <c r="I203" i="2"/>
  <c r="O30" i="2"/>
  <c r="Q30" i="2"/>
  <c r="I204" i="2"/>
  <c r="N31" i="2"/>
  <c r="Q31" i="2"/>
  <c r="I277" i="2"/>
  <c r="Q101" i="2"/>
  <c r="I276" i="2"/>
  <c r="N67" i="2"/>
  <c r="Q67" i="2"/>
  <c r="I272" i="2"/>
  <c r="I273" i="2"/>
  <c r="N65" i="2"/>
  <c r="Q65" i="2"/>
  <c r="Q104" i="2"/>
  <c r="L126" i="2"/>
  <c r="L124" i="2"/>
  <c r="L123" i="2"/>
  <c r="M135" i="2"/>
  <c r="L127" i="2"/>
  <c r="N127" i="2"/>
  <c r="L125" i="2"/>
  <c r="L122" i="2"/>
  <c r="N134" i="2"/>
  <c r="L134" i="2"/>
  <c r="M133" i="2"/>
  <c r="M134" i="2"/>
  <c r="M139" i="2"/>
  <c r="L133" i="2"/>
  <c r="N133" i="2"/>
  <c r="N139" i="2"/>
  <c r="L139" i="2"/>
  <c r="M138" i="2"/>
  <c r="M142" i="2"/>
  <c r="R142" i="2"/>
  <c r="Q99" i="2"/>
  <c r="Q119" i="2"/>
  <c r="Q118" i="2"/>
  <c r="Q110" i="2"/>
  <c r="Q89" i="2"/>
  <c r="Q88" i="2"/>
  <c r="Q94" i="2"/>
  <c r="N98" i="2"/>
  <c r="Q98" i="2"/>
  <c r="Q97" i="2"/>
  <c r="Q125" i="2"/>
  <c r="Q129" i="2"/>
  <c r="Q128" i="2"/>
  <c r="Q106" i="2"/>
  <c r="Q135" i="2"/>
  <c r="Q71" i="2"/>
  <c r="Q138" i="2"/>
  <c r="Q126" i="2"/>
  <c r="Q114" i="2"/>
  <c r="Q108" i="2"/>
  <c r="Q82" i="2"/>
  <c r="Q139" i="2"/>
  <c r="Q133" i="2"/>
  <c r="Q105" i="2"/>
  <c r="Q70" i="2"/>
  <c r="Q123" i="2"/>
  <c r="Q109" i="2"/>
  <c r="Q134" i="2"/>
  <c r="Q127" i="2"/>
  <c r="Q124" i="2"/>
  <c r="Q100" i="2"/>
  <c r="Q90" i="2"/>
  <c r="O122" i="2"/>
  <c r="Q122" i="2"/>
  <c r="O142" i="2"/>
  <c r="Q142" i="2"/>
  <c r="Q132" i="2"/>
  <c r="I9" i="2"/>
  <c r="I5" i="2"/>
  <c r="I131" i="2"/>
  <c r="I126" i="2"/>
  <c r="I93" i="2"/>
  <c r="I63" i="2"/>
  <c r="I20" i="2"/>
  <c r="P101" i="2"/>
  <c r="I112" i="2"/>
  <c r="I11" i="2"/>
  <c r="I7" i="2"/>
  <c r="P99" i="2"/>
  <c r="I104" i="2"/>
  <c r="I72" i="2"/>
  <c r="I68" i="2"/>
  <c r="I53" i="2"/>
  <c r="I51" i="2"/>
  <c r="I49" i="2"/>
  <c r="I47" i="2"/>
  <c r="I41" i="2"/>
  <c r="I22" i="2"/>
  <c r="L63" i="2"/>
  <c r="I122" i="2"/>
  <c r="M61" i="2"/>
  <c r="I119" i="2"/>
  <c r="M60" i="2"/>
  <c r="I117" i="2"/>
  <c r="M59" i="2"/>
  <c r="I115" i="2"/>
  <c r="L57" i="2"/>
  <c r="I110" i="2"/>
  <c r="I89" i="2"/>
  <c r="L39" i="2"/>
  <c r="I74" i="2"/>
  <c r="M34" i="2"/>
  <c r="I65" i="2"/>
  <c r="M32" i="2"/>
  <c r="I61" i="2"/>
  <c r="M10" i="2"/>
  <c r="I17" i="2"/>
  <c r="L7" i="2"/>
  <c r="I10" i="2"/>
  <c r="M66" i="2"/>
  <c r="I129" i="2"/>
  <c r="M58" i="2"/>
  <c r="I113" i="2"/>
  <c r="I85" i="2"/>
  <c r="M29" i="2"/>
  <c r="I55" i="2"/>
  <c r="M23" i="2"/>
  <c r="I43" i="2"/>
  <c r="M11" i="2"/>
  <c r="I19" i="2"/>
  <c r="L9" i="2"/>
  <c r="I14" i="2"/>
  <c r="M65" i="2"/>
  <c r="I127" i="2"/>
  <c r="M64" i="2"/>
  <c r="I125" i="2"/>
  <c r="M63" i="2"/>
  <c r="I123" i="2"/>
  <c r="I118" i="2"/>
  <c r="L60" i="2"/>
  <c r="I116" i="2"/>
  <c r="I114" i="2"/>
  <c r="I111" i="2"/>
  <c r="I109" i="2"/>
  <c r="M55" i="2"/>
  <c r="I107" i="2"/>
  <c r="L50" i="2"/>
  <c r="I96" i="2"/>
  <c r="L49" i="2"/>
  <c r="I94" i="2"/>
  <c r="I92" i="2"/>
  <c r="L47" i="2"/>
  <c r="I90" i="2"/>
  <c r="M42" i="2"/>
  <c r="I81" i="2"/>
  <c r="M41" i="2"/>
  <c r="I79" i="2"/>
  <c r="M40" i="2"/>
  <c r="I77" i="2"/>
  <c r="I75" i="2"/>
  <c r="L35" i="2"/>
  <c r="I66" i="2"/>
  <c r="I64" i="2"/>
  <c r="L33" i="2"/>
  <c r="I62" i="2"/>
  <c r="H47" i="2"/>
  <c r="H31" i="2"/>
  <c r="L14" i="2"/>
  <c r="I24" i="2"/>
  <c r="I21" i="2"/>
  <c r="I16" i="2"/>
  <c r="I13" i="2"/>
  <c r="I4" i="2"/>
  <c r="L66" i="2"/>
  <c r="I128" i="2"/>
  <c r="L64" i="2"/>
  <c r="I124" i="2"/>
  <c r="I108" i="2"/>
  <c r="L55" i="2"/>
  <c r="I106" i="2"/>
  <c r="M49" i="2"/>
  <c r="I95" i="2"/>
  <c r="I91" i="2"/>
  <c r="I80" i="2"/>
  <c r="L41" i="2"/>
  <c r="I78" i="2"/>
  <c r="L40" i="2"/>
  <c r="I76" i="2"/>
  <c r="M14" i="2"/>
  <c r="I25" i="2"/>
  <c r="L6" i="2"/>
  <c r="I8" i="2"/>
  <c r="M48" i="2"/>
  <c r="L62" i="2"/>
  <c r="I120" i="2"/>
  <c r="L53" i="2"/>
  <c r="I102" i="2"/>
  <c r="L52" i="2"/>
  <c r="I100" i="2"/>
  <c r="L51" i="2"/>
  <c r="I98" i="2"/>
  <c r="M45" i="2"/>
  <c r="I87" i="2"/>
  <c r="M43" i="2"/>
  <c r="I83" i="2"/>
  <c r="L37" i="2"/>
  <c r="I70" i="2"/>
  <c r="M31" i="2"/>
  <c r="I59" i="2"/>
  <c r="M30" i="2"/>
  <c r="I57" i="2"/>
  <c r="M24" i="2"/>
  <c r="I45" i="2"/>
  <c r="M21" i="2"/>
  <c r="I39" i="2"/>
  <c r="M20" i="2"/>
  <c r="I37" i="2"/>
  <c r="I35" i="2"/>
  <c r="I33" i="2"/>
  <c r="I31" i="2"/>
  <c r="M16" i="2"/>
  <c r="I29" i="2"/>
  <c r="M15" i="2"/>
  <c r="I27" i="2"/>
  <c r="L8" i="2"/>
  <c r="I12" i="2"/>
  <c r="L36" i="2"/>
  <c r="M27" i="2"/>
  <c r="M33" i="2"/>
  <c r="M46" i="2"/>
  <c r="M25" i="2"/>
  <c r="L67" i="2"/>
  <c r="I130" i="2"/>
  <c r="M62" i="2"/>
  <c r="I121" i="2"/>
  <c r="H118" i="2"/>
  <c r="H114" i="2"/>
  <c r="M54" i="2"/>
  <c r="I105" i="2"/>
  <c r="I103" i="2"/>
  <c r="I101" i="2"/>
  <c r="M51" i="2"/>
  <c r="I99" i="2"/>
  <c r="M50" i="2"/>
  <c r="I97" i="2"/>
  <c r="L46" i="2"/>
  <c r="I88" i="2"/>
  <c r="I86" i="2"/>
  <c r="L44" i="2"/>
  <c r="I84" i="2"/>
  <c r="L43" i="2"/>
  <c r="I82" i="2"/>
  <c r="M38" i="2"/>
  <c r="I73" i="2"/>
  <c r="I71" i="2"/>
  <c r="M36" i="2"/>
  <c r="I69" i="2"/>
  <c r="M35" i="2"/>
  <c r="I67" i="2"/>
  <c r="L32" i="2"/>
  <c r="I60" i="2"/>
  <c r="L31" i="2"/>
  <c r="I58" i="2"/>
  <c r="L30" i="2"/>
  <c r="I56" i="2"/>
  <c r="I54" i="2"/>
  <c r="I52" i="2"/>
  <c r="L27" i="2"/>
  <c r="I50" i="2"/>
  <c r="L26" i="2"/>
  <c r="I48" i="2"/>
  <c r="L25" i="2"/>
  <c r="I46" i="2"/>
  <c r="L24" i="2"/>
  <c r="I44" i="2"/>
  <c r="L23" i="2"/>
  <c r="I42" i="2"/>
  <c r="L22" i="2"/>
  <c r="I40" i="2"/>
  <c r="L21" i="2"/>
  <c r="I38" i="2"/>
  <c r="L20" i="2"/>
  <c r="I36" i="2"/>
  <c r="L19" i="2"/>
  <c r="I34" i="2"/>
  <c r="L18" i="2"/>
  <c r="I32" i="2"/>
  <c r="L17" i="2"/>
  <c r="I30" i="2"/>
  <c r="L16" i="2"/>
  <c r="I28" i="2"/>
  <c r="L15" i="2"/>
  <c r="I26" i="2"/>
  <c r="M13" i="2"/>
  <c r="I23" i="2"/>
  <c r="L11" i="2"/>
  <c r="I18" i="2"/>
  <c r="I15" i="2"/>
  <c r="L5" i="2"/>
  <c r="I6" i="2"/>
  <c r="M122" i="2"/>
  <c r="M72" i="2"/>
  <c r="P72" i="2"/>
  <c r="L138" i="2"/>
  <c r="L142" i="2"/>
  <c r="P88" i="2"/>
  <c r="D169" i="3"/>
  <c r="AA8" i="3"/>
  <c r="AA5" i="3"/>
  <c r="AD8" i="3"/>
  <c r="AE12" i="3"/>
  <c r="AE16" i="3"/>
  <c r="AD12" i="3"/>
  <c r="AD16" i="3"/>
  <c r="AD20" i="3"/>
  <c r="AD24" i="3"/>
  <c r="AD28" i="3"/>
  <c r="AD32" i="3"/>
  <c r="AE22" i="3"/>
  <c r="AE26" i="3"/>
  <c r="AE30" i="3"/>
  <c r="AE34" i="3"/>
  <c r="AE36" i="3"/>
  <c r="AD39" i="3"/>
  <c r="AC42" i="3"/>
  <c r="AE44" i="3"/>
  <c r="AD47" i="3"/>
  <c r="AD34" i="3"/>
  <c r="AA37" i="3"/>
  <c r="AA39" i="3"/>
  <c r="AA41" i="3"/>
  <c r="AA43" i="3"/>
  <c r="AA45" i="3"/>
  <c r="AA47" i="3"/>
  <c r="AA49" i="3"/>
  <c r="AD49" i="3"/>
  <c r="AA52" i="3"/>
  <c r="AA54" i="3"/>
  <c r="AA56" i="3"/>
  <c r="AA58" i="3"/>
  <c r="AA60" i="3"/>
  <c r="AA62" i="3"/>
  <c r="AA64" i="3"/>
  <c r="AD66" i="3"/>
  <c r="AD70" i="3"/>
  <c r="AD74" i="3"/>
  <c r="AA78" i="3"/>
  <c r="J80" i="3"/>
  <c r="AE51" i="3"/>
  <c r="AE53" i="3"/>
  <c r="AE55" i="3"/>
  <c r="AE57" i="3"/>
  <c r="AE59" i="3"/>
  <c r="AE61" i="3"/>
  <c r="AE63" i="3"/>
  <c r="AE65" i="3"/>
  <c r="AA67" i="3"/>
  <c r="AC68" i="3"/>
  <c r="AE69" i="3"/>
  <c r="AA71" i="3"/>
  <c r="AC72" i="3"/>
  <c r="AE73" i="3"/>
  <c r="AA75" i="3"/>
  <c r="AC76" i="3"/>
  <c r="AE77" i="3"/>
  <c r="AE79" i="3"/>
  <c r="T80" i="3"/>
  <c r="AB80" i="3"/>
  <c r="Y129" i="3"/>
  <c r="AC8" i="3"/>
  <c r="AC5" i="3"/>
  <c r="AA9" i="3"/>
  <c r="AD13" i="3"/>
  <c r="AD17" i="3"/>
  <c r="AA13" i="3"/>
  <c r="AA17" i="3"/>
  <c r="AA21" i="3"/>
  <c r="AA25" i="3"/>
  <c r="AA29" i="3"/>
  <c r="AD19" i="3"/>
  <c r="AD23" i="3"/>
  <c r="AD27" i="3"/>
  <c r="AD31" i="3"/>
  <c r="AC33" i="3"/>
  <c r="AD37" i="3"/>
  <c r="AC40" i="3"/>
  <c r="AE42" i="3"/>
  <c r="AD45" i="3"/>
  <c r="AC48" i="3"/>
  <c r="AA35" i="3"/>
  <c r="AC37" i="3"/>
  <c r="AC39" i="3"/>
  <c r="AC41" i="3"/>
  <c r="AC43" i="3"/>
  <c r="AC45" i="3"/>
  <c r="AC47" i="3"/>
  <c r="AC49" i="3"/>
  <c r="AA50" i="3"/>
  <c r="AC52" i="3"/>
  <c r="AC54" i="3"/>
  <c r="AC56" i="3"/>
  <c r="AC58" i="3"/>
  <c r="AC60" i="3"/>
  <c r="AC62" i="3"/>
  <c r="AC64" i="3"/>
  <c r="AD67" i="3"/>
  <c r="AD71" i="3"/>
  <c r="AD75" i="3"/>
  <c r="AC78" i="3"/>
  <c r="AC50" i="3"/>
  <c r="AD52" i="3"/>
  <c r="AD54" i="3"/>
  <c r="AD56" i="3"/>
  <c r="AD58" i="3"/>
  <c r="AD60" i="3"/>
  <c r="AD62" i="3"/>
  <c r="AD64" i="3"/>
  <c r="AA66" i="3"/>
  <c r="AC67" i="3"/>
  <c r="AE68" i="3"/>
  <c r="AA70" i="3"/>
  <c r="AC71" i="3"/>
  <c r="AE72" i="3"/>
  <c r="AA74" i="3"/>
  <c r="AC75" i="3"/>
  <c r="AE76" i="3"/>
  <c r="AD78" i="3"/>
  <c r="I80" i="3"/>
  <c r="K80" i="3"/>
  <c r="V80" i="3"/>
  <c r="AD80" i="3"/>
  <c r="AA80" i="3"/>
  <c r="AE81" i="3"/>
  <c r="O83" i="3"/>
  <c r="W83" i="3"/>
  <c r="AE83" i="3"/>
  <c r="T84" i="3"/>
  <c r="AB84" i="3"/>
  <c r="O85" i="3"/>
  <c r="W85" i="3"/>
  <c r="AE85" i="3"/>
  <c r="T86" i="3"/>
  <c r="AB86" i="3"/>
  <c r="O87" i="3"/>
  <c r="W87" i="3"/>
  <c r="AE87" i="3"/>
  <c r="T88" i="3"/>
  <c r="AB88" i="3"/>
  <c r="O89" i="3"/>
  <c r="W89" i="3"/>
  <c r="AE89" i="3"/>
  <c r="T90" i="3"/>
  <c r="AB90" i="3"/>
  <c r="O91" i="3"/>
  <c r="W91" i="3"/>
  <c r="AE91" i="3"/>
  <c r="T92" i="3"/>
  <c r="AB92" i="3"/>
  <c r="O93" i="3"/>
  <c r="AC4" i="3"/>
  <c r="AD6" i="3"/>
  <c r="AD10" i="3"/>
  <c r="AD14" i="3"/>
  <c r="AD18" i="3"/>
  <c r="AD26" i="3"/>
  <c r="AE20" i="3"/>
  <c r="AE28" i="3"/>
  <c r="AD35" i="3"/>
  <c r="AE40" i="3"/>
  <c r="AC46" i="3"/>
  <c r="AC35" i="3"/>
  <c r="AE39" i="3"/>
  <c r="AE43" i="3"/>
  <c r="AE47" i="3"/>
  <c r="AE50" i="3"/>
  <c r="AE54" i="3"/>
  <c r="AE58" i="3"/>
  <c r="AE62" i="3"/>
  <c r="AD68" i="3"/>
  <c r="AD76" i="3"/>
  <c r="AA51" i="3"/>
  <c r="AA55" i="3"/>
  <c r="AA59" i="3"/>
  <c r="AA63" i="3"/>
  <c r="AC66" i="3"/>
  <c r="AA69" i="3"/>
  <c r="AE71" i="3"/>
  <c r="AC74" i="3"/>
  <c r="AA77" i="3"/>
  <c r="P80" i="3"/>
  <c r="O80" i="3"/>
  <c r="AA81" i="3"/>
  <c r="L83" i="3"/>
  <c r="Y83" i="3"/>
  <c r="P84" i="3"/>
  <c r="Z84" i="3"/>
  <c r="Q85" i="3"/>
  <c r="AA85" i="3"/>
  <c r="R86" i="3"/>
  <c r="AD86" i="3"/>
  <c r="S87" i="3"/>
  <c r="AC87" i="3"/>
  <c r="V88" i="3"/>
  <c r="J89" i="3"/>
  <c r="U89" i="3"/>
  <c r="I90" i="3"/>
  <c r="X90" i="3"/>
  <c r="L91" i="3"/>
  <c r="Y91" i="3"/>
  <c r="P92" i="3"/>
  <c r="Z92" i="3"/>
  <c r="Q93" i="3"/>
  <c r="Y93" i="3"/>
  <c r="I94" i="3"/>
  <c r="V94" i="3"/>
  <c r="AD94" i="3"/>
  <c r="Q95" i="3"/>
  <c r="Y95" i="3"/>
  <c r="I96" i="3"/>
  <c r="V96" i="3"/>
  <c r="AD96" i="3"/>
  <c r="Q97" i="3"/>
  <c r="Y97" i="3"/>
  <c r="I98" i="3"/>
  <c r="V98" i="3"/>
  <c r="AD98" i="3"/>
  <c r="Q99" i="3"/>
  <c r="Y99" i="3"/>
  <c r="I100" i="3"/>
  <c r="V100" i="3"/>
  <c r="AD100" i="3"/>
  <c r="Q101" i="3"/>
  <c r="Y101" i="3"/>
  <c r="I102" i="3"/>
  <c r="V102" i="3"/>
  <c r="AD102" i="3"/>
  <c r="Q103" i="3"/>
  <c r="Y103" i="3"/>
  <c r="I104" i="3"/>
  <c r="V104" i="3"/>
  <c r="AD104" i="3"/>
  <c r="Q105" i="3"/>
  <c r="Y105" i="3"/>
  <c r="I106" i="3"/>
  <c r="V106" i="3"/>
  <c r="AD106" i="3"/>
  <c r="Q107" i="3"/>
  <c r="Y107" i="3"/>
  <c r="I108" i="3"/>
  <c r="V108" i="3"/>
  <c r="AD108" i="3"/>
  <c r="Q109" i="3"/>
  <c r="Y109" i="3"/>
  <c r="I110" i="3"/>
  <c r="V110" i="3"/>
  <c r="AD110" i="3"/>
  <c r="Q111" i="3"/>
  <c r="Y111" i="3"/>
  <c r="Y80" i="3"/>
  <c r="AC82" i="3"/>
  <c r="R83" i="3"/>
  <c r="Z83" i="3"/>
  <c r="L84" i="3"/>
  <c r="U84" i="3"/>
  <c r="AC84" i="3"/>
  <c r="R85" i="3"/>
  <c r="Z85" i="3"/>
  <c r="L86" i="3"/>
  <c r="U86" i="3"/>
  <c r="AC86" i="3"/>
  <c r="R87" i="3"/>
  <c r="Z87" i="3"/>
  <c r="L88" i="3"/>
  <c r="U88" i="3"/>
  <c r="AC88" i="3"/>
  <c r="R89" i="3"/>
  <c r="Z89" i="3"/>
  <c r="L90" i="3"/>
  <c r="M90" i="3"/>
  <c r="U90" i="3"/>
  <c r="AC90" i="3"/>
  <c r="R91" i="3"/>
  <c r="Z91" i="3"/>
  <c r="L92" i="3"/>
  <c r="U92" i="3"/>
  <c r="AC92" i="3"/>
  <c r="R93" i="3"/>
  <c r="Z93" i="3"/>
  <c r="L94" i="3"/>
  <c r="U94" i="3"/>
  <c r="AC94" i="3"/>
  <c r="R95" i="3"/>
  <c r="Z95" i="3"/>
  <c r="L96" i="3"/>
  <c r="AE4" i="3"/>
  <c r="AA7" i="3"/>
  <c r="AD11" i="3"/>
  <c r="AA15" i="3"/>
  <c r="AA19" i="3"/>
  <c r="AA27" i="3"/>
  <c r="AD21" i="3"/>
  <c r="AD29" i="3"/>
  <c r="AC36" i="3"/>
  <c r="AD41" i="3"/>
  <c r="AE46" i="3"/>
  <c r="AD36" i="3"/>
  <c r="AD40" i="3"/>
  <c r="AD44" i="3"/>
  <c r="AD48" i="3"/>
  <c r="AD51" i="3"/>
  <c r="AD55" i="3"/>
  <c r="AD59" i="3"/>
  <c r="AD63" i="3"/>
  <c r="AD69" i="3"/>
  <c r="AD77" i="3"/>
  <c r="AC51" i="3"/>
  <c r="AC55" i="3"/>
  <c r="AC59" i="3"/>
  <c r="AC63" i="3"/>
  <c r="AE66" i="3"/>
  <c r="AC69" i="3"/>
  <c r="AA72" i="3"/>
  <c r="AE74" i="3"/>
  <c r="AC77" i="3"/>
  <c r="R80" i="3"/>
  <c r="S80" i="3"/>
  <c r="AC81" i="3"/>
  <c r="Q83" i="3"/>
  <c r="AA83" i="3"/>
  <c r="R84" i="3"/>
  <c r="AD84" i="3"/>
  <c r="S85" i="3"/>
  <c r="AC85" i="3"/>
  <c r="V86" i="3"/>
  <c r="J87" i="3"/>
  <c r="U87" i="3"/>
  <c r="I88" i="3"/>
  <c r="X88" i="3"/>
  <c r="L89" i="3"/>
  <c r="Y89" i="3"/>
  <c r="P90" i="3"/>
  <c r="Z90" i="3"/>
  <c r="Q91" i="3"/>
  <c r="AA91" i="3"/>
  <c r="R92" i="3"/>
  <c r="AD92" i="3"/>
  <c r="S93" i="3"/>
  <c r="AA93" i="3"/>
  <c r="P94" i="3"/>
  <c r="X94" i="3"/>
  <c r="J95" i="3"/>
  <c r="S95" i="3"/>
  <c r="AA95" i="3"/>
  <c r="P96" i="3"/>
  <c r="X96" i="3"/>
  <c r="J97" i="3"/>
  <c r="S97" i="3"/>
  <c r="AA97" i="3"/>
  <c r="P98" i="3"/>
  <c r="X98" i="3"/>
  <c r="J99" i="3"/>
  <c r="S99" i="3"/>
  <c r="AA99" i="3"/>
  <c r="P100" i="3"/>
  <c r="X100" i="3"/>
  <c r="J101" i="3"/>
  <c r="K101" i="3"/>
  <c r="S101" i="3"/>
  <c r="AA101" i="3"/>
  <c r="P102" i="3"/>
  <c r="X102" i="3"/>
  <c r="J103" i="3"/>
  <c r="S103" i="3"/>
  <c r="AA103" i="3"/>
  <c r="P104" i="3"/>
  <c r="X104" i="3"/>
  <c r="J105" i="3"/>
  <c r="S105" i="3"/>
  <c r="AA105" i="3"/>
  <c r="P106" i="3"/>
  <c r="X106" i="3"/>
  <c r="J107" i="3"/>
  <c r="S107" i="3"/>
  <c r="AA107" i="3"/>
  <c r="P108" i="3"/>
  <c r="X108" i="3"/>
  <c r="J109" i="3"/>
  <c r="S109" i="3"/>
  <c r="AA109" i="3"/>
  <c r="P110" i="3"/>
  <c r="X110" i="3"/>
  <c r="J111" i="3"/>
  <c r="S111" i="3"/>
  <c r="L80" i="3"/>
  <c r="AC80" i="3"/>
  <c r="AE82" i="3"/>
  <c r="T83" i="3"/>
  <c r="AB83" i="3"/>
  <c r="O84" i="3"/>
  <c r="W84" i="3"/>
  <c r="AE84" i="3"/>
  <c r="T85" i="3"/>
  <c r="AB85" i="3"/>
  <c r="O86" i="3"/>
  <c r="W86" i="3"/>
  <c r="AE86" i="3"/>
  <c r="T87" i="3"/>
  <c r="AB87" i="3"/>
  <c r="O88" i="3"/>
  <c r="W88" i="3"/>
  <c r="AE88" i="3"/>
  <c r="T89" i="3"/>
  <c r="AB89" i="3"/>
  <c r="O90" i="3"/>
  <c r="W90" i="3"/>
  <c r="AE90" i="3"/>
  <c r="T91" i="3"/>
  <c r="AB91" i="3"/>
  <c r="O92" i="3"/>
  <c r="W92" i="3"/>
  <c r="AE92" i="3"/>
  <c r="T93" i="3"/>
  <c r="AB93" i="3"/>
  <c r="O94" i="3"/>
  <c r="W94" i="3"/>
  <c r="AE94" i="3"/>
  <c r="T95" i="3"/>
  <c r="AB95" i="3"/>
  <c r="O96" i="3"/>
  <c r="W96" i="3"/>
  <c r="AE96" i="3"/>
  <c r="T97" i="3"/>
  <c r="AB97" i="3"/>
  <c r="O98" i="3"/>
  <c r="W98" i="3"/>
  <c r="AE98" i="3"/>
  <c r="T99" i="3"/>
  <c r="AB99" i="3"/>
  <c r="O100" i="3"/>
  <c r="W100" i="3"/>
  <c r="AE100" i="3"/>
  <c r="T101" i="3"/>
  <c r="AB101" i="3"/>
  <c r="O102" i="3"/>
  <c r="W102" i="3"/>
  <c r="AE102" i="3"/>
  <c r="T103" i="3"/>
  <c r="AB103" i="3"/>
  <c r="O104" i="3"/>
  <c r="W104" i="3"/>
  <c r="AE104" i="3"/>
  <c r="T105" i="3"/>
  <c r="AA6" i="3"/>
  <c r="AE18" i="3"/>
  <c r="AD22" i="3"/>
  <c r="AE24" i="3"/>
  <c r="AC38" i="3"/>
  <c r="AE48" i="3"/>
  <c r="AE41" i="3"/>
  <c r="AE49" i="3"/>
  <c r="AE60" i="3"/>
  <c r="AE64" i="3"/>
  <c r="AD72" i="3"/>
  <c r="AA57" i="3"/>
  <c r="AC70" i="3"/>
  <c r="AE75" i="3"/>
  <c r="X80" i="3"/>
  <c r="AD82" i="3"/>
  <c r="AC83" i="3"/>
  <c r="J85" i="3"/>
  <c r="I86" i="3"/>
  <c r="L87" i="3"/>
  <c r="P88" i="3"/>
  <c r="Q89" i="3"/>
  <c r="R90" i="3"/>
  <c r="S91" i="3"/>
  <c r="V92" i="3"/>
  <c r="U93" i="3"/>
  <c r="R94" i="3"/>
  <c r="L95" i="3"/>
  <c r="AC95" i="3"/>
  <c r="Z96" i="3"/>
  <c r="U97" i="3"/>
  <c r="R98" i="3"/>
  <c r="L99" i="3"/>
  <c r="AC99" i="3"/>
  <c r="Z100" i="3"/>
  <c r="U101" i="3"/>
  <c r="R102" i="3"/>
  <c r="L103" i="3"/>
  <c r="AC103" i="3"/>
  <c r="Z104" i="3"/>
  <c r="U105" i="3"/>
  <c r="R106" i="3"/>
  <c r="L107" i="3"/>
  <c r="AC107" i="3"/>
  <c r="Z108" i="3"/>
  <c r="U109" i="3"/>
  <c r="R110" i="3"/>
  <c r="L111" i="3"/>
  <c r="Q80" i="3"/>
  <c r="I83" i="3"/>
  <c r="AD83" i="3"/>
  <c r="Y84" i="3"/>
  <c r="V85" i="3"/>
  <c r="Q86" i="3"/>
  <c r="I87" i="3"/>
  <c r="AD87" i="3"/>
  <c r="Y88" i="3"/>
  <c r="V89" i="3"/>
  <c r="Q90" i="3"/>
  <c r="I91" i="3"/>
  <c r="AD91" i="3"/>
  <c r="Y92" i="3"/>
  <c r="V93" i="3"/>
  <c r="Q94" i="3"/>
  <c r="I95" i="3"/>
  <c r="AD95" i="3"/>
  <c r="U96" i="3"/>
  <c r="I97" i="3"/>
  <c r="X97" i="3"/>
  <c r="L98" i="3"/>
  <c r="M98" i="3"/>
  <c r="Y98" i="3"/>
  <c r="P99" i="3"/>
  <c r="Z99" i="3"/>
  <c r="Q100" i="3"/>
  <c r="AA100" i="3"/>
  <c r="R101" i="3"/>
  <c r="AD101" i="3"/>
  <c r="S102" i="3"/>
  <c r="AC102" i="3"/>
  <c r="V103" i="3"/>
  <c r="J104" i="3"/>
  <c r="U104" i="3"/>
  <c r="I105" i="3"/>
  <c r="X105" i="3"/>
  <c r="J106" i="3"/>
  <c r="S106" i="3"/>
  <c r="AA106" i="3"/>
  <c r="P107" i="3"/>
  <c r="X107" i="3"/>
  <c r="J108" i="3"/>
  <c r="S108" i="3"/>
  <c r="AA108" i="3"/>
  <c r="P109" i="3"/>
  <c r="X109" i="3"/>
  <c r="J110" i="3"/>
  <c r="S110" i="3"/>
  <c r="AA110" i="3"/>
  <c r="P111" i="3"/>
  <c r="X111" i="3"/>
  <c r="J112" i="3"/>
  <c r="S112" i="3"/>
  <c r="AA112" i="3"/>
  <c r="P113" i="3"/>
  <c r="X113" i="3"/>
  <c r="J114" i="3"/>
  <c r="S114" i="3"/>
  <c r="AA114" i="3"/>
  <c r="Z133" i="3"/>
  <c r="R133" i="3"/>
  <c r="AC132" i="3"/>
  <c r="U132" i="3"/>
  <c r="L132" i="3"/>
  <c r="Z131" i="3"/>
  <c r="R131" i="3"/>
  <c r="AC130" i="3"/>
  <c r="U130" i="3"/>
  <c r="L130" i="3"/>
  <c r="Z129" i="3"/>
  <c r="R129" i="3"/>
  <c r="AC128" i="3"/>
  <c r="U128" i="3"/>
  <c r="L128" i="3"/>
  <c r="M128" i="3"/>
  <c r="Z127" i="3"/>
  <c r="R127" i="3"/>
  <c r="AC126" i="3"/>
  <c r="U126" i="3"/>
  <c r="L126" i="3"/>
  <c r="Z125" i="3"/>
  <c r="R125" i="3"/>
  <c r="AC124" i="3"/>
  <c r="U124" i="3"/>
  <c r="L124" i="3"/>
  <c r="Z123" i="3"/>
  <c r="R123" i="3"/>
  <c r="AC122" i="3"/>
  <c r="U122" i="3"/>
  <c r="L122" i="3"/>
  <c r="Z121" i="3"/>
  <c r="R121" i="3"/>
  <c r="AC120" i="3"/>
  <c r="U120" i="3"/>
  <c r="L120" i="3"/>
  <c r="Z119" i="3"/>
  <c r="R119" i="3"/>
  <c r="AC118" i="3"/>
  <c r="U118" i="3"/>
  <c r="L118" i="3"/>
  <c r="Z117" i="3"/>
  <c r="R117" i="3"/>
  <c r="AC116" i="3"/>
  <c r="U116" i="3"/>
  <c r="L116" i="3"/>
  <c r="Z115" i="3"/>
  <c r="R115" i="3"/>
  <c r="AB114" i="3"/>
  <c r="AC113" i="3"/>
  <c r="L113" i="3"/>
  <c r="P112" i="3"/>
  <c r="Y133" i="3"/>
  <c r="Q133" i="3"/>
  <c r="AD132" i="3"/>
  <c r="V132" i="3"/>
  <c r="I132" i="3"/>
  <c r="AC6" i="3"/>
  <c r="AA11" i="3"/>
  <c r="AA23" i="3"/>
  <c r="AD25" i="3"/>
  <c r="AE38" i="3"/>
  <c r="AA33" i="3"/>
  <c r="AD42" i="3"/>
  <c r="AD50" i="3"/>
  <c r="AD53" i="3"/>
  <c r="AD61" i="3"/>
  <c r="AD65" i="3"/>
  <c r="AD73" i="3"/>
  <c r="AC57" i="3"/>
  <c r="AE70" i="3"/>
  <c r="AA76" i="3"/>
  <c r="Z80" i="3"/>
  <c r="J83" i="3"/>
  <c r="I84" i="3"/>
  <c r="L85" i="3"/>
  <c r="P86" i="3"/>
  <c r="Q87" i="3"/>
  <c r="R88" i="3"/>
  <c r="S89" i="3"/>
  <c r="V90" i="3"/>
  <c r="U91" i="3"/>
  <c r="X92" i="3"/>
  <c r="W93" i="3"/>
  <c r="T94" i="3"/>
  <c r="O95" i="3"/>
  <c r="AE95" i="3"/>
  <c r="AB96" i="3"/>
  <c r="W97" i="3"/>
  <c r="T98" i="3"/>
  <c r="O99" i="3"/>
  <c r="AE99" i="3"/>
  <c r="AB100" i="3"/>
  <c r="W101" i="3"/>
  <c r="T102" i="3"/>
  <c r="O103" i="3"/>
  <c r="AE103" i="3"/>
  <c r="AB104" i="3"/>
  <c r="W105" i="3"/>
  <c r="T106" i="3"/>
  <c r="O107" i="3"/>
  <c r="AE107" i="3"/>
  <c r="AB108" i="3"/>
  <c r="W109" i="3"/>
  <c r="T110" i="3"/>
  <c r="O111" i="3"/>
  <c r="U80" i="3"/>
  <c r="P83" i="3"/>
  <c r="J84" i="3"/>
  <c r="AA84" i="3"/>
  <c r="X85" i="3"/>
  <c r="S86" i="3"/>
  <c r="P87" i="3"/>
  <c r="J88" i="3"/>
  <c r="AA88" i="3"/>
  <c r="X89" i="3"/>
  <c r="S90" i="3"/>
  <c r="P91" i="3"/>
  <c r="J92" i="3"/>
  <c r="AA92" i="3"/>
  <c r="X93" i="3"/>
  <c r="S94" i="3"/>
  <c r="P95" i="3"/>
  <c r="J96" i="3"/>
  <c r="Y96" i="3"/>
  <c r="P97" i="3"/>
  <c r="Z97" i="3"/>
  <c r="Q98" i="3"/>
  <c r="AA98" i="3"/>
  <c r="R99" i="3"/>
  <c r="AD99" i="3"/>
  <c r="S100" i="3"/>
  <c r="AC100" i="3"/>
  <c r="V101" i="3"/>
  <c r="J102" i="3"/>
  <c r="U102" i="3"/>
  <c r="I103" i="3"/>
  <c r="X103" i="3"/>
  <c r="L104" i="3"/>
  <c r="M104" i="3"/>
  <c r="Y104" i="3"/>
  <c r="P105" i="3"/>
  <c r="Z105" i="3"/>
  <c r="L106" i="3"/>
  <c r="U106" i="3"/>
  <c r="AC106" i="3"/>
  <c r="R107" i="3"/>
  <c r="Z107" i="3"/>
  <c r="L108" i="3"/>
  <c r="U108" i="3"/>
  <c r="AC108" i="3"/>
  <c r="R109" i="3"/>
  <c r="Z109" i="3"/>
  <c r="L110" i="3"/>
  <c r="U110" i="3"/>
  <c r="AC110" i="3"/>
  <c r="R111" i="3"/>
  <c r="Z111" i="3"/>
  <c r="L112" i="3"/>
  <c r="U112" i="3"/>
  <c r="AC112" i="3"/>
  <c r="R113" i="3"/>
  <c r="Z113" i="3"/>
  <c r="L114" i="3"/>
  <c r="U114" i="3"/>
  <c r="AC114" i="3"/>
  <c r="X133" i="3"/>
  <c r="P133" i="3"/>
  <c r="AA132" i="3"/>
  <c r="S132" i="3"/>
  <c r="J132" i="3"/>
  <c r="X131" i="3"/>
  <c r="P131" i="3"/>
  <c r="AA130" i="3"/>
  <c r="S130" i="3"/>
  <c r="J130" i="3"/>
  <c r="X129" i="3"/>
  <c r="P129" i="3"/>
  <c r="AA128" i="3"/>
  <c r="S128" i="3"/>
  <c r="J128" i="3"/>
  <c r="K128" i="3"/>
  <c r="X127" i="3"/>
  <c r="P127" i="3"/>
  <c r="AA126" i="3"/>
  <c r="S126" i="3"/>
  <c r="J126" i="3"/>
  <c r="X125" i="3"/>
  <c r="P125" i="3"/>
  <c r="AA124" i="3"/>
  <c r="S124" i="3"/>
  <c r="J124" i="3"/>
  <c r="X123" i="3"/>
  <c r="P123" i="3"/>
  <c r="AA122" i="3"/>
  <c r="S122" i="3"/>
  <c r="J122" i="3"/>
  <c r="X121" i="3"/>
  <c r="P121" i="3"/>
  <c r="AA120" i="3"/>
  <c r="S120" i="3"/>
  <c r="J120" i="3"/>
  <c r="X119" i="3"/>
  <c r="P119" i="3"/>
  <c r="AA118" i="3"/>
  <c r="S118" i="3"/>
  <c r="J118" i="3"/>
  <c r="X117" i="3"/>
  <c r="P117" i="3"/>
  <c r="AA116" i="3"/>
  <c r="S116" i="3"/>
  <c r="J116" i="3"/>
  <c r="X115" i="3"/>
  <c r="P115" i="3"/>
  <c r="X114" i="3"/>
  <c r="Y113" i="3"/>
  <c r="AB112" i="3"/>
  <c r="AC111" i="3"/>
  <c r="AE133" i="3"/>
  <c r="W133" i="3"/>
  <c r="O133" i="3"/>
  <c r="AB132" i="3"/>
  <c r="T132" i="3"/>
  <c r="AE131" i="3"/>
  <c r="W131" i="3"/>
  <c r="O131" i="3"/>
  <c r="AB130" i="3"/>
  <c r="T130" i="3"/>
  <c r="AE129" i="3"/>
  <c r="U129" i="3"/>
  <c r="L129" i="3"/>
  <c r="Z128" i="3"/>
  <c r="R128" i="3"/>
  <c r="AC127" i="3"/>
  <c r="U127" i="3"/>
  <c r="L127" i="3"/>
  <c r="Z126" i="3"/>
  <c r="R126" i="3"/>
  <c r="AC125" i="3"/>
  <c r="U125" i="3"/>
  <c r="L125" i="3"/>
  <c r="Z124" i="3"/>
  <c r="R124" i="3"/>
  <c r="AC123" i="3"/>
  <c r="U123" i="3"/>
  <c r="L123" i="3"/>
  <c r="Z122" i="3"/>
  <c r="R122" i="3"/>
  <c r="AC121" i="3"/>
  <c r="U121" i="3"/>
  <c r="L121" i="3"/>
  <c r="M121" i="3"/>
  <c r="Z120" i="3"/>
  <c r="R120" i="3"/>
  <c r="AC119" i="3"/>
  <c r="U119" i="3"/>
  <c r="L119" i="3"/>
  <c r="Z118" i="3"/>
  <c r="R118" i="3"/>
  <c r="AC117" i="3"/>
  <c r="U117" i="3"/>
  <c r="L117" i="3"/>
  <c r="Z116" i="3"/>
  <c r="R116" i="3"/>
  <c r="AC115" i="3"/>
  <c r="U115" i="3"/>
  <c r="L115" i="3"/>
  <c r="V114" i="3"/>
  <c r="AA113" i="3"/>
  <c r="J113" i="3"/>
  <c r="R112" i="3"/>
  <c r="J78" i="3"/>
  <c r="U78" i="3"/>
  <c r="V78" i="3"/>
  <c r="T78" i="3"/>
  <c r="P82" i="3"/>
  <c r="X82" i="3"/>
  <c r="O82" i="3"/>
  <c r="W82" i="3"/>
  <c r="R2073" i="3"/>
  <c r="T73" i="3"/>
  <c r="Z2073" i="3"/>
  <c r="AB73" i="3"/>
  <c r="K2073" i="3"/>
  <c r="J73" i="3"/>
  <c r="AA10" i="3"/>
  <c r="AE32" i="3"/>
  <c r="AE37" i="3"/>
  <c r="AE52" i="3"/>
  <c r="AE78" i="3"/>
  <c r="AA61" i="3"/>
  <c r="AE67" i="3"/>
  <c r="AA79" i="3"/>
  <c r="S83" i="3"/>
  <c r="U85" i="3"/>
  <c r="Y87" i="3"/>
  <c r="AA89" i="3"/>
  <c r="AC91" i="3"/>
  <c r="AC93" i="3"/>
  <c r="U95" i="3"/>
  <c r="L97" i="3"/>
  <c r="Z98" i="3"/>
  <c r="R100" i="3"/>
  <c r="AC101" i="3"/>
  <c r="U103" i="3"/>
  <c r="L105" i="3"/>
  <c r="Z106" i="3"/>
  <c r="R108" i="3"/>
  <c r="AC109" i="3"/>
  <c r="U111" i="3"/>
  <c r="V83" i="3"/>
  <c r="I85" i="3"/>
  <c r="Y86" i="3"/>
  <c r="Q88" i="3"/>
  <c r="AD89" i="3"/>
  <c r="V91" i="3"/>
  <c r="I93" i="3"/>
  <c r="Y94" i="3"/>
  <c r="Q96" i="3"/>
  <c r="R97" i="3"/>
  <c r="S98" i="3"/>
  <c r="V99" i="3"/>
  <c r="U100" i="3"/>
  <c r="X101" i="3"/>
  <c r="Y102" i="3"/>
  <c r="Z103" i="3"/>
  <c r="AA104" i="3"/>
  <c r="AB105" i="3"/>
  <c r="W106" i="3"/>
  <c r="T107" i="3"/>
  <c r="O108" i="3"/>
  <c r="AE108" i="3"/>
  <c r="AB109" i="3"/>
  <c r="W110" i="3"/>
  <c r="T111" i="3"/>
  <c r="O112" i="3"/>
  <c r="AE112" i="3"/>
  <c r="AB113" i="3"/>
  <c r="W114" i="3"/>
  <c r="V133" i="3"/>
  <c r="Y132" i="3"/>
  <c r="AD131" i="3"/>
  <c r="I131" i="3"/>
  <c r="Q130" i="3"/>
  <c r="V129" i="3"/>
  <c r="Y128" i="3"/>
  <c r="AD127" i="3"/>
  <c r="I127" i="3"/>
  <c r="Q126" i="3"/>
  <c r="V125" i="3"/>
  <c r="Y124" i="3"/>
  <c r="AD123" i="3"/>
  <c r="I123" i="3"/>
  <c r="Q122" i="3"/>
  <c r="V121" i="3"/>
  <c r="Y120" i="3"/>
  <c r="AD119" i="3"/>
  <c r="I119" i="3"/>
  <c r="Q118" i="3"/>
  <c r="V117" i="3"/>
  <c r="Y116" i="3"/>
  <c r="AD115" i="3"/>
  <c r="I115" i="3"/>
  <c r="U113" i="3"/>
  <c r="AC133" i="3"/>
  <c r="L133" i="3"/>
  <c r="R132" i="3"/>
  <c r="Y131" i="3"/>
  <c r="L131" i="3"/>
  <c r="X130" i="3"/>
  <c r="I130" i="3"/>
  <c r="S129" i="3"/>
  <c r="AD128" i="3"/>
  <c r="T128" i="3"/>
  <c r="AA127" i="3"/>
  <c r="Q127" i="3"/>
  <c r="AB126" i="3"/>
  <c r="P126" i="3"/>
  <c r="Y125" i="3"/>
  <c r="O125" i="3"/>
  <c r="X124" i="3"/>
  <c r="I124" i="3"/>
  <c r="W123" i="3"/>
  <c r="J123" i="3"/>
  <c r="V122" i="3"/>
  <c r="AE121" i="3"/>
  <c r="S121" i="3"/>
  <c r="AD120" i="3"/>
  <c r="T120" i="3"/>
  <c r="AA119" i="3"/>
  <c r="Q119" i="3"/>
  <c r="AB118" i="3"/>
  <c r="P118" i="3"/>
  <c r="Y117" i="3"/>
  <c r="O117" i="3"/>
  <c r="X116" i="3"/>
  <c r="I116" i="3"/>
  <c r="W115" i="3"/>
  <c r="J115" i="3"/>
  <c r="I114" i="3"/>
  <c r="O113" i="3"/>
  <c r="I112" i="3"/>
  <c r="Q78" i="3"/>
  <c r="R78" i="3"/>
  <c r="X78" i="3"/>
  <c r="T82" i="3"/>
  <c r="J82" i="3"/>
  <c r="Y82" i="3"/>
  <c r="T2073" i="3"/>
  <c r="V73" i="3"/>
  <c r="Q2073" i="3"/>
  <c r="S73" i="3"/>
  <c r="W2073" i="3"/>
  <c r="Y73" i="3"/>
  <c r="AM2073" i="3"/>
  <c r="I73" i="3"/>
  <c r="I82" i="3"/>
  <c r="T2101" i="3"/>
  <c r="V74" i="3"/>
  <c r="S2101" i="3"/>
  <c r="U74" i="3"/>
  <c r="Z2101" i="3"/>
  <c r="AB74" i="3"/>
  <c r="W2101" i="3"/>
  <c r="Y74" i="3"/>
  <c r="AC10" i="3"/>
  <c r="AD33" i="3"/>
  <c r="AD38" i="3"/>
  <c r="AD79" i="3"/>
  <c r="AC61" i="3"/>
  <c r="AA68" i="3"/>
  <c r="AC79" i="3"/>
  <c r="U83" i="3"/>
  <c r="Y85" i="3"/>
  <c r="AA87" i="3"/>
  <c r="AC89" i="3"/>
  <c r="I92" i="3"/>
  <c r="K92" i="3"/>
  <c r="AE93" i="3"/>
  <c r="W95" i="3"/>
  <c r="O97" i="3"/>
  <c r="AB98" i="3"/>
  <c r="T100" i="3"/>
  <c r="AE101" i="3"/>
  <c r="W103" i="3"/>
  <c r="O105" i="3"/>
  <c r="AB106" i="3"/>
  <c r="T108" i="3"/>
  <c r="AE109" i="3"/>
  <c r="W111" i="3"/>
  <c r="X83" i="3"/>
  <c r="P85" i="3"/>
  <c r="AA86" i="3"/>
  <c r="S88" i="3"/>
  <c r="J90" i="3"/>
  <c r="X91" i="3"/>
  <c r="P93" i="3"/>
  <c r="AA94" i="3"/>
  <c r="S96" i="3"/>
  <c r="V97" i="3"/>
  <c r="U98" i="3"/>
  <c r="X99" i="3"/>
  <c r="Y100" i="3"/>
  <c r="Z101" i="3"/>
  <c r="AA102" i="3"/>
  <c r="AD103" i="3"/>
  <c r="AC104" i="3"/>
  <c r="AD105" i="3"/>
  <c r="Y106" i="3"/>
  <c r="V107" i="3"/>
  <c r="Q108" i="3"/>
  <c r="I109" i="3"/>
  <c r="K109" i="3"/>
  <c r="AD109" i="3"/>
  <c r="Y110" i="3"/>
  <c r="V111" i="3"/>
  <c r="Q112" i="3"/>
  <c r="I113" i="3"/>
  <c r="AD113" i="3"/>
  <c r="Y114" i="3"/>
  <c r="T133" i="3"/>
  <c r="W132" i="3"/>
  <c r="AB131" i="3"/>
  <c r="AE130" i="3"/>
  <c r="O130" i="3"/>
  <c r="T129" i="3"/>
  <c r="W128" i="3"/>
  <c r="AB127" i="3"/>
  <c r="AE126" i="3"/>
  <c r="O126" i="3"/>
  <c r="T125" i="3"/>
  <c r="W124" i="3"/>
  <c r="AB123" i="3"/>
  <c r="AE122" i="3"/>
  <c r="O122" i="3"/>
  <c r="T121" i="3"/>
  <c r="W120" i="3"/>
  <c r="AB119" i="3"/>
  <c r="AE118" i="3"/>
  <c r="O118" i="3"/>
  <c r="T117" i="3"/>
  <c r="W116" i="3"/>
  <c r="AB115" i="3"/>
  <c r="AE114" i="3"/>
  <c r="Q113" i="3"/>
  <c r="AA133" i="3"/>
  <c r="J133" i="3"/>
  <c r="P132" i="3"/>
  <c r="U131" i="3"/>
  <c r="J131" i="3"/>
  <c r="V130" i="3"/>
  <c r="AC129" i="3"/>
  <c r="Q129" i="3"/>
  <c r="AB128" i="3"/>
  <c r="P128" i="3"/>
  <c r="Y127" i="3"/>
  <c r="O127" i="3"/>
  <c r="X126" i="3"/>
  <c r="I126" i="3"/>
  <c r="W125" i="3"/>
  <c r="J125" i="3"/>
  <c r="V124" i="3"/>
  <c r="AE123" i="3"/>
  <c r="S123" i="3"/>
  <c r="AD122" i="3"/>
  <c r="T122" i="3"/>
  <c r="AA121" i="3"/>
  <c r="Q121" i="3"/>
  <c r="AB120" i="3"/>
  <c r="P120" i="3"/>
  <c r="Y119" i="3"/>
  <c r="O119" i="3"/>
  <c r="X118" i="3"/>
  <c r="I118" i="3"/>
  <c r="W117" i="3"/>
  <c r="J117" i="3"/>
  <c r="V116" i="3"/>
  <c r="AE115" i="3"/>
  <c r="S115" i="3"/>
  <c r="AD114" i="3"/>
  <c r="AE113" i="3"/>
  <c r="AD112" i="3"/>
  <c r="AE111" i="3"/>
  <c r="S78" i="3"/>
  <c r="Z78" i="3"/>
  <c r="AB78" i="3"/>
  <c r="V82" i="3"/>
  <c r="Q82" i="3"/>
  <c r="F2073" i="3"/>
  <c r="L73" i="3"/>
  <c r="V2073" i="3"/>
  <c r="X73" i="3"/>
  <c r="U2073" i="3"/>
  <c r="W73" i="3"/>
  <c r="X2101" i="3"/>
  <c r="Z74" i="3"/>
  <c r="N2101" i="3"/>
  <c r="P74" i="3"/>
  <c r="M2101" i="3"/>
  <c r="O74" i="3"/>
  <c r="J77" i="3"/>
  <c r="Z75" i="3"/>
  <c r="W75" i="3"/>
  <c r="AB75" i="3"/>
  <c r="S77" i="3"/>
  <c r="X77" i="3"/>
  <c r="I75" i="3"/>
  <c r="K75" i="3"/>
  <c r="Z77" i="3"/>
  <c r="R77" i="3"/>
  <c r="U77" i="3"/>
  <c r="W77" i="3"/>
  <c r="S81" i="3"/>
  <c r="I77" i="3"/>
  <c r="T81" i="3"/>
  <c r="Z81" i="3"/>
  <c r="W81" i="3"/>
  <c r="L81" i="3"/>
  <c r="M81" i="3"/>
  <c r="Y81" i="3"/>
  <c r="AE14" i="3"/>
  <c r="AD43" i="3"/>
  <c r="AE56" i="3"/>
  <c r="AA53" i="3"/>
  <c r="AA73" i="3"/>
  <c r="V84" i="3"/>
  <c r="Z88" i="3"/>
  <c r="J93" i="3"/>
  <c r="R96" i="3"/>
  <c r="U99" i="3"/>
  <c r="Z102" i="3"/>
  <c r="AC105" i="3"/>
  <c r="L109" i="3"/>
  <c r="M109" i="3"/>
  <c r="AD81" i="3"/>
  <c r="AD85" i="3"/>
  <c r="I89" i="3"/>
  <c r="K89" i="3"/>
  <c r="Q92" i="3"/>
  <c r="V95" i="3"/>
  <c r="AD97" i="3"/>
  <c r="J100" i="3"/>
  <c r="L102" i="3"/>
  <c r="Q104" i="3"/>
  <c r="O106" i="3"/>
  <c r="AB107" i="3"/>
  <c r="T109" i="3"/>
  <c r="AE110" i="3"/>
  <c r="W112" i="3"/>
  <c r="O114" i="3"/>
  <c r="I133" i="3"/>
  <c r="V131" i="3"/>
  <c r="AD129" i="3"/>
  <c r="Q128" i="3"/>
  <c r="Y126" i="3"/>
  <c r="I125" i="3"/>
  <c r="V123" i="3"/>
  <c r="AD121" i="3"/>
  <c r="Q120" i="3"/>
  <c r="Y118" i="3"/>
  <c r="I117" i="3"/>
  <c r="V115" i="3"/>
  <c r="X112" i="3"/>
  <c r="U133" i="3"/>
  <c r="AC131" i="3"/>
  <c r="AD130" i="3"/>
  <c r="AA129" i="3"/>
  <c r="X128" i="3"/>
  <c r="W127" i="3"/>
  <c r="V126" i="3"/>
  <c r="S125" i="3"/>
  <c r="T124" i="3"/>
  <c r="Q123" i="3"/>
  <c r="P122" i="3"/>
  <c r="O121" i="3"/>
  <c r="I120" i="3"/>
  <c r="J119" i="3"/>
  <c r="AE117" i="3"/>
  <c r="AD116" i="3"/>
  <c r="AA115" i="3"/>
  <c r="Z114" i="3"/>
  <c r="Z112" i="3"/>
  <c r="W78" i="3"/>
  <c r="L82" i="3"/>
  <c r="S82" i="3"/>
  <c r="M2073" i="3"/>
  <c r="O73" i="3"/>
  <c r="I78" i="3"/>
  <c r="K78" i="3"/>
  <c r="Q2101" i="3"/>
  <c r="S74" i="3"/>
  <c r="U2101" i="3"/>
  <c r="W74" i="3"/>
  <c r="L75" i="3"/>
  <c r="U75" i="3"/>
  <c r="X75" i="3"/>
  <c r="T77" i="3"/>
  <c r="P77" i="3"/>
  <c r="V81" i="3"/>
  <c r="AB81" i="3"/>
  <c r="X81" i="3"/>
  <c r="T76" i="3"/>
  <c r="Y76" i="3"/>
  <c r="Z76" i="3"/>
  <c r="P79" i="3"/>
  <c r="AB76" i="3"/>
  <c r="Y79" i="3"/>
  <c r="AD15" i="3"/>
  <c r="AC44" i="3"/>
  <c r="AD57" i="3"/>
  <c r="AC53" i="3"/>
  <c r="AC73" i="3"/>
  <c r="X84" i="3"/>
  <c r="AD88" i="3"/>
  <c r="L93" i="3"/>
  <c r="T96" i="3"/>
  <c r="W99" i="3"/>
  <c r="AB102" i="3"/>
  <c r="AE105" i="3"/>
  <c r="O109" i="3"/>
  <c r="AA82" i="3"/>
  <c r="J86" i="3"/>
  <c r="P89" i="3"/>
  <c r="S92" i="3"/>
  <c r="X95" i="3"/>
  <c r="J98" i="3"/>
  <c r="L100" i="3"/>
  <c r="M100" i="3"/>
  <c r="Q102" i="3"/>
  <c r="S104" i="3"/>
  <c r="Q106" i="3"/>
  <c r="AD107" i="3"/>
  <c r="V109" i="3"/>
  <c r="I111" i="3"/>
  <c r="Y112" i="3"/>
  <c r="Q114" i="3"/>
  <c r="AE132" i="3"/>
  <c r="T131" i="3"/>
  <c r="AB129" i="3"/>
  <c r="O128" i="3"/>
  <c r="W126" i="3"/>
  <c r="AE124" i="3"/>
  <c r="T123" i="3"/>
  <c r="AB121" i="3"/>
  <c r="O120" i="3"/>
  <c r="W118" i="3"/>
  <c r="AE116" i="3"/>
  <c r="T115" i="3"/>
  <c r="T112" i="3"/>
  <c r="S133" i="3"/>
  <c r="AA131" i="3"/>
  <c r="Z130" i="3"/>
  <c r="W129" i="3"/>
  <c r="V128" i="3"/>
  <c r="S127" i="3"/>
  <c r="T126" i="3"/>
  <c r="Q125" i="3"/>
  <c r="P124" i="3"/>
  <c r="O123" i="3"/>
  <c r="I122" i="3"/>
  <c r="J121" i="3"/>
  <c r="K121" i="3"/>
  <c r="AE119" i="3"/>
  <c r="AD118" i="3"/>
  <c r="AA117" i="3"/>
  <c r="AB116" i="3"/>
  <c r="Y115" i="3"/>
  <c r="R114" i="3"/>
  <c r="V112" i="3"/>
  <c r="Y78" i="3"/>
  <c r="R82" i="3"/>
  <c r="U82" i="3"/>
  <c r="N2073" i="3"/>
  <c r="P73" i="3"/>
  <c r="O2073" i="3"/>
  <c r="Q73" i="3"/>
  <c r="AD46" i="3"/>
  <c r="AC65" i="3"/>
  <c r="Z86" i="3"/>
  <c r="AB94" i="3"/>
  <c r="O101" i="3"/>
  <c r="W107" i="3"/>
  <c r="S84" i="3"/>
  <c r="AA90" i="3"/>
  <c r="AC96" i="3"/>
  <c r="P101" i="3"/>
  <c r="V105" i="3"/>
  <c r="Y108" i="3"/>
  <c r="AD111" i="3"/>
  <c r="AB133" i="3"/>
  <c r="W130" i="3"/>
  <c r="T127" i="3"/>
  <c r="O124" i="3"/>
  <c r="AE120" i="3"/>
  <c r="AB117" i="3"/>
  <c r="P114" i="3"/>
  <c r="X132" i="3"/>
  <c r="P130" i="3"/>
  <c r="AE127" i="3"/>
  <c r="AA125" i="3"/>
  <c r="Y123" i="3"/>
  <c r="W121" i="3"/>
  <c r="S119" i="3"/>
  <c r="Q117" i="3"/>
  <c r="O115" i="3"/>
  <c r="O78" i="3"/>
  <c r="AB82" i="3"/>
  <c r="X2073" i="3"/>
  <c r="Z73" i="3"/>
  <c r="K2101" i="3"/>
  <c r="J74" i="3"/>
  <c r="O75" i="3"/>
  <c r="Y75" i="3"/>
  <c r="AA31" i="3"/>
  <c r="AE80" i="3"/>
  <c r="J91" i="3"/>
  <c r="AE97" i="3"/>
  <c r="T104" i="3"/>
  <c r="AB110" i="3"/>
  <c r="X87" i="3"/>
  <c r="J94" i="3"/>
  <c r="I99" i="3"/>
  <c r="R103" i="3"/>
  <c r="I107" i="3"/>
  <c r="K107" i="3"/>
  <c r="Q110" i="3"/>
  <c r="V113" i="3"/>
  <c r="O132" i="3"/>
  <c r="AE128" i="3"/>
  <c r="AB125" i="3"/>
  <c r="W122" i="3"/>
  <c r="T119" i="3"/>
  <c r="O116" i="3"/>
  <c r="Q131" i="3"/>
  <c r="J129" i="3"/>
  <c r="AD126" i="3"/>
  <c r="AB124" i="3"/>
  <c r="X122" i="3"/>
  <c r="V120" i="3"/>
  <c r="T118" i="3"/>
  <c r="P116" i="3"/>
  <c r="S113" i="3"/>
  <c r="P78" i="3"/>
  <c r="F2101" i="3"/>
  <c r="L74" i="3"/>
  <c r="V2101" i="3"/>
  <c r="X74" i="3"/>
  <c r="V75" i="3"/>
  <c r="T75" i="3"/>
  <c r="O79" i="3"/>
  <c r="X76" i="3"/>
  <c r="J76" i="3"/>
  <c r="K76" i="3"/>
  <c r="S76" i="3"/>
  <c r="U81" i="3"/>
  <c r="P81" i="3"/>
  <c r="AM2101" i="3"/>
  <c r="I74" i="3"/>
  <c r="O77" i="3"/>
  <c r="P75" i="3"/>
  <c r="O2101" i="3"/>
  <c r="Q74" i="3"/>
  <c r="W113" i="3"/>
  <c r="V118" i="3"/>
  <c r="AB122" i="3"/>
  <c r="J127" i="3"/>
  <c r="S131" i="3"/>
  <c r="Q116" i="3"/>
  <c r="Y122" i="3"/>
  <c r="I129" i="3"/>
  <c r="T113" i="3"/>
  <c r="AE106" i="3"/>
  <c r="AC98" i="3"/>
  <c r="V87" i="3"/>
  <c r="R104" i="3"/>
  <c r="AD90" i="3"/>
  <c r="I79" i="3"/>
  <c r="M79" i="3"/>
  <c r="W79" i="3"/>
  <c r="U79" i="3"/>
  <c r="O76" i="3"/>
  <c r="R79" i="3"/>
  <c r="AB79" i="3"/>
  <c r="W76" i="3"/>
  <c r="J81" i="3"/>
  <c r="K81" i="3"/>
  <c r="R81" i="3"/>
  <c r="L77" i="3"/>
  <c r="Y77" i="3"/>
  <c r="S75" i="3"/>
  <c r="R75" i="3"/>
  <c r="P2101" i="3"/>
  <c r="R74" i="3"/>
  <c r="P2073" i="3"/>
  <c r="R73" i="3"/>
  <c r="L78" i="3"/>
  <c r="T116" i="3"/>
  <c r="X120" i="3"/>
  <c r="AD124" i="3"/>
  <c r="O129" i="3"/>
  <c r="V119" i="3"/>
  <c r="AD125" i="3"/>
  <c r="Q132" i="3"/>
  <c r="O110" i="3"/>
  <c r="P103" i="3"/>
  <c r="AD93" i="3"/>
  <c r="Z110" i="3"/>
  <c r="AC97" i="3"/>
  <c r="W80" i="3"/>
  <c r="AD30" i="3"/>
  <c r="D141" i="3"/>
  <c r="AD5" i="3"/>
  <c r="AE6" i="3"/>
  <c r="AE8" i="3"/>
  <c r="AE10" i="3"/>
  <c r="AE5" i="3"/>
  <c r="AC7" i="3"/>
  <c r="AC9" i="3"/>
  <c r="AA12" i="3"/>
  <c r="AA14" i="3"/>
  <c r="AA16" i="3"/>
  <c r="AA18" i="3"/>
  <c r="AC11" i="3"/>
  <c r="AC13" i="3"/>
  <c r="AC15" i="3"/>
  <c r="AC17" i="3"/>
  <c r="AC19" i="3"/>
  <c r="AC21" i="3"/>
  <c r="AC23" i="3"/>
  <c r="AC25" i="3"/>
  <c r="AC27" i="3"/>
  <c r="AC29" i="3"/>
  <c r="AC31" i="3"/>
  <c r="AA20" i="3"/>
  <c r="AA22" i="3"/>
  <c r="AA24" i="3"/>
  <c r="AA26" i="3"/>
  <c r="AA28" i="3"/>
  <c r="AA30" i="3"/>
  <c r="AA32" i="3"/>
  <c r="AA34" i="3"/>
  <c r="AA4" i="3"/>
  <c r="AD7" i="3"/>
  <c r="AD9" i="3"/>
  <c r="AD4" i="3"/>
  <c r="AE7" i="3"/>
  <c r="AE9" i="3"/>
  <c r="AC12" i="3"/>
  <c r="AC14" i="3"/>
  <c r="AC16" i="3"/>
  <c r="AC18" i="3"/>
  <c r="AE11" i="3"/>
  <c r="AE13" i="3"/>
  <c r="AE15" i="3"/>
  <c r="AE17" i="3"/>
  <c r="AE19" i="3"/>
  <c r="AE21" i="3"/>
  <c r="AE23" i="3"/>
  <c r="AE25" i="3"/>
  <c r="AE27" i="3"/>
  <c r="AE29" i="3"/>
  <c r="AE31" i="3"/>
  <c r="AC20" i="3"/>
  <c r="AC22" i="3"/>
  <c r="AC24" i="3"/>
  <c r="AC26" i="3"/>
  <c r="AC28" i="3"/>
  <c r="AC30" i="3"/>
  <c r="AC32" i="3"/>
  <c r="AC34" i="3"/>
  <c r="AA36" i="3"/>
  <c r="AA38" i="3"/>
  <c r="AA40" i="3"/>
  <c r="AA42" i="3"/>
  <c r="AA44" i="3"/>
  <c r="AA46" i="3"/>
  <c r="AA48" i="3"/>
  <c r="AE33" i="3"/>
  <c r="AE35" i="3"/>
  <c r="H10" i="2"/>
  <c r="H12" i="2"/>
  <c r="H5" i="2"/>
  <c r="H7" i="2"/>
  <c r="H16" i="2"/>
  <c r="H18" i="2"/>
  <c r="H20" i="2"/>
  <c r="H22" i="2"/>
  <c r="H24" i="2"/>
  <c r="E3779" i="3"/>
  <c r="AH3772" i="3"/>
  <c r="AH3771" i="3"/>
  <c r="E3763" i="3"/>
  <c r="AH3756" i="3"/>
  <c r="AH3755" i="3"/>
  <c r="D3694" i="3"/>
  <c r="E3694" i="3"/>
  <c r="D3690" i="3"/>
  <c r="E3690" i="3"/>
  <c r="D3686" i="3"/>
  <c r="E3686" i="3"/>
  <c r="D3682" i="3"/>
  <c r="E3682" i="3"/>
  <c r="E3772" i="3"/>
  <c r="E3756" i="3"/>
  <c r="D3748" i="3"/>
  <c r="E3748" i="3"/>
  <c r="D3744" i="3"/>
  <c r="E3744" i="3"/>
  <c r="D3740" i="3"/>
  <c r="E3740" i="3"/>
  <c r="D3736" i="3"/>
  <c r="E3736" i="3"/>
  <c r="D3732" i="3"/>
  <c r="E3732" i="3"/>
  <c r="D3728" i="3"/>
  <c r="E3728" i="3"/>
  <c r="D3721" i="3"/>
  <c r="E3721" i="3"/>
  <c r="D3717" i="3"/>
  <c r="E3717" i="3"/>
  <c r="D3713" i="3"/>
  <c r="E3713" i="3"/>
  <c r="D3709" i="3"/>
  <c r="E3709" i="3"/>
  <c r="D3705" i="3"/>
  <c r="E3705" i="3"/>
  <c r="D3701" i="3"/>
  <c r="E3701" i="3"/>
  <c r="AH3779" i="3"/>
  <c r="E3771" i="3"/>
  <c r="E3768" i="3"/>
  <c r="AH3764" i="3"/>
  <c r="AH3763" i="3"/>
  <c r="E3755" i="3"/>
  <c r="E3667" i="3"/>
  <c r="E3663" i="3"/>
  <c r="E3659" i="3"/>
  <c r="E3655" i="3"/>
  <c r="E3651" i="3"/>
  <c r="E3647" i="3"/>
  <c r="E3643" i="3"/>
  <c r="E3609" i="3"/>
  <c r="E3605" i="3"/>
  <c r="E3601" i="3"/>
  <c r="E3597" i="3"/>
  <c r="E3593" i="3"/>
  <c r="E3589" i="3"/>
  <c r="E3555" i="3"/>
  <c r="E3551" i="3"/>
  <c r="E3547" i="3"/>
  <c r="E3543" i="3"/>
  <c r="E3539" i="3"/>
  <c r="E3535" i="3"/>
  <c r="E3531" i="3"/>
  <c r="E3497" i="3"/>
  <c r="E3493" i="3"/>
  <c r="E3489" i="3"/>
  <c r="E3485" i="3"/>
  <c r="E3481" i="3"/>
  <c r="E3477" i="3"/>
  <c r="E3463" i="3"/>
  <c r="E3447" i="3"/>
  <c r="E3429" i="3"/>
  <c r="D3422" i="3"/>
  <c r="D3409" i="3"/>
  <c r="D3393" i="3"/>
  <c r="D3383" i="3"/>
  <c r="D3367" i="3"/>
  <c r="E3356" i="3"/>
  <c r="E3350" i="3"/>
  <c r="D3346" i="3"/>
  <c r="E3345" i="3"/>
  <c r="E3340" i="3"/>
  <c r="E3330" i="3"/>
  <c r="E3324" i="3"/>
  <c r="D3320" i="3"/>
  <c r="E3319" i="3"/>
  <c r="E3303" i="3"/>
  <c r="D3303" i="3"/>
  <c r="E3287" i="3"/>
  <c r="D3287" i="3"/>
  <c r="E3271" i="3"/>
  <c r="D3271" i="3"/>
  <c r="E3266" i="3"/>
  <c r="E3260" i="3"/>
  <c r="E3255" i="3"/>
  <c r="D3255" i="3"/>
  <c r="D3227" i="3"/>
  <c r="E3227" i="3"/>
  <c r="AH3227" i="3"/>
  <c r="E3225" i="3"/>
  <c r="D3225" i="3"/>
  <c r="AH3225" i="3"/>
  <c r="E3307" i="3"/>
  <c r="D3307" i="3"/>
  <c r="E3245" i="3"/>
  <c r="D3245" i="3"/>
  <c r="D3241" i="3"/>
  <c r="E3241" i="3"/>
  <c r="E3231" i="3"/>
  <c r="D3231" i="3"/>
  <c r="AH3231" i="3"/>
  <c r="E3678" i="3"/>
  <c r="E3674" i="3"/>
  <c r="E3670" i="3"/>
  <c r="E3636" i="3"/>
  <c r="E3632" i="3"/>
  <c r="E3628" i="3"/>
  <c r="E3624" i="3"/>
  <c r="E3620" i="3"/>
  <c r="E3616" i="3"/>
  <c r="E3582" i="3"/>
  <c r="E3578" i="3"/>
  <c r="E3574" i="3"/>
  <c r="E3570" i="3"/>
  <c r="E3566" i="3"/>
  <c r="E3562" i="3"/>
  <c r="E3558" i="3"/>
  <c r="E3524" i="3"/>
  <c r="E3520" i="3"/>
  <c r="E3516" i="3"/>
  <c r="E3512" i="3"/>
  <c r="E3508" i="3"/>
  <c r="E3504" i="3"/>
  <c r="E3470" i="3"/>
  <c r="E3466" i="3"/>
  <c r="AH3465" i="3"/>
  <c r="AH3464" i="3"/>
  <c r="AH3463" i="3"/>
  <c r="D3453" i="3"/>
  <c r="E3452" i="3"/>
  <c r="AH3449" i="3"/>
  <c r="AH3448" i="3"/>
  <c r="AH3447" i="3"/>
  <c r="D3440" i="3"/>
  <c r="E3434" i="3"/>
  <c r="AH3428" i="3"/>
  <c r="E3418" i="3"/>
  <c r="E3415" i="3"/>
  <c r="D3414" i="3"/>
  <c r="E3399" i="3"/>
  <c r="E3373" i="3"/>
  <c r="AH3355" i="3"/>
  <c r="AH3352" i="3"/>
  <c r="AH3351" i="3"/>
  <c r="AH3349" i="3"/>
  <c r="AH3339" i="3"/>
  <c r="AH3336" i="3"/>
  <c r="AH3335" i="3"/>
  <c r="AH3329" i="3"/>
  <c r="AH3326" i="3"/>
  <c r="AH3325" i="3"/>
  <c r="AH3323" i="3"/>
  <c r="D3314" i="3"/>
  <c r="AH3303" i="3"/>
  <c r="E3299" i="3"/>
  <c r="E3297" i="3"/>
  <c r="D3297" i="3"/>
  <c r="AH3288" i="3"/>
  <c r="AH3287" i="3"/>
  <c r="E3283" i="3"/>
  <c r="E3281" i="3"/>
  <c r="D3281" i="3"/>
  <c r="AH3271" i="3"/>
  <c r="AH3267" i="3"/>
  <c r="AH3266" i="3"/>
  <c r="E3261" i="3"/>
  <c r="D3261" i="3"/>
  <c r="AH3255" i="3"/>
  <c r="AH3251" i="3"/>
  <c r="AH3250" i="3"/>
  <c r="E3228" i="3"/>
  <c r="D3228" i="3"/>
  <c r="AH3228" i="3"/>
  <c r="D3226" i="3"/>
  <c r="E3226" i="3"/>
  <c r="D3465" i="3"/>
  <c r="E3464" i="3"/>
  <c r="AH3461" i="3"/>
  <c r="AH3460" i="3"/>
  <c r="AH3459" i="3"/>
  <c r="E3451" i="3"/>
  <c r="D3449" i="3"/>
  <c r="E3448" i="3"/>
  <c r="AH3432" i="3"/>
  <c r="D3428" i="3"/>
  <c r="E3412" i="3"/>
  <c r="E3396" i="3"/>
  <c r="E3386" i="3"/>
  <c r="E3370" i="3"/>
  <c r="D3355" i="3"/>
  <c r="E3354" i="3"/>
  <c r="D3352" i="3"/>
  <c r="E3351" i="3"/>
  <c r="D3349" i="3"/>
  <c r="AH3345" i="3"/>
  <c r="AH3344" i="3"/>
  <c r="D3339" i="3"/>
  <c r="E3338" i="3"/>
  <c r="D3336" i="3"/>
  <c r="E3335" i="3"/>
  <c r="D3329" i="3"/>
  <c r="E3328" i="3"/>
  <c r="D3326" i="3"/>
  <c r="E3325" i="3"/>
  <c r="D3323" i="3"/>
  <c r="AH3319" i="3"/>
  <c r="AH3318" i="3"/>
  <c r="E3313" i="3"/>
  <c r="D3313" i="3"/>
  <c r="AH3307" i="3"/>
  <c r="AH3306" i="3"/>
  <c r="D3306" i="3"/>
  <c r="D3288" i="3"/>
  <c r="AH3273" i="3"/>
  <c r="D3272" i="3"/>
  <c r="E3267" i="3"/>
  <c r="AH3257" i="3"/>
  <c r="D3256" i="3"/>
  <c r="E3251" i="3"/>
  <c r="AH3245" i="3"/>
  <c r="AH3241" i="3"/>
  <c r="D3232" i="3"/>
  <c r="E3232" i="3"/>
  <c r="D3238" i="3"/>
  <c r="E3237" i="3"/>
  <c r="D3218" i="3"/>
  <c r="E3217" i="3"/>
  <c r="D3215" i="3"/>
  <c r="D3205" i="3"/>
  <c r="E3204" i="3"/>
  <c r="D3202" i="3"/>
  <c r="E3201" i="3"/>
  <c r="D3199" i="3"/>
  <c r="AH3194" i="3"/>
  <c r="E3190" i="3"/>
  <c r="D3186" i="3"/>
  <c r="E3185" i="3"/>
  <c r="E3180" i="3"/>
  <c r="E3174" i="3"/>
  <c r="D3170" i="3"/>
  <c r="E3169" i="3"/>
  <c r="D3161" i="3"/>
  <c r="E3158" i="3"/>
  <c r="D3145" i="3"/>
  <c r="E3142" i="3"/>
  <c r="D3134" i="3"/>
  <c r="E3133" i="3"/>
  <c r="E3128" i="3"/>
  <c r="E3122" i="3"/>
  <c r="D3118" i="3"/>
  <c r="E3117" i="3"/>
  <c r="E3112" i="3"/>
  <c r="AH3098" i="3"/>
  <c r="D3094" i="3"/>
  <c r="AH3082" i="3"/>
  <c r="E3076" i="3"/>
  <c r="AH3068" i="3"/>
  <c r="E3060" i="3"/>
  <c r="E3056" i="3"/>
  <c r="E3207" i="3"/>
  <c r="AH3191" i="3"/>
  <c r="AH3189" i="3"/>
  <c r="AH3179" i="3"/>
  <c r="AH3176" i="3"/>
  <c r="AH3175" i="3"/>
  <c r="AH3173" i="3"/>
  <c r="AH3159" i="3"/>
  <c r="AH3158" i="3"/>
  <c r="AH3143" i="3"/>
  <c r="AH3142" i="3"/>
  <c r="AH3127" i="3"/>
  <c r="AH3124" i="3"/>
  <c r="AH3123" i="3"/>
  <c r="AH3121" i="3"/>
  <c r="AH3111" i="3"/>
  <c r="E3049" i="3"/>
  <c r="AH3049" i="3"/>
  <c r="E3045" i="3"/>
  <c r="AH3045" i="3"/>
  <c r="E3041" i="3"/>
  <c r="AH3041" i="3"/>
  <c r="E3037" i="3"/>
  <c r="AH3037" i="3"/>
  <c r="E3033" i="3"/>
  <c r="AH3033" i="3"/>
  <c r="E3029" i="3"/>
  <c r="AH3029" i="3"/>
  <c r="AH3022" i="3"/>
  <c r="E3022" i="3"/>
  <c r="AH3018" i="3"/>
  <c r="E3018" i="3"/>
  <c r="AH3014" i="3"/>
  <c r="E3014" i="3"/>
  <c r="AH3010" i="3"/>
  <c r="E3010" i="3"/>
  <c r="AH3006" i="3"/>
  <c r="E3006" i="3"/>
  <c r="AH3002" i="3"/>
  <c r="E3002" i="3"/>
  <c r="AH2998" i="3"/>
  <c r="AM2997" i="3"/>
  <c r="AH3237" i="3"/>
  <c r="AH3236" i="3"/>
  <c r="E3230" i="3"/>
  <c r="AH3218" i="3"/>
  <c r="AH3217" i="3"/>
  <c r="AH3215" i="3"/>
  <c r="AH3205" i="3"/>
  <c r="AH3202" i="3"/>
  <c r="AH3201" i="3"/>
  <c r="AH3199" i="3"/>
  <c r="E3191" i="3"/>
  <c r="D3189" i="3"/>
  <c r="AH3185" i="3"/>
  <c r="AH3184" i="3"/>
  <c r="D3179" i="3"/>
  <c r="E3178" i="3"/>
  <c r="D3176" i="3"/>
  <c r="E3175" i="3"/>
  <c r="D3173" i="3"/>
  <c r="AH3169" i="3"/>
  <c r="AH3168" i="3"/>
  <c r="D3160" i="3"/>
  <c r="E3159" i="3"/>
  <c r="D3144" i="3"/>
  <c r="E3143" i="3"/>
  <c r="AH3133" i="3"/>
  <c r="AH3132" i="3"/>
  <c r="D3127" i="3"/>
  <c r="E3126" i="3"/>
  <c r="D3124" i="3"/>
  <c r="E3123" i="3"/>
  <c r="D3121" i="3"/>
  <c r="AH3117" i="3"/>
  <c r="AH3116" i="3"/>
  <c r="D3111" i="3"/>
  <c r="AH3107" i="3"/>
  <c r="E3103" i="3"/>
  <c r="AH3091" i="3"/>
  <c r="E3087" i="3"/>
  <c r="AH3072" i="3"/>
  <c r="E3064" i="3"/>
  <c r="D3059" i="3"/>
  <c r="E3059" i="3"/>
  <c r="D3055" i="3"/>
  <c r="E3055" i="3"/>
  <c r="D3037" i="3"/>
  <c r="AM3025" i="3"/>
  <c r="D3048" i="3"/>
  <c r="AH3048" i="3"/>
  <c r="D3044" i="3"/>
  <c r="AH3044" i="3"/>
  <c r="D3040" i="3"/>
  <c r="AH3040" i="3"/>
  <c r="D3036" i="3"/>
  <c r="AH3036" i="3"/>
  <c r="D3032" i="3"/>
  <c r="AH3032" i="3"/>
  <c r="D3028" i="3"/>
  <c r="AH3028" i="3"/>
  <c r="D3014" i="3"/>
  <c r="D2998" i="3"/>
  <c r="E2967" i="3"/>
  <c r="E2963" i="3"/>
  <c r="E2959" i="3"/>
  <c r="E2955" i="3"/>
  <c r="E2951" i="3"/>
  <c r="E2947" i="3"/>
  <c r="E2943" i="3"/>
  <c r="AH2937" i="3"/>
  <c r="AH2936" i="3"/>
  <c r="AH2933" i="3"/>
  <c r="AH2932" i="3"/>
  <c r="AH2929" i="3"/>
  <c r="AH2928" i="3"/>
  <c r="AH2925" i="3"/>
  <c r="AH2924" i="3"/>
  <c r="AH2921" i="3"/>
  <c r="AH2920" i="3"/>
  <c r="AH2917" i="3"/>
  <c r="AH2916" i="3"/>
  <c r="E2910" i="3"/>
  <c r="E2906" i="3"/>
  <c r="E2902" i="3"/>
  <c r="E2898" i="3"/>
  <c r="E2894" i="3"/>
  <c r="E2890" i="3"/>
  <c r="AM2885" i="3"/>
  <c r="E2864" i="3"/>
  <c r="AH2860" i="3"/>
  <c r="AH2859" i="3"/>
  <c r="D2849" i="3"/>
  <c r="E2848" i="3"/>
  <c r="AH2845" i="3"/>
  <c r="AH2840" i="3"/>
  <c r="D2825" i="3"/>
  <c r="D2821" i="3"/>
  <c r="D2817" i="3"/>
  <c r="D2813" i="3"/>
  <c r="D2809" i="3"/>
  <c r="D2805" i="3"/>
  <c r="AH2826" i="3"/>
  <c r="E2826" i="3"/>
  <c r="AH2822" i="3"/>
  <c r="E2822" i="3"/>
  <c r="AH2818" i="3"/>
  <c r="E2818" i="3"/>
  <c r="AH2814" i="3"/>
  <c r="E2814" i="3"/>
  <c r="AH2810" i="3"/>
  <c r="E2810" i="3"/>
  <c r="AH2806" i="3"/>
  <c r="E2806" i="3"/>
  <c r="AH2802" i="3"/>
  <c r="AM2801" i="3"/>
  <c r="D2798" i="3"/>
  <c r="D2771" i="3"/>
  <c r="E2771" i="3"/>
  <c r="D2767" i="3"/>
  <c r="E2767" i="3"/>
  <c r="D2763" i="3"/>
  <c r="E2763" i="3"/>
  <c r="D2759" i="3"/>
  <c r="E2759" i="3"/>
  <c r="D2755" i="3"/>
  <c r="E2755" i="3"/>
  <c r="D2751" i="3"/>
  <c r="E2751" i="3"/>
  <c r="AM2745" i="3"/>
  <c r="D2747" i="3"/>
  <c r="E2747" i="3"/>
  <c r="AH2889" i="3"/>
  <c r="AH2863" i="3"/>
  <c r="E2859" i="3"/>
  <c r="AH2852" i="3"/>
  <c r="D2845" i="3"/>
  <c r="E2844" i="3"/>
  <c r="AH2841" i="3"/>
  <c r="AH2794" i="3"/>
  <c r="E2837" i="3"/>
  <c r="AH2837" i="3"/>
  <c r="E2833" i="3"/>
  <c r="AH2833" i="3"/>
  <c r="AH2790" i="3"/>
  <c r="E2790" i="3"/>
  <c r="AH2786" i="3"/>
  <c r="E2786" i="3"/>
  <c r="AH2782" i="3"/>
  <c r="E2782" i="3"/>
  <c r="AH2778" i="3"/>
  <c r="E2778" i="3"/>
  <c r="AH2774" i="3"/>
  <c r="AM2773" i="3"/>
  <c r="D2742" i="3"/>
  <c r="AH2742" i="3"/>
  <c r="D2738" i="3"/>
  <c r="AH2738" i="3"/>
  <c r="D2734" i="3"/>
  <c r="AH2734" i="3"/>
  <c r="D2730" i="3"/>
  <c r="AH2730" i="3"/>
  <c r="D2726" i="3"/>
  <c r="AH2726" i="3"/>
  <c r="E2722" i="3"/>
  <c r="D2722" i="3"/>
  <c r="AH2722" i="3"/>
  <c r="AM2717" i="3"/>
  <c r="D2718" i="3"/>
  <c r="D2684" i="3"/>
  <c r="AH2684" i="3"/>
  <c r="D2680" i="3"/>
  <c r="AH2680" i="3"/>
  <c r="D2676" i="3"/>
  <c r="E2676" i="3"/>
  <c r="AH2676" i="3"/>
  <c r="D2672" i="3"/>
  <c r="E2672" i="3"/>
  <c r="D2668" i="3"/>
  <c r="AH2668" i="3"/>
  <c r="E2668" i="3"/>
  <c r="D2664" i="3"/>
  <c r="E2664" i="3"/>
  <c r="AH2658" i="3"/>
  <c r="D2658" i="3"/>
  <c r="E2658" i="3"/>
  <c r="AH2654" i="3"/>
  <c r="E2654" i="3"/>
  <c r="D2654" i="3"/>
  <c r="AH2650" i="3"/>
  <c r="E2650" i="3"/>
  <c r="D2650" i="3"/>
  <c r="AH2646" i="3"/>
  <c r="E2646" i="3"/>
  <c r="D2646" i="3"/>
  <c r="AH2642" i="3"/>
  <c r="D2642" i="3"/>
  <c r="E2642" i="3"/>
  <c r="AH2638" i="3"/>
  <c r="E2638" i="3"/>
  <c r="D2638" i="3"/>
  <c r="AH2634" i="3"/>
  <c r="AM2633" i="3"/>
  <c r="D2634" i="3"/>
  <c r="D2631" i="3"/>
  <c r="E2631" i="3"/>
  <c r="E2627" i="3"/>
  <c r="AH2627" i="3"/>
  <c r="AH2623" i="3"/>
  <c r="D2623" i="3"/>
  <c r="E2619" i="3"/>
  <c r="D2619" i="3"/>
  <c r="AH2619" i="3"/>
  <c r="D2615" i="3"/>
  <c r="E2615" i="3"/>
  <c r="AH2615" i="3"/>
  <c r="D2836" i="3"/>
  <c r="AH2836" i="3"/>
  <c r="D2832" i="3"/>
  <c r="AH2832" i="3"/>
  <c r="E2738" i="3"/>
  <c r="AH2718" i="3"/>
  <c r="AH2712" i="3"/>
  <c r="E2712" i="3"/>
  <c r="D2708" i="3"/>
  <c r="AH2708" i="3"/>
  <c r="E2708" i="3"/>
  <c r="D2704" i="3"/>
  <c r="AH2704" i="3"/>
  <c r="E2700" i="3"/>
  <c r="D2700" i="3"/>
  <c r="AH2696" i="3"/>
  <c r="E2696" i="3"/>
  <c r="D2692" i="3"/>
  <c r="AH2692" i="3"/>
  <c r="E2692" i="3"/>
  <c r="E2684" i="3"/>
  <c r="D2603" i="3"/>
  <c r="AH2603" i="3"/>
  <c r="E2603" i="3"/>
  <c r="D2599" i="3"/>
  <c r="E2599" i="3"/>
  <c r="AH2599" i="3"/>
  <c r="D2595" i="3"/>
  <c r="E2595" i="3"/>
  <c r="AH2595" i="3"/>
  <c r="D2591" i="3"/>
  <c r="E2591" i="3"/>
  <c r="AH2591" i="3"/>
  <c r="D2587" i="3"/>
  <c r="AH2587" i="3"/>
  <c r="E2587" i="3"/>
  <c r="D2583" i="3"/>
  <c r="E2583" i="3"/>
  <c r="AH2583" i="3"/>
  <c r="D2579" i="3"/>
  <c r="E2579" i="3"/>
  <c r="AH2579" i="3"/>
  <c r="E2571" i="3"/>
  <c r="D2571" i="3"/>
  <c r="E2567" i="3"/>
  <c r="D2567" i="3"/>
  <c r="AH2567" i="3"/>
  <c r="E2563" i="3"/>
  <c r="AH2563" i="3"/>
  <c r="E2555" i="3"/>
  <c r="D2555" i="3"/>
  <c r="E2551" i="3"/>
  <c r="D2551" i="3"/>
  <c r="AH2551" i="3"/>
  <c r="E2511" i="3"/>
  <c r="AH2511" i="3"/>
  <c r="D2507" i="3"/>
  <c r="E2507" i="3"/>
  <c r="E2495" i="3"/>
  <c r="AH2495" i="3"/>
  <c r="E2683" i="3"/>
  <c r="D2683" i="3"/>
  <c r="E2679" i="3"/>
  <c r="AH2679" i="3"/>
  <c r="E2667" i="3"/>
  <c r="D2667" i="3"/>
  <c r="E2663" i="3"/>
  <c r="AH2663" i="3"/>
  <c r="AH2657" i="3"/>
  <c r="D2657" i="3"/>
  <c r="AH2653" i="3"/>
  <c r="E2653" i="3"/>
  <c r="AH2641" i="3"/>
  <c r="D2641" i="3"/>
  <c r="AH2637" i="3"/>
  <c r="E2637" i="3"/>
  <c r="D2602" i="3"/>
  <c r="AH2602" i="3"/>
  <c r="AH2590" i="3"/>
  <c r="E2590" i="3"/>
  <c r="D2586" i="3"/>
  <c r="AH2586" i="3"/>
  <c r="AM2577" i="3"/>
  <c r="D2575" i="3"/>
  <c r="D2563" i="3"/>
  <c r="D2559" i="3"/>
  <c r="E2533" i="3"/>
  <c r="AH2546" i="3"/>
  <c r="D2546" i="3"/>
  <c r="AH2542" i="3"/>
  <c r="D2542" i="3"/>
  <c r="AH2538" i="3"/>
  <c r="E2538" i="3"/>
  <c r="AH2534" i="3"/>
  <c r="E2534" i="3"/>
  <c r="AH2530" i="3"/>
  <c r="D2530" i="3"/>
  <c r="AH2526" i="3"/>
  <c r="D2526" i="3"/>
  <c r="AH2522" i="3"/>
  <c r="AM2521" i="3"/>
  <c r="AH2519" i="3"/>
  <c r="AH2503" i="3"/>
  <c r="D2448" i="3"/>
  <c r="E2448" i="3"/>
  <c r="AH2448" i="3"/>
  <c r="E2733" i="3"/>
  <c r="E2729" i="3"/>
  <c r="E2725" i="3"/>
  <c r="AH2545" i="3"/>
  <c r="D2545" i="3"/>
  <c r="AH2541" i="3"/>
  <c r="D2541" i="3"/>
  <c r="E2541" i="3"/>
  <c r="AH2537" i="3"/>
  <c r="E2537" i="3"/>
  <c r="AH2529" i="3"/>
  <c r="D2529" i="3"/>
  <c r="AH2525" i="3"/>
  <c r="D2525" i="3"/>
  <c r="E2525" i="3"/>
  <c r="E2519" i="3"/>
  <c r="E2503" i="3"/>
  <c r="AH2480" i="3"/>
  <c r="E2480" i="3"/>
  <c r="D2476" i="3"/>
  <c r="AH2476" i="3"/>
  <c r="D2468" i="3"/>
  <c r="E2468" i="3"/>
  <c r="AH2711" i="3"/>
  <c r="E2707" i="3"/>
  <c r="AH2695" i="3"/>
  <c r="E2691" i="3"/>
  <c r="AH2675" i="3"/>
  <c r="AH2671" i="3"/>
  <c r="AH2667" i="3"/>
  <c r="D2663" i="3"/>
  <c r="E2677" i="3"/>
  <c r="D2677" i="3"/>
  <c r="E2673" i="3"/>
  <c r="AH2673" i="3"/>
  <c r="E2649" i="3"/>
  <c r="D2621" i="3"/>
  <c r="AH2617" i="3"/>
  <c r="E2609" i="3"/>
  <c r="AH2594" i="3"/>
  <c r="AM2549" i="3"/>
  <c r="D2572" i="3"/>
  <c r="AH2572" i="3"/>
  <c r="D2568" i="3"/>
  <c r="AH2568" i="3"/>
  <c r="D2564" i="3"/>
  <c r="E2564" i="3"/>
  <c r="D2560" i="3"/>
  <c r="E2560" i="3"/>
  <c r="D2556" i="3"/>
  <c r="AH2556" i="3"/>
  <c r="D2552" i="3"/>
  <c r="AH2552" i="3"/>
  <c r="D2534" i="3"/>
  <c r="E2530" i="3"/>
  <c r="E2515" i="3"/>
  <c r="E2499" i="3"/>
  <c r="D2484" i="3"/>
  <c r="AH2472" i="3"/>
  <c r="D2491" i="3"/>
  <c r="E2491" i="3"/>
  <c r="AH2491" i="3"/>
  <c r="D2487" i="3"/>
  <c r="E2487" i="3"/>
  <c r="D2449" i="3"/>
  <c r="E2449" i="3"/>
  <c r="AH2449" i="3"/>
  <c r="E2467" i="3"/>
  <c r="D2467" i="3"/>
  <c r="AM2493" i="3"/>
  <c r="AH2475" i="3"/>
  <c r="E2471" i="3"/>
  <c r="AH2461" i="3"/>
  <c r="AH2460" i="3"/>
  <c r="AH2445" i="3"/>
  <c r="AH2444" i="3"/>
  <c r="AM2605" i="3"/>
  <c r="E2540" i="3"/>
  <c r="D2532" i="3"/>
  <c r="E2524" i="3"/>
  <c r="AH2514" i="3"/>
  <c r="D2510" i="3"/>
  <c r="AH2498" i="3"/>
  <c r="D2494" i="3"/>
  <c r="AH2479" i="3"/>
  <c r="E2475" i="3"/>
  <c r="AH2467" i="3"/>
  <c r="E2461" i="3"/>
  <c r="AH2457" i="3"/>
  <c r="AH2456" i="3"/>
  <c r="E2445" i="3"/>
  <c r="AH2441" i="3"/>
  <c r="AH2440" i="3"/>
  <c r="P91" i="2"/>
  <c r="P104" i="2"/>
  <c r="P98" i="2"/>
  <c r="P90" i="2"/>
  <c r="P132" i="2"/>
  <c r="E200" i="3"/>
  <c r="E206" i="3"/>
  <c r="E210" i="3"/>
  <c r="E217" i="3"/>
  <c r="E198" i="3"/>
  <c r="E204" i="3"/>
  <c r="E207" i="3"/>
  <c r="E211" i="3"/>
  <c r="E212" i="3"/>
  <c r="E213" i="3"/>
  <c r="E218" i="3"/>
  <c r="E219" i="3"/>
  <c r="E201" i="3"/>
  <c r="E202" i="3"/>
  <c r="E208" i="3"/>
  <c r="E214" i="3"/>
  <c r="E215" i="3"/>
  <c r="E220" i="3"/>
  <c r="E221" i="3"/>
  <c r="E199" i="3"/>
  <c r="E203" i="3"/>
  <c r="E205" i="3"/>
  <c r="E209" i="3"/>
  <c r="E216" i="3"/>
  <c r="E222" i="3"/>
  <c r="E223" i="3"/>
  <c r="E290" i="3"/>
  <c r="E291" i="3"/>
  <c r="E292" i="3"/>
  <c r="E293" i="3"/>
  <c r="E294" i="3"/>
  <c r="E295" i="3"/>
  <c r="E296" i="3"/>
  <c r="E297" i="3"/>
  <c r="E298" i="3"/>
  <c r="E299" i="3"/>
  <c r="E300" i="3"/>
  <c r="P70" i="2"/>
  <c r="P77" i="2"/>
  <c r="P82" i="2"/>
  <c r="P86" i="2"/>
  <c r="L54" i="2"/>
  <c r="M5" i="2"/>
  <c r="M8" i="2"/>
  <c r="M22" i="2"/>
  <c r="M53" i="2"/>
  <c r="M57" i="2"/>
  <c r="P78" i="2"/>
  <c r="M44" i="2"/>
  <c r="M52" i="2"/>
  <c r="L38" i="2"/>
  <c r="L65" i="2"/>
  <c r="L10" i="2"/>
  <c r="L56" i="2"/>
  <c r="L34" i="2"/>
  <c r="M67" i="2"/>
  <c r="M26" i="2"/>
  <c r="L59" i="2"/>
  <c r="L12" i="2"/>
  <c r="M37" i="2"/>
  <c r="L48" i="2"/>
  <c r="M39" i="2"/>
  <c r="L29" i="2"/>
  <c r="M47" i="2"/>
  <c r="M12" i="2"/>
  <c r="M56" i="2"/>
  <c r="M19" i="2"/>
  <c r="P80" i="2"/>
  <c r="AD2353" i="3"/>
  <c r="E1513" i="3"/>
  <c r="P81" i="2"/>
  <c r="M76" i="3"/>
  <c r="P95" i="2"/>
  <c r="Y1513" i="3"/>
  <c r="P123" i="2"/>
  <c r="P84" i="2"/>
  <c r="E2353" i="3"/>
  <c r="AI1513" i="3"/>
  <c r="P83" i="2"/>
  <c r="Y1177" i="3"/>
  <c r="P85" i="2"/>
  <c r="AH813" i="3"/>
  <c r="AA477" i="3"/>
  <c r="O2353" i="3"/>
  <c r="AD1513" i="3"/>
  <c r="P74" i="2"/>
  <c r="P113" i="2"/>
  <c r="P107" i="2"/>
  <c r="AB1513" i="3"/>
  <c r="P110" i="2"/>
  <c r="AJ2185" i="3"/>
  <c r="AE2157" i="3"/>
  <c r="AB1009" i="3"/>
  <c r="AJ1121" i="3"/>
  <c r="W2353" i="3"/>
  <c r="F2353" i="3"/>
  <c r="AH1513" i="3"/>
  <c r="P127" i="2"/>
  <c r="AG1961" i="3"/>
  <c r="AA2353" i="3"/>
  <c r="P119" i="2"/>
  <c r="P75" i="2"/>
  <c r="AJ2129" i="3"/>
  <c r="AE2101" i="3"/>
  <c r="AJ841" i="3"/>
  <c r="R2353" i="3"/>
  <c r="AB2913" i="3"/>
  <c r="P109" i="2"/>
  <c r="P76" i="2"/>
  <c r="AH2353" i="3"/>
  <c r="Z2353" i="3"/>
  <c r="T2353" i="3"/>
  <c r="AM2353" i="3"/>
  <c r="AB2353" i="3"/>
  <c r="P100" i="2"/>
  <c r="AF1513" i="3"/>
  <c r="AL2353" i="3"/>
  <c r="Q2353" i="3"/>
  <c r="K2353" i="3"/>
  <c r="AK2297" i="3"/>
  <c r="AG2017" i="3"/>
  <c r="AH1961" i="3"/>
  <c r="X2353" i="3"/>
  <c r="P2353" i="3"/>
  <c r="P87" i="2"/>
  <c r="P133" i="2"/>
  <c r="AH2101" i="3"/>
  <c r="AF2353" i="3"/>
  <c r="AA1513" i="3"/>
  <c r="AG2353" i="3"/>
  <c r="P79" i="2"/>
  <c r="AE2353" i="3"/>
  <c r="U2353" i="3"/>
  <c r="M2353" i="3"/>
  <c r="R1513" i="3"/>
  <c r="T53" i="3"/>
  <c r="P89" i="2"/>
  <c r="AA2241" i="3"/>
  <c r="O1373" i="3"/>
  <c r="Q48" i="3"/>
  <c r="AF1065" i="3"/>
  <c r="AL1009" i="3"/>
  <c r="AC813" i="3"/>
  <c r="AE1849" i="3"/>
  <c r="AH1541" i="3"/>
  <c r="E1457" i="3"/>
  <c r="AF841" i="3"/>
  <c r="AK365" i="3"/>
  <c r="AI2353" i="3"/>
  <c r="AE1513" i="3"/>
  <c r="AK2353" i="3"/>
  <c r="AJ2353" i="3"/>
  <c r="P126" i="2"/>
  <c r="AC2353" i="3"/>
  <c r="P114" i="2"/>
  <c r="AH1373" i="3"/>
  <c r="AE1009" i="3"/>
  <c r="AG1849" i="3"/>
  <c r="AK1821" i="3"/>
  <c r="AA1289" i="3"/>
  <c r="AF897" i="3"/>
  <c r="V2353" i="3"/>
  <c r="N2353" i="3"/>
  <c r="P71" i="2"/>
  <c r="P94" i="2"/>
  <c r="AI2101" i="3"/>
  <c r="W1037" i="3"/>
  <c r="Y36" i="3"/>
  <c r="AH1345" i="3"/>
  <c r="AA897" i="3"/>
  <c r="AF729" i="3"/>
  <c r="AE533" i="3"/>
  <c r="AG1513" i="3"/>
  <c r="P134" i="2"/>
  <c r="P128" i="2"/>
  <c r="AL1513" i="3"/>
  <c r="AC1513" i="3"/>
  <c r="Y2353" i="3"/>
  <c r="P97" i="2"/>
  <c r="AB2325" i="3"/>
  <c r="S2353" i="3"/>
  <c r="AI2269" i="3"/>
  <c r="AL2157" i="3"/>
  <c r="AJ1401" i="3"/>
  <c r="AE1401" i="3"/>
  <c r="AA1709" i="3"/>
  <c r="AJ533" i="3"/>
  <c r="AC1597" i="3"/>
  <c r="AG2213" i="3"/>
  <c r="AI2213" i="3"/>
  <c r="AH2213" i="3"/>
  <c r="AA2213" i="3"/>
  <c r="AA2325" i="3"/>
  <c r="AI2297" i="3"/>
  <c r="U2241" i="3"/>
  <c r="AI2185" i="3"/>
  <c r="AI2129" i="3"/>
  <c r="AJ1737" i="3"/>
  <c r="E1737" i="3"/>
  <c r="E1709" i="3"/>
  <c r="AA1681" i="3"/>
  <c r="AF1401" i="3"/>
  <c r="U1373" i="3"/>
  <c r="W48" i="3"/>
  <c r="AG1065" i="3"/>
  <c r="E1065" i="3"/>
  <c r="AB1037" i="3"/>
  <c r="AG1009" i="3"/>
  <c r="E981" i="3"/>
  <c r="K953" i="3"/>
  <c r="J33" i="3"/>
  <c r="AK813" i="3"/>
  <c r="AM2017" i="3"/>
  <c r="I71" i="3"/>
  <c r="AE1989" i="3"/>
  <c r="AG1989" i="3"/>
  <c r="Y1961" i="3"/>
  <c r="AJ1849" i="3"/>
  <c r="AD1821" i="3"/>
  <c r="AJ1541" i="3"/>
  <c r="AB1457" i="3"/>
  <c r="Y1429" i="3"/>
  <c r="AG1345" i="3"/>
  <c r="E1289" i="3"/>
  <c r="AI1261" i="3"/>
  <c r="AG1205" i="3"/>
  <c r="AH1177" i="3"/>
  <c r="E1149" i="3"/>
  <c r="AL1149" i="3"/>
  <c r="Y1149" i="3"/>
  <c r="AC1121" i="3"/>
  <c r="AH897" i="3"/>
  <c r="AE841" i="3"/>
  <c r="AK785" i="3"/>
  <c r="AD673" i="3"/>
  <c r="AC225" i="3"/>
  <c r="AH729" i="3"/>
  <c r="Y589" i="3"/>
  <c r="AD561" i="3"/>
  <c r="AH533" i="3"/>
  <c r="AL477" i="3"/>
  <c r="AK169" i="3"/>
  <c r="AF1961" i="3"/>
  <c r="P73" i="2"/>
  <c r="AE1597" i="3"/>
  <c r="AK2101" i="3"/>
  <c r="AH1457" i="3"/>
  <c r="AJ1065" i="3"/>
  <c r="Y1849" i="3"/>
  <c r="R1401" i="3"/>
  <c r="T49" i="3"/>
  <c r="R2157" i="3"/>
  <c r="AI1625" i="3"/>
  <c r="AG841" i="3"/>
  <c r="AK841" i="3"/>
  <c r="W785" i="3"/>
  <c r="Y27" i="3"/>
  <c r="AJ2241" i="3"/>
  <c r="O2157" i="3"/>
  <c r="S1373" i="3"/>
  <c r="U48" i="3"/>
  <c r="U1009" i="3"/>
  <c r="W35" i="3"/>
  <c r="AH981" i="3"/>
  <c r="AI813" i="3"/>
  <c r="E1345" i="3"/>
  <c r="AJ1261" i="3"/>
  <c r="E1121" i="3"/>
  <c r="AI897" i="3"/>
  <c r="AB673" i="3"/>
  <c r="AC561" i="3"/>
  <c r="AB421" i="3"/>
  <c r="AL365" i="3"/>
  <c r="AF225" i="3"/>
  <c r="P108" i="2"/>
  <c r="AK1597" i="3"/>
  <c r="P112" i="2"/>
  <c r="P105" i="2"/>
  <c r="Q785" i="3"/>
  <c r="S27" i="3"/>
  <c r="AL2381" i="3"/>
  <c r="AD1121" i="3"/>
  <c r="P111" i="2"/>
  <c r="P117" i="2"/>
  <c r="Y1793" i="3"/>
  <c r="P106" i="2"/>
  <c r="AK1009" i="3"/>
  <c r="AK897" i="3"/>
  <c r="P96" i="2"/>
  <c r="P125" i="2"/>
  <c r="AF1009" i="3"/>
  <c r="AD2241" i="3"/>
  <c r="P115" i="2"/>
  <c r="M101" i="3"/>
  <c r="AC2017" i="3"/>
  <c r="AK477" i="3"/>
  <c r="AK1429" i="3"/>
  <c r="AL1681" i="3"/>
  <c r="AH1261" i="3"/>
  <c r="Y2185" i="3"/>
  <c r="AF1541" i="3"/>
  <c r="AI673" i="3"/>
  <c r="AI1401" i="3"/>
  <c r="Y1037" i="3"/>
  <c r="AJ1457" i="3"/>
  <c r="AH561" i="3"/>
  <c r="AH2185" i="3"/>
  <c r="AI1373" i="3"/>
  <c r="AK673" i="3"/>
  <c r="Y1737" i="3"/>
  <c r="Z1177" i="3"/>
  <c r="AB41" i="3"/>
  <c r="K2913" i="3"/>
  <c r="L2913" i="3"/>
  <c r="AJ561" i="3"/>
  <c r="AB981" i="3"/>
  <c r="AD1597" i="3"/>
  <c r="AF2297" i="3"/>
  <c r="AJ1037" i="3"/>
  <c r="Y2129" i="3"/>
  <c r="AD2185" i="3"/>
  <c r="AD2381" i="3"/>
  <c r="AA1149" i="3"/>
  <c r="AB1429" i="3"/>
  <c r="Y1289" i="3"/>
  <c r="AC2241" i="3"/>
  <c r="AC2325" i="3"/>
  <c r="U2297" i="3"/>
  <c r="AJ2297" i="3"/>
  <c r="X2185" i="3"/>
  <c r="AC2157" i="3"/>
  <c r="W2157" i="3"/>
  <c r="P2157" i="3"/>
  <c r="U2157" i="3"/>
  <c r="Y2157" i="3"/>
  <c r="Z2157" i="3"/>
  <c r="X1597" i="3"/>
  <c r="Z56" i="3"/>
  <c r="Z1597" i="3"/>
  <c r="AB56" i="3"/>
  <c r="AF1597" i="3"/>
  <c r="Q1597" i="3"/>
  <c r="S56" i="3"/>
  <c r="O1401" i="3"/>
  <c r="Q49" i="3"/>
  <c r="Q1401" i="3"/>
  <c r="S49" i="3"/>
  <c r="AB1401" i="3"/>
  <c r="AG1401" i="3"/>
  <c r="AM1401" i="3"/>
  <c r="I49" i="3"/>
  <c r="AK1373" i="3"/>
  <c r="Y1373" i="3"/>
  <c r="AG1373" i="3"/>
  <c r="AG1037" i="3"/>
  <c r="AK1037" i="3"/>
  <c r="AC1037" i="3"/>
  <c r="S1009" i="3"/>
  <c r="U35" i="3"/>
  <c r="AD2017" i="3"/>
  <c r="AK2017" i="3"/>
  <c r="AA2017" i="3"/>
  <c r="AB2017" i="3"/>
  <c r="AJ2017" i="3"/>
  <c r="Q1961" i="3"/>
  <c r="S69" i="3"/>
  <c r="AA1961" i="3"/>
  <c r="AI1961" i="3"/>
  <c r="AL1961" i="3"/>
  <c r="E1961" i="3"/>
  <c r="AA1849" i="3"/>
  <c r="E1849" i="3"/>
  <c r="O1821" i="3"/>
  <c r="Q64" i="3"/>
  <c r="K1821" i="3"/>
  <c r="J64" i="3"/>
  <c r="AH1625" i="3"/>
  <c r="AF1625" i="3"/>
  <c r="AF1289" i="3"/>
  <c r="AB1289" i="3"/>
  <c r="AC1261" i="3"/>
  <c r="AF1261" i="3"/>
  <c r="E1261" i="3"/>
  <c r="E1177" i="3"/>
  <c r="S1121" i="3"/>
  <c r="U39" i="3"/>
  <c r="Q1121" i="3"/>
  <c r="S39" i="3"/>
  <c r="AL1121" i="3"/>
  <c r="AH1121" i="3"/>
  <c r="AI1121" i="3"/>
  <c r="R897" i="3"/>
  <c r="T31" i="3"/>
  <c r="AB897" i="3"/>
  <c r="AD897" i="3"/>
  <c r="AL785" i="3"/>
  <c r="V785" i="3"/>
  <c r="X27" i="3"/>
  <c r="AC785" i="3"/>
  <c r="AE785" i="3"/>
  <c r="U785" i="3"/>
  <c r="W27" i="3"/>
  <c r="AH785" i="3"/>
  <c r="AM673" i="3"/>
  <c r="I23" i="3"/>
  <c r="AF673" i="3"/>
  <c r="Y673" i="3"/>
  <c r="U393" i="3"/>
  <c r="W13" i="3"/>
  <c r="AF393" i="3"/>
  <c r="Y393" i="3"/>
  <c r="M393" i="3"/>
  <c r="O13" i="3"/>
  <c r="AA393" i="3"/>
  <c r="AI729" i="3"/>
  <c r="Z729" i="3"/>
  <c r="AB25" i="3"/>
  <c r="AD729" i="3"/>
  <c r="AA729" i="3"/>
  <c r="AK729" i="3"/>
  <c r="AI561" i="3"/>
  <c r="AK533" i="3"/>
  <c r="AH421" i="3"/>
  <c r="E421" i="3"/>
  <c r="AC421" i="3"/>
  <c r="AJ421" i="3"/>
  <c r="F365" i="3"/>
  <c r="L12" i="3"/>
  <c r="AA2913" i="3"/>
  <c r="M533" i="3"/>
  <c r="O18" i="3"/>
  <c r="AL1625" i="3"/>
  <c r="P93" i="2"/>
  <c r="AI2017" i="3"/>
  <c r="Y2213" i="3"/>
  <c r="Y2017" i="3"/>
  <c r="AK2213" i="3"/>
  <c r="E673" i="3"/>
  <c r="W2241" i="3"/>
  <c r="K2241" i="3"/>
  <c r="E2017" i="3"/>
  <c r="AE813" i="3"/>
  <c r="AI2381" i="3"/>
  <c r="E1597" i="3"/>
  <c r="M1261" i="3"/>
  <c r="O44" i="3"/>
  <c r="P135" i="2"/>
  <c r="M2969" i="3"/>
  <c r="T2913" i="3"/>
  <c r="AA1737" i="3"/>
  <c r="AG1737" i="3"/>
  <c r="K1709" i="3"/>
  <c r="J60" i="3"/>
  <c r="Q1709" i="3"/>
  <c r="S60" i="3"/>
  <c r="AJ1709" i="3"/>
  <c r="S953" i="3"/>
  <c r="U33" i="3"/>
  <c r="AC953" i="3"/>
  <c r="AI953" i="3"/>
  <c r="Y953" i="3"/>
  <c r="E953" i="3"/>
  <c r="AD1989" i="3"/>
  <c r="AJ1989" i="3"/>
  <c r="AK1541" i="3"/>
  <c r="V1457" i="3"/>
  <c r="X51" i="3"/>
  <c r="AA1457" i="3"/>
  <c r="AC1457" i="3"/>
  <c r="AJ1149" i="3"/>
  <c r="Z169" i="3"/>
  <c r="AB5" i="3"/>
  <c r="AC169" i="3"/>
  <c r="E169" i="3"/>
  <c r="AI169" i="3"/>
  <c r="AF169" i="3"/>
  <c r="Y1989" i="3"/>
  <c r="AB1261" i="3"/>
  <c r="AC1541" i="3"/>
  <c r="AI785" i="3"/>
  <c r="AE1737" i="3"/>
  <c r="AE2913" i="3"/>
  <c r="AD1737" i="3"/>
  <c r="AD1849" i="3"/>
  <c r="AK2241" i="3"/>
  <c r="AD1709" i="3"/>
  <c r="AK1989" i="3"/>
  <c r="N1373" i="3"/>
  <c r="P48" i="3"/>
  <c r="Z1709" i="3"/>
  <c r="AB60" i="3"/>
  <c r="E2213" i="3"/>
  <c r="AF2213" i="3"/>
  <c r="F2129" i="3"/>
  <c r="AD2129" i="3"/>
  <c r="O2129" i="3"/>
  <c r="AC2101" i="3"/>
  <c r="AL2101" i="3"/>
  <c r="AA2101" i="3"/>
  <c r="AF1681" i="3"/>
  <c r="E1681" i="3"/>
  <c r="AE1681" i="3"/>
  <c r="AC1681" i="3"/>
  <c r="AE1065" i="3"/>
  <c r="AE981" i="3"/>
  <c r="AD981" i="3"/>
  <c r="AA813" i="3"/>
  <c r="Z1429" i="3"/>
  <c r="AB50" i="3"/>
  <c r="F1429" i="3"/>
  <c r="L50" i="3"/>
  <c r="Q1429" i="3"/>
  <c r="S50" i="3"/>
  <c r="T1429" i="3"/>
  <c r="V50" i="3"/>
  <c r="AG1429" i="3"/>
  <c r="E1429" i="3"/>
  <c r="AI1429" i="3"/>
  <c r="Y1345" i="3"/>
  <c r="AJ1205" i="3"/>
  <c r="AH1205" i="3"/>
  <c r="AH841" i="3"/>
  <c r="AB225" i="3"/>
  <c r="Y225" i="3"/>
  <c r="AE225" i="3"/>
  <c r="AK225" i="3"/>
  <c r="AH225" i="3"/>
  <c r="AF589" i="3"/>
  <c r="AG589" i="3"/>
  <c r="AE477" i="3"/>
  <c r="Y2409" i="3"/>
  <c r="E2325" i="3"/>
  <c r="AA2269" i="3"/>
  <c r="AB2073" i="3"/>
  <c r="AJ1793" i="3"/>
  <c r="T337" i="3"/>
  <c r="V11" i="3"/>
  <c r="P92" i="2"/>
  <c r="P124" i="2"/>
  <c r="AB2269" i="3"/>
  <c r="E2241" i="3"/>
  <c r="O2241" i="3"/>
  <c r="AH2241" i="3"/>
  <c r="U981" i="3"/>
  <c r="W34" i="3"/>
  <c r="AC981" i="3"/>
  <c r="AK981" i="3"/>
  <c r="Y813" i="3"/>
  <c r="N1345" i="3"/>
  <c r="P47" i="3"/>
  <c r="T1345" i="3"/>
  <c r="V47" i="3"/>
  <c r="AD1205" i="3"/>
  <c r="AK1205" i="3"/>
  <c r="AK589" i="3"/>
  <c r="AA589" i="3"/>
  <c r="V477" i="3"/>
  <c r="X16" i="3"/>
  <c r="AH477" i="3"/>
  <c r="Y477" i="3"/>
  <c r="AC477" i="3"/>
  <c r="T1513" i="3"/>
  <c r="V53" i="3"/>
  <c r="X1513" i="3"/>
  <c r="Z53" i="3"/>
  <c r="P1513" i="3"/>
  <c r="R53" i="3"/>
  <c r="Z1513" i="3"/>
  <c r="AB53" i="3"/>
  <c r="P118" i="2"/>
  <c r="AI841" i="3"/>
  <c r="AI365" i="3"/>
  <c r="AF1821" i="3"/>
  <c r="P116" i="2"/>
  <c r="R2969" i="3"/>
  <c r="P139" i="2"/>
  <c r="N2969" i="3"/>
  <c r="AJ1821" i="3"/>
  <c r="AE2073" i="3"/>
  <c r="P1793" i="3"/>
  <c r="R63" i="3"/>
  <c r="L58" i="2"/>
  <c r="L45" i="2"/>
  <c r="AL1177" i="3"/>
  <c r="AD2409" i="3"/>
  <c r="AG2969" i="3"/>
  <c r="AK337" i="3"/>
  <c r="AI1177" i="3"/>
  <c r="AK2073" i="3"/>
  <c r="R365" i="3"/>
  <c r="T12" i="3"/>
  <c r="W1177" i="3"/>
  <c r="Y41" i="3"/>
  <c r="E2073" i="3"/>
  <c r="Y337" i="3"/>
  <c r="M6" i="2"/>
  <c r="N2913" i="3"/>
  <c r="AG2913" i="3"/>
  <c r="Z2913" i="3"/>
  <c r="AL2913" i="3"/>
  <c r="S2913" i="3"/>
  <c r="X2913" i="3"/>
  <c r="Q2913" i="3"/>
  <c r="F2913" i="3"/>
  <c r="W2913" i="3"/>
  <c r="AF2913" i="3"/>
  <c r="AI2913" i="3"/>
  <c r="U2913" i="3"/>
  <c r="AJ2913" i="3"/>
  <c r="O2913" i="3"/>
  <c r="P2381" i="3"/>
  <c r="K2381" i="3"/>
  <c r="V2381" i="3"/>
  <c r="Z2381" i="3"/>
  <c r="Q2381" i="3"/>
  <c r="AM2381" i="3"/>
  <c r="T2381" i="3"/>
  <c r="N2381" i="3"/>
  <c r="U2381" i="3"/>
  <c r="M2381" i="3"/>
  <c r="R2381" i="3"/>
  <c r="X2381" i="3"/>
  <c r="W2381" i="3"/>
  <c r="S2381" i="3"/>
  <c r="O2381" i="3"/>
  <c r="F2381" i="3"/>
  <c r="Y2381" i="3"/>
  <c r="AA2381" i="3"/>
  <c r="AF2381" i="3"/>
  <c r="E2381" i="3"/>
  <c r="AJ2381" i="3"/>
  <c r="AK2381" i="3"/>
  <c r="AE2381" i="3"/>
  <c r="AC2381" i="3"/>
  <c r="S1793" i="3"/>
  <c r="U63" i="3"/>
  <c r="R1793" i="3"/>
  <c r="T63" i="3"/>
  <c r="Z1793" i="3"/>
  <c r="AB63" i="3"/>
  <c r="K1793" i="3"/>
  <c r="J63" i="3"/>
  <c r="O1793" i="3"/>
  <c r="Q63" i="3"/>
  <c r="W1793" i="3"/>
  <c r="Y63" i="3"/>
  <c r="AD1793" i="3"/>
  <c r="Q1793" i="3"/>
  <c r="S63" i="3"/>
  <c r="U1793" i="3"/>
  <c r="W63" i="3"/>
  <c r="T1793" i="3"/>
  <c r="V63" i="3"/>
  <c r="F1793" i="3"/>
  <c r="L63" i="3"/>
  <c r="AM1793" i="3"/>
  <c r="N1793" i="3"/>
  <c r="P63" i="3"/>
  <c r="X1793" i="3"/>
  <c r="Z63" i="3"/>
  <c r="M1793" i="3"/>
  <c r="O63" i="3"/>
  <c r="AE1793" i="3"/>
  <c r="V1793" i="3"/>
  <c r="X63" i="3"/>
  <c r="E1793" i="3"/>
  <c r="AF1793" i="3"/>
  <c r="AC1793" i="3"/>
  <c r="AH1793" i="3"/>
  <c r="AB1793" i="3"/>
  <c r="AG2269" i="3"/>
  <c r="AG2381" i="3"/>
  <c r="AC841" i="3"/>
  <c r="AK2269" i="3"/>
  <c r="AK1793" i="3"/>
  <c r="AD2269" i="3"/>
  <c r="AK2409" i="3"/>
  <c r="U2969" i="3"/>
  <c r="E337" i="3"/>
  <c r="AL337" i="3"/>
  <c r="E1821" i="3"/>
  <c r="X337" i="3"/>
  <c r="Z11" i="3"/>
  <c r="P2213" i="3"/>
  <c r="R2213" i="3"/>
  <c r="O2213" i="3"/>
  <c r="T2213" i="3"/>
  <c r="AB2213" i="3"/>
  <c r="X2213" i="3"/>
  <c r="AM2213" i="3"/>
  <c r="AE2213" i="3"/>
  <c r="AC2213" i="3"/>
  <c r="AL2213" i="3"/>
  <c r="AD2213" i="3"/>
  <c r="AJ2213" i="3"/>
  <c r="P2297" i="3"/>
  <c r="R2297" i="3"/>
  <c r="V2297" i="3"/>
  <c r="Y2297" i="3"/>
  <c r="T2297" i="3"/>
  <c r="K2297" i="3"/>
  <c r="AM2297" i="3"/>
  <c r="N2297" i="3"/>
  <c r="W2297" i="3"/>
  <c r="S2297" i="3"/>
  <c r="Z2297" i="3"/>
  <c r="AC2297" i="3"/>
  <c r="M2297" i="3"/>
  <c r="F2297" i="3"/>
  <c r="AH2297" i="3"/>
  <c r="AA2297" i="3"/>
  <c r="O2297" i="3"/>
  <c r="AB2297" i="3"/>
  <c r="AG2297" i="3"/>
  <c r="X2297" i="3"/>
  <c r="AL2297" i="3"/>
  <c r="Q2297" i="3"/>
  <c r="AD2297" i="3"/>
  <c r="AE2297" i="3"/>
  <c r="E2297" i="3"/>
  <c r="Z2241" i="3"/>
  <c r="F2241" i="3"/>
  <c r="Q2241" i="3"/>
  <c r="X2241" i="3"/>
  <c r="R2241" i="3"/>
  <c r="N2241" i="3"/>
  <c r="S2241" i="3"/>
  <c r="V2241" i="3"/>
  <c r="AM2241" i="3"/>
  <c r="AE2241" i="3"/>
  <c r="AG2241" i="3"/>
  <c r="P2241" i="3"/>
  <c r="AL2241" i="3"/>
  <c r="M2241" i="3"/>
  <c r="T2241" i="3"/>
  <c r="AI2241" i="3"/>
  <c r="AF2241" i="3"/>
  <c r="AB2241" i="3"/>
  <c r="Y2241" i="3"/>
  <c r="O2185" i="3"/>
  <c r="Q2185" i="3"/>
  <c r="V2185" i="3"/>
  <c r="P2185" i="3"/>
  <c r="Z2185" i="3"/>
  <c r="F2185" i="3"/>
  <c r="AC2185" i="3"/>
  <c r="W2185" i="3"/>
  <c r="U2185" i="3"/>
  <c r="K2185" i="3"/>
  <c r="T2185" i="3"/>
  <c r="S2185" i="3"/>
  <c r="AF2185" i="3"/>
  <c r="AE2185" i="3"/>
  <c r="AM2185" i="3"/>
  <c r="AL2185" i="3"/>
  <c r="AK2185" i="3"/>
  <c r="M2185" i="3"/>
  <c r="R2185" i="3"/>
  <c r="AB2185" i="3"/>
  <c r="AG2185" i="3"/>
  <c r="E2185" i="3"/>
  <c r="N2185" i="3"/>
  <c r="AA2185" i="3"/>
  <c r="Q2157" i="3"/>
  <c r="N2157" i="3"/>
  <c r="AM2157" i="3"/>
  <c r="AA2157" i="3"/>
  <c r="AJ2157" i="3"/>
  <c r="M2157" i="3"/>
  <c r="K2157" i="3"/>
  <c r="F2157" i="3"/>
  <c r="T2157" i="3"/>
  <c r="E2157" i="3"/>
  <c r="AH2157" i="3"/>
  <c r="X2157" i="3"/>
  <c r="AB2157" i="3"/>
  <c r="V2157" i="3"/>
  <c r="AK2157" i="3"/>
  <c r="AD2157" i="3"/>
  <c r="AG2157" i="3"/>
  <c r="AF2157" i="3"/>
  <c r="S2157" i="3"/>
  <c r="AI2157" i="3"/>
  <c r="X2129" i="3"/>
  <c r="U2129" i="3"/>
  <c r="Z2129" i="3"/>
  <c r="AM2129" i="3"/>
  <c r="P2129" i="3"/>
  <c r="S2129" i="3"/>
  <c r="R2129" i="3"/>
  <c r="W2129" i="3"/>
  <c r="M2129" i="3"/>
  <c r="E2129" i="3"/>
  <c r="N2129" i="3"/>
  <c r="Q2129" i="3"/>
  <c r="K2129" i="3"/>
  <c r="V2129" i="3"/>
  <c r="AB2129" i="3"/>
  <c r="AL2129" i="3"/>
  <c r="T2129" i="3"/>
  <c r="AA2129" i="3"/>
  <c r="AF2129" i="3"/>
  <c r="AH2129" i="3"/>
  <c r="AG2129" i="3"/>
  <c r="AC2129" i="3"/>
  <c r="AK2129" i="3"/>
  <c r="AE2129" i="3"/>
  <c r="AB2101" i="3"/>
  <c r="AG2101" i="3"/>
  <c r="AF2101" i="3"/>
  <c r="AJ2101" i="3"/>
  <c r="Y2101" i="3"/>
  <c r="E2101" i="3"/>
  <c r="AD2101" i="3"/>
  <c r="Y2073" i="3"/>
  <c r="AA2073" i="3"/>
  <c r="AD2073" i="3"/>
  <c r="AC2073" i="3"/>
  <c r="AJ2073" i="3"/>
  <c r="AG2073" i="3"/>
  <c r="AF2073" i="3"/>
  <c r="AI2073" i="3"/>
  <c r="K1737" i="3"/>
  <c r="J61" i="3"/>
  <c r="W1737" i="3"/>
  <c r="Y61" i="3"/>
  <c r="O1737" i="3"/>
  <c r="Q61" i="3"/>
  <c r="V1737" i="3"/>
  <c r="X61" i="3"/>
  <c r="N1737" i="3"/>
  <c r="P61" i="3"/>
  <c r="U1737" i="3"/>
  <c r="W61" i="3"/>
  <c r="M1737" i="3"/>
  <c r="O61" i="3"/>
  <c r="Q1737" i="3"/>
  <c r="S61" i="3"/>
  <c r="S1737" i="3"/>
  <c r="U61" i="3"/>
  <c r="AF1737" i="3"/>
  <c r="R1737" i="3"/>
  <c r="T61" i="3"/>
  <c r="T1737" i="3"/>
  <c r="V61" i="3"/>
  <c r="F1737" i="3"/>
  <c r="L61" i="3"/>
  <c r="AM1737" i="3"/>
  <c r="I61" i="3"/>
  <c r="Z1737" i="3"/>
  <c r="AB61" i="3"/>
  <c r="AC1737" i="3"/>
  <c r="AH1737" i="3"/>
  <c r="AB1737" i="3"/>
  <c r="X1737" i="3"/>
  <c r="Z61" i="3"/>
  <c r="P1737" i="3"/>
  <c r="R61" i="3"/>
  <c r="AK1737" i="3"/>
  <c r="AL1737" i="3"/>
  <c r="AI1737" i="3"/>
  <c r="AE1709" i="3"/>
  <c r="V1709" i="3"/>
  <c r="X60" i="3"/>
  <c r="O1709" i="3"/>
  <c r="Q60" i="3"/>
  <c r="X1709" i="3"/>
  <c r="Z60" i="3"/>
  <c r="W1709" i="3"/>
  <c r="Y60" i="3"/>
  <c r="P1709" i="3"/>
  <c r="R60" i="3"/>
  <c r="T1709" i="3"/>
  <c r="V60" i="3"/>
  <c r="M1709" i="3"/>
  <c r="O60" i="3"/>
  <c r="U1709" i="3"/>
  <c r="W60" i="3"/>
  <c r="S1709" i="3"/>
  <c r="U60" i="3"/>
  <c r="AB1709" i="3"/>
  <c r="F1709" i="3"/>
  <c r="L60" i="3"/>
  <c r="R1709" i="3"/>
  <c r="T60" i="3"/>
  <c r="AM1709" i="3"/>
  <c r="I60" i="3"/>
  <c r="AG1709" i="3"/>
  <c r="Y1709" i="3"/>
  <c r="AH1709" i="3"/>
  <c r="AK1709" i="3"/>
  <c r="AC1709" i="3"/>
  <c r="N1709" i="3"/>
  <c r="P60" i="3"/>
  <c r="AI1709" i="3"/>
  <c r="AL1709" i="3"/>
  <c r="AF1709" i="3"/>
  <c r="AM1681" i="3"/>
  <c r="I59" i="3"/>
  <c r="X1681" i="3"/>
  <c r="Z59" i="3"/>
  <c r="S1681" i="3"/>
  <c r="U59" i="3"/>
  <c r="R1681" i="3"/>
  <c r="T59" i="3"/>
  <c r="Q1681" i="3"/>
  <c r="S59" i="3"/>
  <c r="K1681" i="3"/>
  <c r="J59" i="3"/>
  <c r="M1681" i="3"/>
  <c r="O59" i="3"/>
  <c r="V1681" i="3"/>
  <c r="X59" i="3"/>
  <c r="U1681" i="3"/>
  <c r="W59" i="3"/>
  <c r="N1681" i="3"/>
  <c r="P59" i="3"/>
  <c r="T1681" i="3"/>
  <c r="V59" i="3"/>
  <c r="F1681" i="3"/>
  <c r="L59" i="3"/>
  <c r="W1681" i="3"/>
  <c r="Y59" i="3"/>
  <c r="O1681" i="3"/>
  <c r="Q59" i="3"/>
  <c r="AD1681" i="3"/>
  <c r="Y1681" i="3"/>
  <c r="Z1681" i="3"/>
  <c r="AB59" i="3"/>
  <c r="AK1681" i="3"/>
  <c r="P1681" i="3"/>
  <c r="R59" i="3"/>
  <c r="AI1681" i="3"/>
  <c r="AH1681" i="3"/>
  <c r="AG1681" i="3"/>
  <c r="AB1681" i="3"/>
  <c r="AJ1681" i="3"/>
  <c r="S1597" i="3"/>
  <c r="U56" i="3"/>
  <c r="T1597" i="3"/>
  <c r="V56" i="3"/>
  <c r="N1597" i="3"/>
  <c r="P56" i="3"/>
  <c r="K1597" i="3"/>
  <c r="J56" i="3"/>
  <c r="V1597" i="3"/>
  <c r="X56" i="3"/>
  <c r="M1597" i="3"/>
  <c r="O56" i="3"/>
  <c r="F1597" i="3"/>
  <c r="L56" i="3"/>
  <c r="U1597" i="3"/>
  <c r="W56" i="3"/>
  <c r="P1597" i="3"/>
  <c r="R56" i="3"/>
  <c r="AM1597" i="3"/>
  <c r="I56" i="3"/>
  <c r="R1597" i="3"/>
  <c r="T56" i="3"/>
  <c r="AI1597" i="3"/>
  <c r="AH1597" i="3"/>
  <c r="AJ1597" i="3"/>
  <c r="O1597" i="3"/>
  <c r="Q56" i="3"/>
  <c r="AL1597" i="3"/>
  <c r="Y1597" i="3"/>
  <c r="AA1597" i="3"/>
  <c r="AG1597" i="3"/>
  <c r="AB1597" i="3"/>
  <c r="W1597" i="3"/>
  <c r="Y56" i="3"/>
  <c r="Z1401" i="3"/>
  <c r="AB49" i="3"/>
  <c r="X1401" i="3"/>
  <c r="Z49" i="3"/>
  <c r="V1401" i="3"/>
  <c r="X49" i="3"/>
  <c r="F1401" i="3"/>
  <c r="L49" i="3"/>
  <c r="Y1401" i="3"/>
  <c r="AH1401" i="3"/>
  <c r="S1401" i="3"/>
  <c r="U49" i="3"/>
  <c r="U1401" i="3"/>
  <c r="W49" i="3"/>
  <c r="W1401" i="3"/>
  <c r="Y49" i="3"/>
  <c r="K1401" i="3"/>
  <c r="J49" i="3"/>
  <c r="AD1401" i="3"/>
  <c r="AL1401" i="3"/>
  <c r="P1401" i="3"/>
  <c r="R49" i="3"/>
  <c r="AA1401" i="3"/>
  <c r="AC1401" i="3"/>
  <c r="E1401" i="3"/>
  <c r="N1401" i="3"/>
  <c r="P49" i="3"/>
  <c r="T1401" i="3"/>
  <c r="V49" i="3"/>
  <c r="M1401" i="3"/>
  <c r="O49" i="3"/>
  <c r="AK1401" i="3"/>
  <c r="K1373" i="3"/>
  <c r="J48" i="3"/>
  <c r="X1373" i="3"/>
  <c r="Z48" i="3"/>
  <c r="F1373" i="3"/>
  <c r="L48" i="3"/>
  <c r="R1373" i="3"/>
  <c r="T48" i="3"/>
  <c r="AE1373" i="3"/>
  <c r="P1373" i="3"/>
  <c r="R48" i="3"/>
  <c r="W1373" i="3"/>
  <c r="Y48" i="3"/>
  <c r="T1373" i="3"/>
  <c r="V48" i="3"/>
  <c r="AM1373" i="3"/>
  <c r="AF1373" i="3"/>
  <c r="AB1373" i="3"/>
  <c r="AC1373" i="3"/>
  <c r="V1373" i="3"/>
  <c r="X48" i="3"/>
  <c r="M1373" i="3"/>
  <c r="O48" i="3"/>
  <c r="AL1373" i="3"/>
  <c r="Z1373" i="3"/>
  <c r="AB48" i="3"/>
  <c r="Q1373" i="3"/>
  <c r="S48" i="3"/>
  <c r="E1373" i="3"/>
  <c r="AD1373" i="3"/>
  <c r="AA1373" i="3"/>
  <c r="AJ1373" i="3"/>
  <c r="Q1065" i="3"/>
  <c r="S37" i="3"/>
  <c r="V1065" i="3"/>
  <c r="X37" i="3"/>
  <c r="S1065" i="3"/>
  <c r="U37" i="3"/>
  <c r="T1065" i="3"/>
  <c r="V37" i="3"/>
  <c r="U1065" i="3"/>
  <c r="W37" i="3"/>
  <c r="Z1065" i="3"/>
  <c r="AB37" i="3"/>
  <c r="W1065" i="3"/>
  <c r="Y37" i="3"/>
  <c r="X1065" i="3"/>
  <c r="Z37" i="3"/>
  <c r="K1065" i="3"/>
  <c r="J37" i="3"/>
  <c r="P1065" i="3"/>
  <c r="R37" i="3"/>
  <c r="AB1065" i="3"/>
  <c r="R1065" i="3"/>
  <c r="T37" i="3"/>
  <c r="AM1065" i="3"/>
  <c r="I37" i="3"/>
  <c r="N1065" i="3"/>
  <c r="P37" i="3"/>
  <c r="AH1065" i="3"/>
  <c r="Y1065" i="3"/>
  <c r="O1065" i="3"/>
  <c r="Q37" i="3"/>
  <c r="AC1065" i="3"/>
  <c r="F1065" i="3"/>
  <c r="L37" i="3"/>
  <c r="AK1065" i="3"/>
  <c r="AD1065" i="3"/>
  <c r="M1065" i="3"/>
  <c r="O37" i="3"/>
  <c r="AL1065" i="3"/>
  <c r="AI1065" i="3"/>
  <c r="AA1065" i="3"/>
  <c r="N1037" i="3"/>
  <c r="P36" i="3"/>
  <c r="AH1037" i="3"/>
  <c r="K1037" i="3"/>
  <c r="J36" i="3"/>
  <c r="F1037" i="3"/>
  <c r="L36" i="3"/>
  <c r="AF1037" i="3"/>
  <c r="R1037" i="3"/>
  <c r="T36" i="3"/>
  <c r="AM1037" i="3"/>
  <c r="I36" i="3"/>
  <c r="AL1037" i="3"/>
  <c r="S1037" i="3"/>
  <c r="U36" i="3"/>
  <c r="T1037" i="3"/>
  <c r="V36" i="3"/>
  <c r="Q1037" i="3"/>
  <c r="S36" i="3"/>
  <c r="M1037" i="3"/>
  <c r="O36" i="3"/>
  <c r="O1037" i="3"/>
  <c r="Q36" i="3"/>
  <c r="X1037" i="3"/>
  <c r="Z36" i="3"/>
  <c r="U1037" i="3"/>
  <c r="W36" i="3"/>
  <c r="AD1037" i="3"/>
  <c r="AA1037" i="3"/>
  <c r="AE1037" i="3"/>
  <c r="V1037" i="3"/>
  <c r="X36" i="3"/>
  <c r="E1037" i="3"/>
  <c r="Z1037" i="3"/>
  <c r="AB36" i="3"/>
  <c r="P1037" i="3"/>
  <c r="R36" i="3"/>
  <c r="AI1037" i="3"/>
  <c r="AJ1009" i="3"/>
  <c r="X1009" i="3"/>
  <c r="Z35" i="3"/>
  <c r="W1009" i="3"/>
  <c r="Y35" i="3"/>
  <c r="Q1009" i="3"/>
  <c r="S35" i="3"/>
  <c r="M1009" i="3"/>
  <c r="O35" i="3"/>
  <c r="K1009" i="3"/>
  <c r="J35" i="3"/>
  <c r="R1009" i="3"/>
  <c r="T35" i="3"/>
  <c r="F1009" i="3"/>
  <c r="L35" i="3"/>
  <c r="P1009" i="3"/>
  <c r="R35" i="3"/>
  <c r="AI1009" i="3"/>
  <c r="AD1009" i="3"/>
  <c r="Y1009" i="3"/>
  <c r="N1009" i="3"/>
  <c r="P35" i="3"/>
  <c r="V1009" i="3"/>
  <c r="X35" i="3"/>
  <c r="T1009" i="3"/>
  <c r="V35" i="3"/>
  <c r="AC1009" i="3"/>
  <c r="AH1009" i="3"/>
  <c r="Z1009" i="3"/>
  <c r="AB35" i="3"/>
  <c r="AM1009" i="3"/>
  <c r="I35" i="3"/>
  <c r="E1009" i="3"/>
  <c r="O1009" i="3"/>
  <c r="Q35" i="3"/>
  <c r="AA1009" i="3"/>
  <c r="K981" i="3"/>
  <c r="J34" i="3"/>
  <c r="AM981" i="3"/>
  <c r="I34" i="3"/>
  <c r="S981" i="3"/>
  <c r="U34" i="3"/>
  <c r="V981" i="3"/>
  <c r="X34" i="3"/>
  <c r="X981" i="3"/>
  <c r="Z34" i="3"/>
  <c r="Q981" i="3"/>
  <c r="S34" i="3"/>
  <c r="W981" i="3"/>
  <c r="Y34" i="3"/>
  <c r="F981" i="3"/>
  <c r="L34" i="3"/>
  <c r="Z981" i="3"/>
  <c r="AB34" i="3"/>
  <c r="N981" i="3"/>
  <c r="P34" i="3"/>
  <c r="AF981" i="3"/>
  <c r="AJ981" i="3"/>
  <c r="AG981" i="3"/>
  <c r="AA981" i="3"/>
  <c r="T981" i="3"/>
  <c r="V34" i="3"/>
  <c r="Y981" i="3"/>
  <c r="AL981" i="3"/>
  <c r="AI981" i="3"/>
  <c r="P953" i="3"/>
  <c r="R33" i="3"/>
  <c r="X953" i="3"/>
  <c r="Z33" i="3"/>
  <c r="O953" i="3"/>
  <c r="Q33" i="3"/>
  <c r="W953" i="3"/>
  <c r="Y33" i="3"/>
  <c r="AH953" i="3"/>
  <c r="Z953" i="3"/>
  <c r="AB33" i="3"/>
  <c r="R953" i="3"/>
  <c r="T33" i="3"/>
  <c r="Q953" i="3"/>
  <c r="S33" i="3"/>
  <c r="F953" i="3"/>
  <c r="L33" i="3"/>
  <c r="N953" i="3"/>
  <c r="P33" i="3"/>
  <c r="M953" i="3"/>
  <c r="O33" i="3"/>
  <c r="AG953" i="3"/>
  <c r="AL953" i="3"/>
  <c r="U953" i="3"/>
  <c r="W33" i="3"/>
  <c r="T953" i="3"/>
  <c r="V33" i="3"/>
  <c r="AA953" i="3"/>
  <c r="AK953" i="3"/>
  <c r="AE953" i="3"/>
  <c r="AD953" i="3"/>
  <c r="AF953" i="3"/>
  <c r="AM953" i="3"/>
  <c r="I33" i="3"/>
  <c r="AB953" i="3"/>
  <c r="AJ953" i="3"/>
  <c r="V953" i="3"/>
  <c r="X33" i="3"/>
  <c r="V813" i="3"/>
  <c r="X28" i="3"/>
  <c r="F813" i="3"/>
  <c r="L28" i="3"/>
  <c r="K813" i="3"/>
  <c r="J28" i="3"/>
  <c r="N813" i="3"/>
  <c r="P28" i="3"/>
  <c r="W813" i="3"/>
  <c r="Y28" i="3"/>
  <c r="R813" i="3"/>
  <c r="T28" i="3"/>
  <c r="M813" i="3"/>
  <c r="O28" i="3"/>
  <c r="Z813" i="3"/>
  <c r="AB28" i="3"/>
  <c r="O813" i="3"/>
  <c r="Q28" i="3"/>
  <c r="T813" i="3"/>
  <c r="V28" i="3"/>
  <c r="S813" i="3"/>
  <c r="U28" i="3"/>
  <c r="U813" i="3"/>
  <c r="W28" i="3"/>
  <c r="Q813" i="3"/>
  <c r="S28" i="3"/>
  <c r="AG813" i="3"/>
  <c r="AD813" i="3"/>
  <c r="AM813" i="3"/>
  <c r="I28" i="3"/>
  <c r="P813" i="3"/>
  <c r="R28" i="3"/>
  <c r="E813" i="3"/>
  <c r="AJ813" i="3"/>
  <c r="AB813" i="3"/>
  <c r="AF813" i="3"/>
  <c r="AL813" i="3"/>
  <c r="U2017" i="3"/>
  <c r="W71" i="3"/>
  <c r="S2017" i="3"/>
  <c r="U71" i="3"/>
  <c r="N2017" i="3"/>
  <c r="P71" i="3"/>
  <c r="T2017" i="3"/>
  <c r="V71" i="3"/>
  <c r="Z2017" i="3"/>
  <c r="AB71" i="3"/>
  <c r="X2017" i="3"/>
  <c r="Z71" i="3"/>
  <c r="O2017" i="3"/>
  <c r="Q71" i="3"/>
  <c r="K2017" i="3"/>
  <c r="J71" i="3"/>
  <c r="V2017" i="3"/>
  <c r="X71" i="3"/>
  <c r="M2017" i="3"/>
  <c r="O71" i="3"/>
  <c r="R2017" i="3"/>
  <c r="T71" i="3"/>
  <c r="Q2017" i="3"/>
  <c r="S71" i="3"/>
  <c r="P2017" i="3"/>
  <c r="R71" i="3"/>
  <c r="W2017" i="3"/>
  <c r="Y71" i="3"/>
  <c r="AH2017" i="3"/>
  <c r="AF2017" i="3"/>
  <c r="AE2017" i="3"/>
  <c r="AL2017" i="3"/>
  <c r="F2017" i="3"/>
  <c r="L71" i="3"/>
  <c r="P1989" i="3"/>
  <c r="R70" i="3"/>
  <c r="X1989" i="3"/>
  <c r="Z70" i="3"/>
  <c r="F1989" i="3"/>
  <c r="L70" i="3"/>
  <c r="M1989" i="3"/>
  <c r="O70" i="3"/>
  <c r="V1989" i="3"/>
  <c r="X70" i="3"/>
  <c r="K1989" i="3"/>
  <c r="J70" i="3"/>
  <c r="R1989" i="3"/>
  <c r="T70" i="3"/>
  <c r="O1989" i="3"/>
  <c r="Q70" i="3"/>
  <c r="Z1989" i="3"/>
  <c r="AB70" i="3"/>
  <c r="N1989" i="3"/>
  <c r="P70" i="3"/>
  <c r="T1989" i="3"/>
  <c r="V70" i="3"/>
  <c r="AA1989" i="3"/>
  <c r="AI1989" i="3"/>
  <c r="W1989" i="3"/>
  <c r="Y70" i="3"/>
  <c r="Q1989" i="3"/>
  <c r="S70" i="3"/>
  <c r="U1989" i="3"/>
  <c r="W70" i="3"/>
  <c r="E1989" i="3"/>
  <c r="AL1989" i="3"/>
  <c r="AH1989" i="3"/>
  <c r="AC1989" i="3"/>
  <c r="AM1989" i="3"/>
  <c r="I70" i="3"/>
  <c r="S1989" i="3"/>
  <c r="U70" i="3"/>
  <c r="AB1989" i="3"/>
  <c r="AF1989" i="3"/>
  <c r="R1961" i="3"/>
  <c r="T69" i="3"/>
  <c r="Z1961" i="3"/>
  <c r="AB69" i="3"/>
  <c r="W1961" i="3"/>
  <c r="Y69" i="3"/>
  <c r="M1961" i="3"/>
  <c r="O69" i="3"/>
  <c r="AJ1961" i="3"/>
  <c r="P1961" i="3"/>
  <c r="R69" i="3"/>
  <c r="X1961" i="3"/>
  <c r="Z69" i="3"/>
  <c r="F1961" i="3"/>
  <c r="L69" i="3"/>
  <c r="U1961" i="3"/>
  <c r="W69" i="3"/>
  <c r="S1961" i="3"/>
  <c r="U69" i="3"/>
  <c r="AD1961" i="3"/>
  <c r="V1961" i="3"/>
  <c r="X69" i="3"/>
  <c r="AM1961" i="3"/>
  <c r="I69" i="3"/>
  <c r="K1961" i="3"/>
  <c r="J69" i="3"/>
  <c r="N1961" i="3"/>
  <c r="P69" i="3"/>
  <c r="T1961" i="3"/>
  <c r="V69" i="3"/>
  <c r="O1961" i="3"/>
  <c r="Q69" i="3"/>
  <c r="AB1961" i="3"/>
  <c r="AC1961" i="3"/>
  <c r="AE1961" i="3"/>
  <c r="AK1961" i="3"/>
  <c r="N1849" i="3"/>
  <c r="P65" i="3"/>
  <c r="K1849" i="3"/>
  <c r="J65" i="3"/>
  <c r="F1849" i="3"/>
  <c r="L65" i="3"/>
  <c r="M1849" i="3"/>
  <c r="O65" i="3"/>
  <c r="V1849" i="3"/>
  <c r="X65" i="3"/>
  <c r="S1849" i="3"/>
  <c r="U65" i="3"/>
  <c r="T1849" i="3"/>
  <c r="V65" i="3"/>
  <c r="U1849" i="3"/>
  <c r="W65" i="3"/>
  <c r="AM1849" i="3"/>
  <c r="I65" i="3"/>
  <c r="R1849" i="3"/>
  <c r="T65" i="3"/>
  <c r="W1849" i="3"/>
  <c r="Y65" i="3"/>
  <c r="Q1849" i="3"/>
  <c r="S65" i="3"/>
  <c r="O1849" i="3"/>
  <c r="Q65" i="3"/>
  <c r="X1849" i="3"/>
  <c r="Z65" i="3"/>
  <c r="AF1849" i="3"/>
  <c r="AK1849" i="3"/>
  <c r="AL1849" i="3"/>
  <c r="AI1849" i="3"/>
  <c r="AB1849" i="3"/>
  <c r="AC1849" i="3"/>
  <c r="P1849" i="3"/>
  <c r="R65" i="3"/>
  <c r="AH1849" i="3"/>
  <c r="T1821" i="3"/>
  <c r="V64" i="3"/>
  <c r="Z1821" i="3"/>
  <c r="AB64" i="3"/>
  <c r="Q1821" i="3"/>
  <c r="S64" i="3"/>
  <c r="N1821" i="3"/>
  <c r="P64" i="3"/>
  <c r="R1821" i="3"/>
  <c r="T64" i="3"/>
  <c r="W1821" i="3"/>
  <c r="Y64" i="3"/>
  <c r="AL1821" i="3"/>
  <c r="X1821" i="3"/>
  <c r="Z64" i="3"/>
  <c r="P1821" i="3"/>
  <c r="R64" i="3"/>
  <c r="AI1821" i="3"/>
  <c r="AC1821" i="3"/>
  <c r="AA1821" i="3"/>
  <c r="AM1821" i="3"/>
  <c r="I64" i="3"/>
  <c r="V1821" i="3"/>
  <c r="X64" i="3"/>
  <c r="F1821" i="3"/>
  <c r="L64" i="3"/>
  <c r="M1821" i="3"/>
  <c r="O64" i="3"/>
  <c r="AH1821" i="3"/>
  <c r="AG1821" i="3"/>
  <c r="S1821" i="3"/>
  <c r="U64" i="3"/>
  <c r="AE1821" i="3"/>
  <c r="U1821" i="3"/>
  <c r="W64" i="3"/>
  <c r="Y1821" i="3"/>
  <c r="R1625" i="3"/>
  <c r="T57" i="3"/>
  <c r="Z1625" i="3"/>
  <c r="AB57" i="3"/>
  <c r="Q1625" i="3"/>
  <c r="S57" i="3"/>
  <c r="AM1625" i="3"/>
  <c r="I57" i="3"/>
  <c r="N1625" i="3"/>
  <c r="P57" i="3"/>
  <c r="V1625" i="3"/>
  <c r="X57" i="3"/>
  <c r="M1625" i="3"/>
  <c r="O57" i="3"/>
  <c r="U1625" i="3"/>
  <c r="W57" i="3"/>
  <c r="W1625" i="3"/>
  <c r="Y57" i="3"/>
  <c r="F1625" i="3"/>
  <c r="L57" i="3"/>
  <c r="X1625" i="3"/>
  <c r="Z57" i="3"/>
  <c r="S1625" i="3"/>
  <c r="U57" i="3"/>
  <c r="P1625" i="3"/>
  <c r="R57" i="3"/>
  <c r="K1625" i="3"/>
  <c r="J57" i="3"/>
  <c r="O1625" i="3"/>
  <c r="Q57" i="3"/>
  <c r="AG1625" i="3"/>
  <c r="AE1625" i="3"/>
  <c r="T1625" i="3"/>
  <c r="V57" i="3"/>
  <c r="AB1625" i="3"/>
  <c r="AK1625" i="3"/>
  <c r="Y1625" i="3"/>
  <c r="AA1625" i="3"/>
  <c r="AC1625" i="3"/>
  <c r="AJ1625" i="3"/>
  <c r="AD1625" i="3"/>
  <c r="E1625" i="3"/>
  <c r="X1541" i="3"/>
  <c r="Z54" i="3"/>
  <c r="K1541" i="3"/>
  <c r="J54" i="3"/>
  <c r="AM1541" i="3"/>
  <c r="I54" i="3"/>
  <c r="W1541" i="3"/>
  <c r="Y54" i="3"/>
  <c r="N1541" i="3"/>
  <c r="P54" i="3"/>
  <c r="O1541" i="3"/>
  <c r="Q54" i="3"/>
  <c r="V1541" i="3"/>
  <c r="X54" i="3"/>
  <c r="E1541" i="3"/>
  <c r="AD1541" i="3"/>
  <c r="Y1541" i="3"/>
  <c r="AI1541" i="3"/>
  <c r="AG1541" i="3"/>
  <c r="AE1541" i="3"/>
  <c r="S1541" i="3"/>
  <c r="U54" i="3"/>
  <c r="AB1541" i="3"/>
  <c r="AA1541" i="3"/>
  <c r="AL1541" i="3"/>
  <c r="R1457" i="3"/>
  <c r="T51" i="3"/>
  <c r="T1457" i="3"/>
  <c r="V51" i="3"/>
  <c r="P1457" i="3"/>
  <c r="R51" i="3"/>
  <c r="K1457" i="3"/>
  <c r="J51" i="3"/>
  <c r="M1457" i="3"/>
  <c r="O51" i="3"/>
  <c r="Q1457" i="3"/>
  <c r="S51" i="3"/>
  <c r="F1457" i="3"/>
  <c r="L51" i="3"/>
  <c r="U1457" i="3"/>
  <c r="W51" i="3"/>
  <c r="O1457" i="3"/>
  <c r="Q51" i="3"/>
  <c r="N1457" i="3"/>
  <c r="P51" i="3"/>
  <c r="X1457" i="3"/>
  <c r="Z51" i="3"/>
  <c r="Z1457" i="3"/>
  <c r="AB51" i="3"/>
  <c r="W1457" i="3"/>
  <c r="Y51" i="3"/>
  <c r="AM1457" i="3"/>
  <c r="I51" i="3"/>
  <c r="S1457" i="3"/>
  <c r="U51" i="3"/>
  <c r="AE1457" i="3"/>
  <c r="AI1457" i="3"/>
  <c r="AL1457" i="3"/>
  <c r="AD1457" i="3"/>
  <c r="AK1457" i="3"/>
  <c r="Y1457" i="3"/>
  <c r="AF1457" i="3"/>
  <c r="AG1457" i="3"/>
  <c r="P1429" i="3"/>
  <c r="R50" i="3"/>
  <c r="O1429" i="3"/>
  <c r="Q50" i="3"/>
  <c r="K1429" i="3"/>
  <c r="J50" i="3"/>
  <c r="S1429" i="3"/>
  <c r="U50" i="3"/>
  <c r="AL1429" i="3"/>
  <c r="N1429" i="3"/>
  <c r="P50" i="3"/>
  <c r="U1429" i="3"/>
  <c r="W50" i="3"/>
  <c r="M1429" i="3"/>
  <c r="O50" i="3"/>
  <c r="V1429" i="3"/>
  <c r="X50" i="3"/>
  <c r="AJ1429" i="3"/>
  <c r="AF1429" i="3"/>
  <c r="AH1429" i="3"/>
  <c r="R1429" i="3"/>
  <c r="T50" i="3"/>
  <c r="W1429" i="3"/>
  <c r="Y50" i="3"/>
  <c r="AC1429" i="3"/>
  <c r="X1429" i="3"/>
  <c r="Z50" i="3"/>
  <c r="AM1429" i="3"/>
  <c r="I50" i="3"/>
  <c r="AE1429" i="3"/>
  <c r="AA1429" i="3"/>
  <c r="AD1429" i="3"/>
  <c r="W1345" i="3"/>
  <c r="Y47" i="3"/>
  <c r="F1345" i="3"/>
  <c r="L47" i="3"/>
  <c r="R1345" i="3"/>
  <c r="T47" i="3"/>
  <c r="X1345" i="3"/>
  <c r="Z47" i="3"/>
  <c r="V1345" i="3"/>
  <c r="X47" i="3"/>
  <c r="U1345" i="3"/>
  <c r="W47" i="3"/>
  <c r="S1345" i="3"/>
  <c r="U47" i="3"/>
  <c r="O1345" i="3"/>
  <c r="Q47" i="3"/>
  <c r="K1345" i="3"/>
  <c r="J47" i="3"/>
  <c r="P1345" i="3"/>
  <c r="R47" i="3"/>
  <c r="Z1345" i="3"/>
  <c r="AB47" i="3"/>
  <c r="AM1345" i="3"/>
  <c r="I47" i="3"/>
  <c r="M1345" i="3"/>
  <c r="O47" i="3"/>
  <c r="AF1345" i="3"/>
  <c r="AL1345" i="3"/>
  <c r="AD1345" i="3"/>
  <c r="AB1345" i="3"/>
  <c r="AK1345" i="3"/>
  <c r="AJ1345" i="3"/>
  <c r="Q1345" i="3"/>
  <c r="S47" i="3"/>
  <c r="AE1345" i="3"/>
  <c r="AC1345" i="3"/>
  <c r="AI1345" i="3"/>
  <c r="AA1345" i="3"/>
  <c r="X1289" i="3"/>
  <c r="Z45" i="3"/>
  <c r="Z1289" i="3"/>
  <c r="AB45" i="3"/>
  <c r="R1289" i="3"/>
  <c r="T45" i="3"/>
  <c r="W1289" i="3"/>
  <c r="Y45" i="3"/>
  <c r="F1289" i="3"/>
  <c r="L45" i="3"/>
  <c r="O1289" i="3"/>
  <c r="Q45" i="3"/>
  <c r="AM1289" i="3"/>
  <c r="I45" i="3"/>
  <c r="AL1289" i="3"/>
  <c r="M1289" i="3"/>
  <c r="O45" i="3"/>
  <c r="K1289" i="3"/>
  <c r="J45" i="3"/>
  <c r="N1289" i="3"/>
  <c r="P45" i="3"/>
  <c r="Q1289" i="3"/>
  <c r="S45" i="3"/>
  <c r="T1289" i="3"/>
  <c r="V45" i="3"/>
  <c r="P1289" i="3"/>
  <c r="R45" i="3"/>
  <c r="AG1289" i="3"/>
  <c r="AE1289" i="3"/>
  <c r="V1289" i="3"/>
  <c r="X45" i="3"/>
  <c r="AK1289" i="3"/>
  <c r="AD1289" i="3"/>
  <c r="S1289" i="3"/>
  <c r="U45" i="3"/>
  <c r="AJ1289" i="3"/>
  <c r="AC1289" i="3"/>
  <c r="U1289" i="3"/>
  <c r="W45" i="3"/>
  <c r="AI1289" i="3"/>
  <c r="AH1289" i="3"/>
  <c r="T1261" i="3"/>
  <c r="V44" i="3"/>
  <c r="K1261" i="3"/>
  <c r="J44" i="3"/>
  <c r="V1261" i="3"/>
  <c r="X44" i="3"/>
  <c r="P1261" i="3"/>
  <c r="R44" i="3"/>
  <c r="U1261" i="3"/>
  <c r="W44" i="3"/>
  <c r="S1261" i="3"/>
  <c r="U44" i="3"/>
  <c r="O1261" i="3"/>
  <c r="Q44" i="3"/>
  <c r="Q1261" i="3"/>
  <c r="S44" i="3"/>
  <c r="R1261" i="3"/>
  <c r="T44" i="3"/>
  <c r="N1261" i="3"/>
  <c r="P44" i="3"/>
  <c r="AM1261" i="3"/>
  <c r="I44" i="3"/>
  <c r="AD1261" i="3"/>
  <c r="X1261" i="3"/>
  <c r="Z44" i="3"/>
  <c r="AL1261" i="3"/>
  <c r="Y1261" i="3"/>
  <c r="AE1261" i="3"/>
  <c r="Z1261" i="3"/>
  <c r="AB44" i="3"/>
  <c r="AG1261" i="3"/>
  <c r="W1261" i="3"/>
  <c r="Y44" i="3"/>
  <c r="F1261" i="3"/>
  <c r="L44" i="3"/>
  <c r="AA1261" i="3"/>
  <c r="AK1261" i="3"/>
  <c r="K1205" i="3"/>
  <c r="J42" i="3"/>
  <c r="N1205" i="3"/>
  <c r="P42" i="3"/>
  <c r="T1205" i="3"/>
  <c r="V42" i="3"/>
  <c r="X1205" i="3"/>
  <c r="Z42" i="3"/>
  <c r="AM1205" i="3"/>
  <c r="I42" i="3"/>
  <c r="AF1205" i="3"/>
  <c r="AA1205" i="3"/>
  <c r="R1205" i="3"/>
  <c r="T42" i="3"/>
  <c r="M1205" i="3"/>
  <c r="O42" i="3"/>
  <c r="O1205" i="3"/>
  <c r="Q42" i="3"/>
  <c r="P1205" i="3"/>
  <c r="R42" i="3"/>
  <c r="F1205" i="3"/>
  <c r="L42" i="3"/>
  <c r="AL1205" i="3"/>
  <c r="AB1205" i="3"/>
  <c r="U1205" i="3"/>
  <c r="W42" i="3"/>
  <c r="S1205" i="3"/>
  <c r="U42" i="3"/>
  <c r="W1205" i="3"/>
  <c r="Y42" i="3"/>
  <c r="Y1205" i="3"/>
  <c r="AC1205" i="3"/>
  <c r="Z1205" i="3"/>
  <c r="AB42" i="3"/>
  <c r="V1205" i="3"/>
  <c r="X42" i="3"/>
  <c r="Q1205" i="3"/>
  <c r="S42" i="3"/>
  <c r="AI1205" i="3"/>
  <c r="E1205" i="3"/>
  <c r="AE1205" i="3"/>
  <c r="O1177" i="3"/>
  <c r="Q41" i="3"/>
  <c r="R1177" i="3"/>
  <c r="T41" i="3"/>
  <c r="Q1177" i="3"/>
  <c r="S41" i="3"/>
  <c r="U1177" i="3"/>
  <c r="W41" i="3"/>
  <c r="N1177" i="3"/>
  <c r="P41" i="3"/>
  <c r="M1177" i="3"/>
  <c r="O41" i="3"/>
  <c r="P1177" i="3"/>
  <c r="R41" i="3"/>
  <c r="T1177" i="3"/>
  <c r="V41" i="3"/>
  <c r="S1177" i="3"/>
  <c r="U41" i="3"/>
  <c r="AC1177" i="3"/>
  <c r="AE1177" i="3"/>
  <c r="AB1177" i="3"/>
  <c r="F1177" i="3"/>
  <c r="L41" i="3"/>
  <c r="AG1177" i="3"/>
  <c r="AF1177" i="3"/>
  <c r="X1177" i="3"/>
  <c r="Z41" i="3"/>
  <c r="K1177" i="3"/>
  <c r="J41" i="3"/>
  <c r="AM1177" i="3"/>
  <c r="I41" i="3"/>
  <c r="AJ1177" i="3"/>
  <c r="AD1177" i="3"/>
  <c r="V1177" i="3"/>
  <c r="X41" i="3"/>
  <c r="AK1177" i="3"/>
  <c r="AA1177" i="3"/>
  <c r="Q1149" i="3"/>
  <c r="S40" i="3"/>
  <c r="P1149" i="3"/>
  <c r="R40" i="3"/>
  <c r="U1149" i="3"/>
  <c r="W40" i="3"/>
  <c r="M1149" i="3"/>
  <c r="O40" i="3"/>
  <c r="W1149" i="3"/>
  <c r="Y40" i="3"/>
  <c r="AC1149" i="3"/>
  <c r="AH1149" i="3"/>
  <c r="X1149" i="3"/>
  <c r="Z40" i="3"/>
  <c r="AE1149" i="3"/>
  <c r="AD1149" i="3"/>
  <c r="AF1149" i="3"/>
  <c r="AI1149" i="3"/>
  <c r="AB1149" i="3"/>
  <c r="AK1149" i="3"/>
  <c r="AG1149" i="3"/>
  <c r="V1149" i="3"/>
  <c r="X40" i="3"/>
  <c r="N1121" i="3"/>
  <c r="P39" i="3"/>
  <c r="W1121" i="3"/>
  <c r="Y39" i="3"/>
  <c r="F1121" i="3"/>
  <c r="L39" i="3"/>
  <c r="R1121" i="3"/>
  <c r="T39" i="3"/>
  <c r="O1121" i="3"/>
  <c r="Q39" i="3"/>
  <c r="U1121" i="3"/>
  <c r="W39" i="3"/>
  <c r="X1121" i="3"/>
  <c r="Z39" i="3"/>
  <c r="K1121" i="3"/>
  <c r="J39" i="3"/>
  <c r="M1121" i="3"/>
  <c r="O39" i="3"/>
  <c r="P1121" i="3"/>
  <c r="R39" i="3"/>
  <c r="Z1121" i="3"/>
  <c r="AB39" i="3"/>
  <c r="AK1121" i="3"/>
  <c r="AG1121" i="3"/>
  <c r="AM1121" i="3"/>
  <c r="I39" i="3"/>
  <c r="AE1121" i="3"/>
  <c r="Y1121" i="3"/>
  <c r="AA1121" i="3"/>
  <c r="T1121" i="3"/>
  <c r="V39" i="3"/>
  <c r="AF1121" i="3"/>
  <c r="V1121" i="3"/>
  <c r="X39" i="3"/>
  <c r="AB1121" i="3"/>
  <c r="S897" i="3"/>
  <c r="U31" i="3"/>
  <c r="V897" i="3"/>
  <c r="X31" i="3"/>
  <c r="U897" i="3"/>
  <c r="W31" i="3"/>
  <c r="T897" i="3"/>
  <c r="V31" i="3"/>
  <c r="O897" i="3"/>
  <c r="Q31" i="3"/>
  <c r="F897" i="3"/>
  <c r="L31" i="3"/>
  <c r="Z897" i="3"/>
  <c r="AB31" i="3"/>
  <c r="M897" i="3"/>
  <c r="O31" i="3"/>
  <c r="W897" i="3"/>
  <c r="Y31" i="3"/>
  <c r="N897" i="3"/>
  <c r="P31" i="3"/>
  <c r="Q897" i="3"/>
  <c r="S31" i="3"/>
  <c r="AM897" i="3"/>
  <c r="I31" i="3"/>
  <c r="K897" i="3"/>
  <c r="J31" i="3"/>
  <c r="P897" i="3"/>
  <c r="R31" i="3"/>
  <c r="AG897" i="3"/>
  <c r="AL897" i="3"/>
  <c r="Y897" i="3"/>
  <c r="AC897" i="3"/>
  <c r="E897" i="3"/>
  <c r="X897" i="3"/>
  <c r="Z31" i="3"/>
  <c r="AE897" i="3"/>
  <c r="AJ897" i="3"/>
  <c r="R841" i="3"/>
  <c r="T29" i="3"/>
  <c r="W841" i="3"/>
  <c r="Y29" i="3"/>
  <c r="P841" i="3"/>
  <c r="R29" i="3"/>
  <c r="F841" i="3"/>
  <c r="L29" i="3"/>
  <c r="K841" i="3"/>
  <c r="J29" i="3"/>
  <c r="T841" i="3"/>
  <c r="V29" i="3"/>
  <c r="V841" i="3"/>
  <c r="X29" i="3"/>
  <c r="M841" i="3"/>
  <c r="O29" i="3"/>
  <c r="O841" i="3"/>
  <c r="Q29" i="3"/>
  <c r="AD841" i="3"/>
  <c r="N841" i="3"/>
  <c r="P29" i="3"/>
  <c r="S841" i="3"/>
  <c r="U29" i="3"/>
  <c r="AM841" i="3"/>
  <c r="X841" i="3"/>
  <c r="Z29" i="3"/>
  <c r="AB841" i="3"/>
  <c r="U841" i="3"/>
  <c r="W29" i="3"/>
  <c r="Z841" i="3"/>
  <c r="AB29" i="3"/>
  <c r="AA841" i="3"/>
  <c r="Q841" i="3"/>
  <c r="S29" i="3"/>
  <c r="AL841" i="3"/>
  <c r="Y841" i="3"/>
  <c r="X785" i="3"/>
  <c r="Z27" i="3"/>
  <c r="S785" i="3"/>
  <c r="U27" i="3"/>
  <c r="AM785" i="3"/>
  <c r="I27" i="3"/>
  <c r="Z785" i="3"/>
  <c r="AB27" i="3"/>
  <c r="T785" i="3"/>
  <c r="V27" i="3"/>
  <c r="M785" i="3"/>
  <c r="O27" i="3"/>
  <c r="R785" i="3"/>
  <c r="T27" i="3"/>
  <c r="O785" i="3"/>
  <c r="Q27" i="3"/>
  <c r="F785" i="3"/>
  <c r="L27" i="3"/>
  <c r="AG785" i="3"/>
  <c r="AJ785" i="3"/>
  <c r="N785" i="3"/>
  <c r="P27" i="3"/>
  <c r="AB785" i="3"/>
  <c r="AF785" i="3"/>
  <c r="K785" i="3"/>
  <c r="J27" i="3"/>
  <c r="AD785" i="3"/>
  <c r="AA785" i="3"/>
  <c r="Y785" i="3"/>
  <c r="E785" i="3"/>
  <c r="P785" i="3"/>
  <c r="R27" i="3"/>
  <c r="N673" i="3"/>
  <c r="P23" i="3"/>
  <c r="O673" i="3"/>
  <c r="Q23" i="3"/>
  <c r="M673" i="3"/>
  <c r="O23" i="3"/>
  <c r="T673" i="3"/>
  <c r="V23" i="3"/>
  <c r="V673" i="3"/>
  <c r="X23" i="3"/>
  <c r="Q673" i="3"/>
  <c r="S23" i="3"/>
  <c r="F673" i="3"/>
  <c r="L23" i="3"/>
  <c r="P673" i="3"/>
  <c r="R23" i="3"/>
  <c r="K673" i="3"/>
  <c r="J23" i="3"/>
  <c r="W673" i="3"/>
  <c r="Y23" i="3"/>
  <c r="AA673" i="3"/>
  <c r="AH673" i="3"/>
  <c r="AE673" i="3"/>
  <c r="R673" i="3"/>
  <c r="T23" i="3"/>
  <c r="AC673" i="3"/>
  <c r="AL673" i="3"/>
  <c r="AG673" i="3"/>
  <c r="AJ673" i="3"/>
  <c r="AM393" i="3"/>
  <c r="I13" i="3"/>
  <c r="AJ393" i="3"/>
  <c r="AG393" i="3"/>
  <c r="AB393" i="3"/>
  <c r="E393" i="3"/>
  <c r="T393" i="3"/>
  <c r="V13" i="3"/>
  <c r="P393" i="3"/>
  <c r="R13" i="3"/>
  <c r="Z393" i="3"/>
  <c r="AB13" i="3"/>
  <c r="O393" i="3"/>
  <c r="Q13" i="3"/>
  <c r="X393" i="3"/>
  <c r="Z13" i="3"/>
  <c r="N393" i="3"/>
  <c r="P13" i="3"/>
  <c r="K393" i="3"/>
  <c r="J13" i="3"/>
  <c r="AC393" i="3"/>
  <c r="R393" i="3"/>
  <c r="T13" i="3"/>
  <c r="S393" i="3"/>
  <c r="U13" i="3"/>
  <c r="F393" i="3"/>
  <c r="L13" i="3"/>
  <c r="AI393" i="3"/>
  <c r="AE393" i="3"/>
  <c r="Q393" i="3"/>
  <c r="S13" i="3"/>
  <c r="AD393" i="3"/>
  <c r="AL393" i="3"/>
  <c r="V393" i="3"/>
  <c r="X13" i="3"/>
  <c r="W393" i="3"/>
  <c r="Y13" i="3"/>
  <c r="AH393" i="3"/>
  <c r="AK393" i="3"/>
  <c r="Q365" i="3"/>
  <c r="S12" i="3"/>
  <c r="V365" i="3"/>
  <c r="X12" i="3"/>
  <c r="T365" i="3"/>
  <c r="V12" i="3"/>
  <c r="AM365" i="3"/>
  <c r="I12" i="3"/>
  <c r="AE365" i="3"/>
  <c r="O365" i="3"/>
  <c r="Q12" i="3"/>
  <c r="K365" i="3"/>
  <c r="J12" i="3"/>
  <c r="AA365" i="3"/>
  <c r="AG365" i="3"/>
  <c r="E365" i="3"/>
  <c r="N365" i="3"/>
  <c r="P12" i="3"/>
  <c r="S365" i="3"/>
  <c r="U12" i="3"/>
  <c r="X365" i="3"/>
  <c r="Z12" i="3"/>
  <c r="M365" i="3"/>
  <c r="O12" i="3"/>
  <c r="U365" i="3"/>
  <c r="W12" i="3"/>
  <c r="Y365" i="3"/>
  <c r="AC365" i="3"/>
  <c r="P365" i="3"/>
  <c r="R12" i="3"/>
  <c r="AB365" i="3"/>
  <c r="Z365" i="3"/>
  <c r="AB12" i="3"/>
  <c r="W365" i="3"/>
  <c r="Y12" i="3"/>
  <c r="AD365" i="3"/>
  <c r="AH365" i="3"/>
  <c r="M337" i="3"/>
  <c r="O11" i="3"/>
  <c r="P337" i="3"/>
  <c r="R11" i="3"/>
  <c r="F337" i="3"/>
  <c r="L11" i="3"/>
  <c r="O337" i="3"/>
  <c r="Q11" i="3"/>
  <c r="W337" i="3"/>
  <c r="Y11" i="3"/>
  <c r="Q337" i="3"/>
  <c r="S11" i="3"/>
  <c r="AF337" i="3"/>
  <c r="AA337" i="3"/>
  <c r="K337" i="3"/>
  <c r="J11" i="3"/>
  <c r="N337" i="3"/>
  <c r="P11" i="3"/>
  <c r="U337" i="3"/>
  <c r="W11" i="3"/>
  <c r="V337" i="3"/>
  <c r="X11" i="3"/>
  <c r="R337" i="3"/>
  <c r="T11" i="3"/>
  <c r="AH337" i="3"/>
  <c r="Z337" i="3"/>
  <c r="AB11" i="3"/>
  <c r="AC337" i="3"/>
  <c r="S337" i="3"/>
  <c r="U11" i="3"/>
  <c r="AM337" i="3"/>
  <c r="I11" i="3"/>
  <c r="AB337" i="3"/>
  <c r="AE337" i="3"/>
  <c r="AI337" i="3"/>
  <c r="AJ337" i="3"/>
  <c r="R729" i="3"/>
  <c r="T25" i="3"/>
  <c r="S729" i="3"/>
  <c r="U25" i="3"/>
  <c r="F729" i="3"/>
  <c r="L25" i="3"/>
  <c r="W729" i="3"/>
  <c r="Y25" i="3"/>
  <c r="O729" i="3"/>
  <c r="Q25" i="3"/>
  <c r="X729" i="3"/>
  <c r="Z25" i="3"/>
  <c r="K729" i="3"/>
  <c r="J25" i="3"/>
  <c r="T729" i="3"/>
  <c r="V25" i="3"/>
  <c r="P729" i="3"/>
  <c r="R25" i="3"/>
  <c r="E729" i="3"/>
  <c r="AG729" i="3"/>
  <c r="AL729" i="3"/>
  <c r="AM729" i="3"/>
  <c r="I25" i="3"/>
  <c r="AJ729" i="3"/>
  <c r="Q729" i="3"/>
  <c r="S25" i="3"/>
  <c r="AE729" i="3"/>
  <c r="Y729" i="3"/>
  <c r="AB729" i="3"/>
  <c r="AC729" i="3"/>
  <c r="F589" i="3"/>
  <c r="L20" i="3"/>
  <c r="U589" i="3"/>
  <c r="W20" i="3"/>
  <c r="V589" i="3"/>
  <c r="X20" i="3"/>
  <c r="P589" i="3"/>
  <c r="R20" i="3"/>
  <c r="Q589" i="3"/>
  <c r="S20" i="3"/>
  <c r="AM589" i="3"/>
  <c r="I20" i="3"/>
  <c r="T589" i="3"/>
  <c r="V20" i="3"/>
  <c r="AD589" i="3"/>
  <c r="N589" i="3"/>
  <c r="P20" i="3"/>
  <c r="K589" i="3"/>
  <c r="J20" i="3"/>
  <c r="M589" i="3"/>
  <c r="O20" i="3"/>
  <c r="W589" i="3"/>
  <c r="Y20" i="3"/>
  <c r="E589" i="3"/>
  <c r="AE589" i="3"/>
  <c r="O589" i="3"/>
  <c r="Q20" i="3"/>
  <c r="Z589" i="3"/>
  <c r="AB20" i="3"/>
  <c r="AB589" i="3"/>
  <c r="AL589" i="3"/>
  <c r="AH589" i="3"/>
  <c r="AC589" i="3"/>
  <c r="AJ589" i="3"/>
  <c r="AI589" i="3"/>
  <c r="R561" i="3"/>
  <c r="T19" i="3"/>
  <c r="K561" i="3"/>
  <c r="J19" i="3"/>
  <c r="U561" i="3"/>
  <c r="W19" i="3"/>
  <c r="V561" i="3"/>
  <c r="X19" i="3"/>
  <c r="N561" i="3"/>
  <c r="P19" i="3"/>
  <c r="Q561" i="3"/>
  <c r="S19" i="3"/>
  <c r="P561" i="3"/>
  <c r="R19" i="3"/>
  <c r="M561" i="3"/>
  <c r="O19" i="3"/>
  <c r="AM561" i="3"/>
  <c r="I19" i="3"/>
  <c r="F561" i="3"/>
  <c r="L19" i="3"/>
  <c r="W561" i="3"/>
  <c r="Y19" i="3"/>
  <c r="X561" i="3"/>
  <c r="Z19" i="3"/>
  <c r="AK561" i="3"/>
  <c r="E561" i="3"/>
  <c r="AG561" i="3"/>
  <c r="S561" i="3"/>
  <c r="U19" i="3"/>
  <c r="Y561" i="3"/>
  <c r="AB561" i="3"/>
  <c r="T561" i="3"/>
  <c r="V19" i="3"/>
  <c r="O561" i="3"/>
  <c r="Q19" i="3"/>
  <c r="Z561" i="3"/>
  <c r="AB19" i="3"/>
  <c r="AL561" i="3"/>
  <c r="AF561" i="3"/>
  <c r="AA561" i="3"/>
  <c r="AE561" i="3"/>
  <c r="R533" i="3"/>
  <c r="T18" i="3"/>
  <c r="S533" i="3"/>
  <c r="U18" i="3"/>
  <c r="W533" i="3"/>
  <c r="Y18" i="3"/>
  <c r="O533" i="3"/>
  <c r="Q18" i="3"/>
  <c r="Z533" i="3"/>
  <c r="AB18" i="3"/>
  <c r="U533" i="3"/>
  <c r="W18" i="3"/>
  <c r="Q533" i="3"/>
  <c r="S18" i="3"/>
  <c r="K533" i="3"/>
  <c r="J18" i="3"/>
  <c r="AM533" i="3"/>
  <c r="I18" i="3"/>
  <c r="V533" i="3"/>
  <c r="X18" i="3"/>
  <c r="F533" i="3"/>
  <c r="L18" i="3"/>
  <c r="P533" i="3"/>
  <c r="R18" i="3"/>
  <c r="AF533" i="3"/>
  <c r="AL533" i="3"/>
  <c r="AC533" i="3"/>
  <c r="T533" i="3"/>
  <c r="V18" i="3"/>
  <c r="AD533" i="3"/>
  <c r="E533" i="3"/>
  <c r="AG533" i="3"/>
  <c r="AA533" i="3"/>
  <c r="X533" i="3"/>
  <c r="Z18" i="3"/>
  <c r="N533" i="3"/>
  <c r="P18" i="3"/>
  <c r="AI533" i="3"/>
  <c r="Y533" i="3"/>
  <c r="AB533" i="3"/>
  <c r="O477" i="3"/>
  <c r="Q16" i="3"/>
  <c r="E477" i="3"/>
  <c r="Z477" i="3"/>
  <c r="AB16" i="3"/>
  <c r="T477" i="3"/>
  <c r="V16" i="3"/>
  <c r="R477" i="3"/>
  <c r="T16" i="3"/>
  <c r="F477" i="3"/>
  <c r="L16" i="3"/>
  <c r="P477" i="3"/>
  <c r="R16" i="3"/>
  <c r="Q477" i="3"/>
  <c r="S16" i="3"/>
  <c r="W477" i="3"/>
  <c r="Y16" i="3"/>
  <c r="AM477" i="3"/>
  <c r="I16" i="3"/>
  <c r="U477" i="3"/>
  <c r="W16" i="3"/>
  <c r="X477" i="3"/>
  <c r="Z16" i="3"/>
  <c r="M477" i="3"/>
  <c r="O16" i="3"/>
  <c r="AG477" i="3"/>
  <c r="S477" i="3"/>
  <c r="U16" i="3"/>
  <c r="AD477" i="3"/>
  <c r="AJ477" i="3"/>
  <c r="AB477" i="3"/>
  <c r="N477" i="3"/>
  <c r="P16" i="3"/>
  <c r="AI477" i="3"/>
  <c r="K477" i="3"/>
  <c r="J16" i="3"/>
  <c r="AF477" i="3"/>
  <c r="V421" i="3"/>
  <c r="X14" i="3"/>
  <c r="P421" i="3"/>
  <c r="R14" i="3"/>
  <c r="Z421" i="3"/>
  <c r="AB14" i="3"/>
  <c r="R421" i="3"/>
  <c r="T14" i="3"/>
  <c r="W421" i="3"/>
  <c r="Y14" i="3"/>
  <c r="AD421" i="3"/>
  <c r="AL421" i="3"/>
  <c r="AK421" i="3"/>
  <c r="AE421" i="3"/>
  <c r="Y421" i="3"/>
  <c r="AF421" i="3"/>
  <c r="AI421" i="3"/>
  <c r="Q421" i="3"/>
  <c r="S14" i="3"/>
  <c r="AG421" i="3"/>
  <c r="M421" i="3"/>
  <c r="O14" i="3"/>
  <c r="AA421" i="3"/>
  <c r="M225" i="3"/>
  <c r="O7" i="3"/>
  <c r="W225" i="3"/>
  <c r="Y7" i="3"/>
  <c r="S225" i="3"/>
  <c r="U7" i="3"/>
  <c r="O225" i="3"/>
  <c r="Q7" i="3"/>
  <c r="AM225" i="3"/>
  <c r="I7" i="3"/>
  <c r="V225" i="3"/>
  <c r="X7" i="3"/>
  <c r="T225" i="3"/>
  <c r="V7" i="3"/>
  <c r="Z225" i="3"/>
  <c r="AB7" i="3"/>
  <c r="P225" i="3"/>
  <c r="R7" i="3"/>
  <c r="AD225" i="3"/>
  <c r="X225" i="3"/>
  <c r="Z7" i="3"/>
  <c r="Q225" i="3"/>
  <c r="S7" i="3"/>
  <c r="R225" i="3"/>
  <c r="T7" i="3"/>
  <c r="N225" i="3"/>
  <c r="P7" i="3"/>
  <c r="AA225" i="3"/>
  <c r="AG225" i="3"/>
  <c r="AJ225" i="3"/>
  <c r="E225" i="3"/>
  <c r="K225" i="3"/>
  <c r="J7" i="3"/>
  <c r="U225" i="3"/>
  <c r="W7" i="3"/>
  <c r="AL225" i="3"/>
  <c r="F225" i="3"/>
  <c r="L7" i="3"/>
  <c r="AI225" i="3"/>
  <c r="M169" i="3"/>
  <c r="O5" i="3"/>
  <c r="X169" i="3"/>
  <c r="Z5" i="3"/>
  <c r="U169" i="3"/>
  <c r="W5" i="3"/>
  <c r="R169" i="3"/>
  <c r="T5" i="3"/>
  <c r="T169" i="3"/>
  <c r="V5" i="3"/>
  <c r="O169" i="3"/>
  <c r="Q5" i="3"/>
  <c r="W169" i="3"/>
  <c r="Y5" i="3"/>
  <c r="K169" i="3"/>
  <c r="J5" i="3"/>
  <c r="Q169" i="3"/>
  <c r="S5" i="3"/>
  <c r="AH169" i="3"/>
  <c r="AJ169" i="3"/>
  <c r="AB169" i="3"/>
  <c r="Y169" i="3"/>
  <c r="AL169" i="3"/>
  <c r="AA169" i="3"/>
  <c r="P169" i="3"/>
  <c r="R5" i="3"/>
  <c r="AD169" i="3"/>
  <c r="AE169" i="3"/>
  <c r="AG169" i="3"/>
  <c r="M4" i="2"/>
  <c r="AH2409" i="3"/>
  <c r="L61" i="2"/>
  <c r="L28" i="2"/>
  <c r="AA2409" i="3"/>
  <c r="Y2325" i="3"/>
  <c r="L42" i="2"/>
  <c r="AJ2269" i="3"/>
  <c r="AG1793" i="3"/>
  <c r="E841" i="3"/>
  <c r="AB1821" i="3"/>
  <c r="AJ365" i="3"/>
  <c r="AG337" i="3"/>
  <c r="AA2969" i="3"/>
  <c r="AF2969" i="3"/>
  <c r="O2969" i="3"/>
  <c r="T2969" i="3"/>
  <c r="S2969" i="3"/>
  <c r="AJ2969" i="3"/>
  <c r="AI2969" i="3"/>
  <c r="P2969" i="3"/>
  <c r="AB2969" i="3"/>
  <c r="K2969" i="3"/>
  <c r="L2969" i="3"/>
  <c r="W2969" i="3"/>
  <c r="X2969" i="3"/>
  <c r="AE2969" i="3"/>
  <c r="Y2969" i="3"/>
  <c r="AD2969" i="3"/>
  <c r="F2969" i="3"/>
  <c r="Q2969" i="3"/>
  <c r="Z2969" i="3"/>
  <c r="AK2969" i="3"/>
  <c r="AC2969" i="3"/>
  <c r="V2969" i="3"/>
  <c r="E2969" i="3"/>
  <c r="AH2969" i="3"/>
  <c r="R2409" i="3"/>
  <c r="O2409" i="3"/>
  <c r="E2409" i="3"/>
  <c r="AJ2409" i="3"/>
  <c r="AG2409" i="3"/>
  <c r="AB2409" i="3"/>
  <c r="AI2409" i="3"/>
  <c r="AC2409" i="3"/>
  <c r="AL2409" i="3"/>
  <c r="AF2409" i="3"/>
  <c r="N2325" i="3"/>
  <c r="X2325" i="3"/>
  <c r="K2325" i="3"/>
  <c r="T2325" i="3"/>
  <c r="P2325" i="3"/>
  <c r="U2325" i="3"/>
  <c r="AI2325" i="3"/>
  <c r="AG2325" i="3"/>
  <c r="AH2325" i="3"/>
  <c r="O2325" i="3"/>
  <c r="AD2325" i="3"/>
  <c r="AK2325" i="3"/>
  <c r="AE2325" i="3"/>
  <c r="AL2325" i="3"/>
  <c r="AJ2325" i="3"/>
  <c r="AF2325" i="3"/>
  <c r="K2269" i="3"/>
  <c r="N2269" i="3"/>
  <c r="V2269" i="3"/>
  <c r="F2269" i="3"/>
  <c r="U2269" i="3"/>
  <c r="R2269" i="3"/>
  <c r="AM2269" i="3"/>
  <c r="T2269" i="3"/>
  <c r="M2269" i="3"/>
  <c r="Q2269" i="3"/>
  <c r="X2269" i="3"/>
  <c r="Z2269" i="3"/>
  <c r="P2269" i="3"/>
  <c r="S2269" i="3"/>
  <c r="W2269" i="3"/>
  <c r="O2269" i="3"/>
  <c r="AE2269" i="3"/>
  <c r="E2269" i="3"/>
  <c r="AC2269" i="3"/>
  <c r="Y2269" i="3"/>
  <c r="AF2269" i="3"/>
  <c r="AL2269" i="3"/>
  <c r="AH2269" i="3"/>
  <c r="AL1793" i="3"/>
  <c r="AE2409" i="3"/>
  <c r="AA1793" i="3"/>
  <c r="AL2073" i="3"/>
  <c r="AD337" i="3"/>
  <c r="M7" i="2"/>
  <c r="AH2381" i="3"/>
  <c r="AI1793" i="3"/>
  <c r="AB2381" i="3"/>
  <c r="AL2969" i="3"/>
  <c r="P2913" i="3"/>
  <c r="AF365" i="3"/>
  <c r="AH2073" i="3"/>
  <c r="Z1849" i="3"/>
  <c r="AB65" i="3"/>
  <c r="P129" i="2"/>
  <c r="L13" i="2"/>
  <c r="V2213" i="3"/>
  <c r="M2213" i="3"/>
  <c r="N2213" i="3"/>
  <c r="P1541" i="3"/>
  <c r="R54" i="3"/>
  <c r="F1541" i="3"/>
  <c r="L54" i="3"/>
  <c r="M1541" i="3"/>
  <c r="O54" i="3"/>
  <c r="N1149" i="3"/>
  <c r="P40" i="3"/>
  <c r="O1149" i="3"/>
  <c r="Q40" i="3"/>
  <c r="Z1149" i="3"/>
  <c r="AB40" i="3"/>
  <c r="R1149" i="3"/>
  <c r="T40" i="3"/>
  <c r="AM1149" i="3"/>
  <c r="I40" i="3"/>
  <c r="AM169" i="3"/>
  <c r="I5" i="3"/>
  <c r="N169" i="3"/>
  <c r="P5" i="3"/>
  <c r="F169" i="3"/>
  <c r="L5" i="3"/>
  <c r="S169" i="3"/>
  <c r="U5" i="3"/>
  <c r="V169" i="3"/>
  <c r="X5" i="3"/>
  <c r="U2213" i="3"/>
  <c r="R2325" i="3"/>
  <c r="Z2325" i="3"/>
  <c r="Q2325" i="3"/>
  <c r="S2325" i="3"/>
  <c r="F2325" i="3"/>
  <c r="M2325" i="3"/>
  <c r="V2325" i="3"/>
  <c r="W2325" i="3"/>
  <c r="AM2325" i="3"/>
  <c r="M981" i="3"/>
  <c r="O34" i="3"/>
  <c r="R981" i="3"/>
  <c r="T34" i="3"/>
  <c r="O981" i="3"/>
  <c r="Q34" i="3"/>
  <c r="P981" i="3"/>
  <c r="R34" i="3"/>
  <c r="X813" i="3"/>
  <c r="Z28" i="3"/>
  <c r="S673" i="3"/>
  <c r="U23" i="3"/>
  <c r="U673" i="3"/>
  <c r="W23" i="3"/>
  <c r="Z673" i="3"/>
  <c r="AB23" i="3"/>
  <c r="X673" i="3"/>
  <c r="Z23" i="3"/>
  <c r="N729" i="3"/>
  <c r="P25" i="3"/>
  <c r="V729" i="3"/>
  <c r="X25" i="3"/>
  <c r="M729" i="3"/>
  <c r="O25" i="3"/>
  <c r="U729" i="3"/>
  <c r="W25" i="3"/>
  <c r="R589" i="3"/>
  <c r="T20" i="3"/>
  <c r="S589" i="3"/>
  <c r="U20" i="3"/>
  <c r="X589" i="3"/>
  <c r="Z20" i="3"/>
  <c r="F421" i="3"/>
  <c r="L14" i="3"/>
  <c r="T421" i="3"/>
  <c r="V14" i="3"/>
  <c r="K421" i="3"/>
  <c r="J14" i="3"/>
  <c r="S421" i="3"/>
  <c r="U14" i="3"/>
  <c r="U421" i="3"/>
  <c r="W14" i="3"/>
  <c r="N421" i="3"/>
  <c r="P14" i="3"/>
  <c r="O421" i="3"/>
  <c r="Q14" i="3"/>
  <c r="X421" i="3"/>
  <c r="Z14" i="3"/>
  <c r="AM421" i="3"/>
  <c r="I14" i="3"/>
  <c r="K2213" i="3"/>
  <c r="S2213" i="3"/>
  <c r="W2213" i="3"/>
  <c r="F2213" i="3"/>
  <c r="Z2213" i="3"/>
  <c r="Q2213" i="3"/>
  <c r="R1541" i="3"/>
  <c r="T54" i="3"/>
  <c r="Z1541" i="3"/>
  <c r="AB54" i="3"/>
  <c r="Q1541" i="3"/>
  <c r="S54" i="3"/>
  <c r="F1149" i="3"/>
  <c r="L40" i="3"/>
  <c r="T1149" i="3"/>
  <c r="V40" i="3"/>
  <c r="K1149" i="3"/>
  <c r="J40" i="3"/>
  <c r="S1149" i="3"/>
  <c r="U40" i="3"/>
  <c r="Y2913" i="3"/>
  <c r="AD2913" i="3"/>
  <c r="M2913" i="3"/>
  <c r="R2913" i="3"/>
  <c r="AK2913" i="3"/>
  <c r="AC2913" i="3"/>
  <c r="V2913" i="3"/>
  <c r="E2913" i="3"/>
  <c r="AH2913" i="3"/>
  <c r="U1541" i="3"/>
  <c r="W54" i="3"/>
  <c r="T1541" i="3"/>
  <c r="V54" i="3"/>
  <c r="M18" i="2"/>
  <c r="L4" i="2"/>
  <c r="P2409" i="3"/>
  <c r="M2409" i="3"/>
  <c r="U2409" i="3"/>
  <c r="X2409" i="3"/>
  <c r="K2409" i="3"/>
  <c r="Q2409" i="3"/>
  <c r="AM2409" i="3"/>
  <c r="T2409" i="3"/>
  <c r="F2409" i="3"/>
  <c r="S2409" i="3"/>
  <c r="V2409" i="3"/>
  <c r="N2409" i="3"/>
  <c r="Z2409" i="3"/>
  <c r="W2409" i="3"/>
  <c r="AJ1513" i="3"/>
  <c r="Q1513" i="3"/>
  <c r="S53" i="3"/>
  <c r="AK1513" i="3"/>
  <c r="N1513" i="3"/>
  <c r="P53" i="3"/>
  <c r="V1513" i="3"/>
  <c r="X53" i="3"/>
  <c r="F1513" i="3"/>
  <c r="L53" i="3"/>
  <c r="M1513" i="3"/>
  <c r="O53" i="3"/>
  <c r="U1513" i="3"/>
  <c r="W53" i="3"/>
  <c r="O1513" i="3"/>
  <c r="Q53" i="3"/>
  <c r="W1513" i="3"/>
  <c r="Y53" i="3"/>
  <c r="K1513" i="3"/>
  <c r="J53" i="3"/>
  <c r="M28" i="2"/>
  <c r="S1513" i="3"/>
  <c r="U53" i="3"/>
  <c r="AM1513" i="3"/>
  <c r="I53" i="3"/>
  <c r="E282" i="3"/>
  <c r="E506" i="3"/>
  <c r="E508" i="3"/>
  <c r="E510" i="3"/>
  <c r="E1886" i="3"/>
  <c r="E1888" i="3"/>
  <c r="E1890" i="3"/>
  <c r="E1907" i="3"/>
  <c r="E1914" i="3"/>
  <c r="E150" i="3"/>
  <c r="E255" i="3"/>
  <c r="E263" i="3"/>
  <c r="E312" i="3"/>
  <c r="E320" i="3"/>
  <c r="E145" i="3"/>
  <c r="E153" i="3"/>
  <c r="E256" i="3"/>
  <c r="E317" i="3"/>
  <c r="E453" i="3"/>
  <c r="E457" i="3"/>
  <c r="E461" i="3"/>
  <c r="E465" i="3"/>
  <c r="E264" i="3"/>
  <c r="E323" i="3"/>
  <c r="E621" i="3"/>
  <c r="E625" i="3"/>
  <c r="E629" i="3"/>
  <c r="E633" i="3"/>
  <c r="E646" i="3"/>
  <c r="E650" i="3"/>
  <c r="E654" i="3"/>
  <c r="E658" i="3"/>
  <c r="E662" i="3"/>
  <c r="E709" i="3"/>
  <c r="E760" i="3"/>
  <c r="E764" i="3"/>
  <c r="E771" i="3"/>
  <c r="E873" i="3"/>
  <c r="E877" i="3"/>
  <c r="E881" i="3"/>
  <c r="E885" i="3"/>
  <c r="E927" i="3"/>
  <c r="E931" i="3"/>
  <c r="E935" i="3"/>
  <c r="E1096" i="3"/>
  <c r="E1100" i="3"/>
  <c r="E1104" i="3"/>
  <c r="E1108" i="3"/>
  <c r="E1236" i="3"/>
  <c r="E1239" i="3"/>
  <c r="E1243" i="3"/>
  <c r="E1320" i="3"/>
  <c r="E1324" i="3"/>
  <c r="E1328" i="3"/>
  <c r="E1486" i="3"/>
  <c r="E1490" i="3"/>
  <c r="E1494" i="3"/>
  <c r="E1878" i="3"/>
  <c r="E1884" i="3"/>
  <c r="E1654" i="3"/>
  <c r="E1658" i="3"/>
  <c r="E1767" i="3"/>
  <c r="E1771" i="3"/>
  <c r="E1775" i="3"/>
  <c r="E1779" i="3"/>
  <c r="E1937" i="3"/>
  <c r="E2049" i="3"/>
  <c r="E2053" i="3"/>
  <c r="E2057" i="3"/>
  <c r="E2061" i="3"/>
  <c r="E1500" i="3"/>
  <c r="E666" i="3"/>
  <c r="E512" i="3"/>
  <c r="E514" i="3"/>
  <c r="E1660" i="3"/>
  <c r="E1662" i="3"/>
  <c r="E1664" i="3"/>
  <c r="E1666" i="3"/>
  <c r="E1668" i="3"/>
  <c r="E1670" i="3"/>
  <c r="E1672" i="3"/>
  <c r="E1882" i="3"/>
  <c r="E1892" i="3"/>
  <c r="E1894" i="3"/>
  <c r="E1896" i="3"/>
  <c r="E1909" i="3"/>
  <c r="E1911" i="3"/>
  <c r="E144" i="3"/>
  <c r="E152" i="3"/>
  <c r="E257" i="3"/>
  <c r="E265" i="3"/>
  <c r="E314" i="3"/>
  <c r="E322" i="3"/>
  <c r="E147" i="3"/>
  <c r="E258" i="3"/>
  <c r="E319" i="3"/>
  <c r="E450" i="3"/>
  <c r="E454" i="3"/>
  <c r="E458" i="3"/>
  <c r="E462" i="3"/>
  <c r="E758" i="3"/>
  <c r="E618" i="3"/>
  <c r="E622" i="3"/>
  <c r="E626" i="3"/>
  <c r="E630" i="3"/>
  <c r="E647" i="3"/>
  <c r="E651" i="3"/>
  <c r="E655" i="3"/>
  <c r="E659" i="3"/>
  <c r="E663" i="3"/>
  <c r="E710" i="3"/>
  <c r="E761" i="3"/>
  <c r="E765" i="3"/>
  <c r="E768" i="3"/>
  <c r="E772" i="3"/>
  <c r="E774" i="3"/>
  <c r="E870" i="3"/>
  <c r="E874" i="3"/>
  <c r="E878" i="3"/>
  <c r="E882" i="3"/>
  <c r="E886" i="3"/>
  <c r="E928" i="3"/>
  <c r="E932" i="3"/>
  <c r="E936" i="3"/>
  <c r="E1097" i="3"/>
  <c r="E1101" i="3"/>
  <c r="E1105" i="3"/>
  <c r="E1240" i="3"/>
  <c r="E1244" i="3"/>
  <c r="E1321" i="3"/>
  <c r="E1325" i="3"/>
  <c r="E1329" i="3"/>
  <c r="E1487" i="3"/>
  <c r="E1491" i="3"/>
  <c r="E1495" i="3"/>
  <c r="E1879" i="3"/>
  <c r="E1570" i="3"/>
  <c r="E1655" i="3"/>
  <c r="E1659" i="3"/>
  <c r="E1768" i="3"/>
  <c r="E1772" i="3"/>
  <c r="E1776" i="3"/>
  <c r="E1934" i="3"/>
  <c r="E1938" i="3"/>
  <c r="E2046" i="3"/>
  <c r="E2050" i="3"/>
  <c r="E2054" i="3"/>
  <c r="E2058" i="3"/>
  <c r="E2062" i="3"/>
  <c r="E667" i="3"/>
  <c r="E283" i="3"/>
  <c r="E284" i="3"/>
  <c r="E285" i="3"/>
  <c r="E286" i="3"/>
  <c r="E287" i="3"/>
  <c r="E507" i="3"/>
  <c r="E1661" i="3"/>
  <c r="E1669" i="3"/>
  <c r="E1885" i="3"/>
  <c r="E1895" i="3"/>
  <c r="E1912" i="3"/>
  <c r="E310" i="3"/>
  <c r="E143" i="3"/>
  <c r="E321" i="3"/>
  <c r="E452" i="3"/>
  <c r="E460" i="3"/>
  <c r="E262" i="3"/>
  <c r="E619" i="3"/>
  <c r="E627" i="3"/>
  <c r="E649" i="3"/>
  <c r="E657" i="3"/>
  <c r="E763" i="3"/>
  <c r="E769" i="3"/>
  <c r="E871" i="3"/>
  <c r="E879" i="3"/>
  <c r="E933" i="3"/>
  <c r="E1098" i="3"/>
  <c r="E1106" i="3"/>
  <c r="E1235" i="3"/>
  <c r="E1241" i="3"/>
  <c r="E1322" i="3"/>
  <c r="E1492" i="3"/>
  <c r="E1880" i="3"/>
  <c r="E1656" i="3"/>
  <c r="E1769" i="3"/>
  <c r="E1777" i="3"/>
  <c r="E1939" i="3"/>
  <c r="E2048" i="3"/>
  <c r="E2056" i="3"/>
  <c r="E665" i="3"/>
  <c r="E288" i="3"/>
  <c r="E515" i="3"/>
  <c r="E1667" i="3"/>
  <c r="E1881" i="3"/>
  <c r="E1893" i="3"/>
  <c r="E1910" i="3"/>
  <c r="E146" i="3"/>
  <c r="E259" i="3"/>
  <c r="E316" i="3"/>
  <c r="E149" i="3"/>
  <c r="E254" i="3"/>
  <c r="E455" i="3"/>
  <c r="E463" i="3"/>
  <c r="E620" i="3"/>
  <c r="E628" i="3"/>
  <c r="E652" i="3"/>
  <c r="E660" i="3"/>
  <c r="E759" i="3"/>
  <c r="E766" i="3"/>
  <c r="E770" i="3"/>
  <c r="E872" i="3"/>
  <c r="E880" i="3"/>
  <c r="E926" i="3"/>
  <c r="E934" i="3"/>
  <c r="E1099" i="3"/>
  <c r="E1107" i="3"/>
  <c r="E1242" i="3"/>
  <c r="E1323" i="3"/>
  <c r="E1493" i="3"/>
  <c r="E1883" i="3"/>
  <c r="E1657" i="3"/>
  <c r="E1770" i="3"/>
  <c r="E1778" i="3"/>
  <c r="E1940" i="3"/>
  <c r="E2051" i="3"/>
  <c r="E2059" i="3"/>
  <c r="E623" i="3"/>
  <c r="E653" i="3"/>
  <c r="E775" i="3"/>
  <c r="E875" i="3"/>
  <c r="E929" i="3"/>
  <c r="E1102" i="3"/>
  <c r="E1237" i="3"/>
  <c r="E1318" i="3"/>
  <c r="E1488" i="3"/>
  <c r="E1571" i="3"/>
  <c r="E1773" i="3"/>
  <c r="E2052" i="3"/>
  <c r="E2060" i="3"/>
  <c r="E1502" i="3"/>
  <c r="E513" i="3"/>
  <c r="E1665" i="3"/>
  <c r="E1889" i="3"/>
  <c r="E1891" i="3"/>
  <c r="E1906" i="3"/>
  <c r="E1908" i="3"/>
  <c r="E1915" i="3"/>
  <c r="E148" i="3"/>
  <c r="E261" i="3"/>
  <c r="E318" i="3"/>
  <c r="E151" i="3"/>
  <c r="E313" i="3"/>
  <c r="E456" i="3"/>
  <c r="E464" i="3"/>
  <c r="E631" i="3"/>
  <c r="E661" i="3"/>
  <c r="E767" i="3"/>
  <c r="E883" i="3"/>
  <c r="E1094" i="3"/>
  <c r="E1245" i="3"/>
  <c r="E1326" i="3"/>
  <c r="E1496" i="3"/>
  <c r="E1935" i="3"/>
  <c r="E1501" i="3"/>
  <c r="E315" i="3"/>
  <c r="E459" i="3"/>
  <c r="E311" i="3"/>
  <c r="E664" i="3"/>
  <c r="E1246" i="3"/>
  <c r="E1327" i="3"/>
  <c r="E1774" i="3"/>
  <c r="E2055" i="3"/>
  <c r="E1238" i="3"/>
  <c r="E2047" i="3"/>
  <c r="E509" i="3"/>
  <c r="E511" i="3"/>
  <c r="E1887" i="3"/>
  <c r="E1913" i="3"/>
  <c r="E324" i="3"/>
  <c r="E260" i="3"/>
  <c r="E624" i="3"/>
  <c r="E930" i="3"/>
  <c r="E1234" i="3"/>
  <c r="E1572" i="3"/>
  <c r="E1936" i="3"/>
  <c r="E2063" i="3"/>
  <c r="E884" i="3"/>
  <c r="E1489" i="3"/>
  <c r="E1766" i="3"/>
  <c r="E1663" i="3"/>
  <c r="E632" i="3"/>
  <c r="E648" i="3"/>
  <c r="E773" i="3"/>
  <c r="E876" i="3"/>
  <c r="E1095" i="3"/>
  <c r="E1671" i="3"/>
  <c r="E451" i="3"/>
  <c r="E656" i="3"/>
  <c r="E762" i="3"/>
  <c r="E1103" i="3"/>
  <c r="E1319" i="3"/>
  <c r="K37" i="3"/>
  <c r="P122" i="2"/>
  <c r="P138" i="2"/>
  <c r="M80" i="3"/>
  <c r="M83" i="3"/>
  <c r="P142" i="2"/>
  <c r="K2773" i="3"/>
  <c r="L2773" i="3"/>
  <c r="F3725" i="3"/>
  <c r="K99" i="3"/>
  <c r="Y2577" i="3"/>
  <c r="K106" i="3"/>
  <c r="R2773" i="3"/>
  <c r="AG2801" i="3"/>
  <c r="AA3725" i="3"/>
  <c r="K85" i="3"/>
  <c r="K88" i="3"/>
  <c r="K83" i="3"/>
  <c r="M103" i="3"/>
  <c r="P2997" i="3"/>
  <c r="AK2997" i="3"/>
  <c r="H14" i="2"/>
  <c r="H26" i="2"/>
  <c r="P9" i="2"/>
  <c r="P2605" i="3"/>
  <c r="E142" i="3"/>
  <c r="F2437" i="3"/>
  <c r="AA2745" i="3"/>
  <c r="AC3025" i="3"/>
  <c r="AJ3305" i="3"/>
  <c r="Y3333" i="3"/>
  <c r="K115" i="3"/>
  <c r="AE197" i="3"/>
  <c r="V3109" i="3"/>
  <c r="M197" i="3"/>
  <c r="O6" i="3"/>
  <c r="M105" i="3"/>
  <c r="M23" i="3"/>
  <c r="AB2773" i="3"/>
  <c r="P2801" i="3"/>
  <c r="AC2997" i="3"/>
  <c r="AB3361" i="3"/>
  <c r="F3697" i="3"/>
  <c r="E703" i="3"/>
  <c r="E702" i="3"/>
  <c r="E705" i="3"/>
  <c r="E706" i="3"/>
  <c r="E708" i="3"/>
  <c r="E707" i="3"/>
  <c r="E704" i="3"/>
  <c r="AD3361" i="3"/>
  <c r="T3697" i="3"/>
  <c r="V2997" i="3"/>
  <c r="Z197" i="3"/>
  <c r="AB6" i="3"/>
  <c r="O2437" i="3"/>
  <c r="AH2521" i="3"/>
  <c r="AD2549" i="3"/>
  <c r="AB2577" i="3"/>
  <c r="R2689" i="3"/>
  <c r="AK2773" i="3"/>
  <c r="AJ2801" i="3"/>
  <c r="X2997" i="3"/>
  <c r="AK3165" i="3"/>
  <c r="U3193" i="3"/>
  <c r="S3445" i="3"/>
  <c r="AK3417" i="3"/>
  <c r="W3501" i="3"/>
  <c r="AA3697" i="3"/>
  <c r="U2857" i="3"/>
  <c r="AF2997" i="3"/>
  <c r="AL2605" i="3"/>
  <c r="W3081" i="3"/>
  <c r="Q3361" i="3"/>
  <c r="AD3725" i="3"/>
  <c r="K3725" i="3"/>
  <c r="L3725" i="3"/>
  <c r="AL3725" i="3"/>
  <c r="Y3725" i="3"/>
  <c r="AF3725" i="3"/>
  <c r="O3725" i="3"/>
  <c r="AG3725" i="3"/>
  <c r="T3725" i="3"/>
  <c r="Z3725" i="3"/>
  <c r="AJ3725" i="3"/>
  <c r="AK3725" i="3"/>
  <c r="S3725" i="3"/>
  <c r="AA2997" i="3"/>
  <c r="AD2801" i="3"/>
  <c r="V3697" i="3"/>
  <c r="Q3725" i="3"/>
  <c r="AE3221" i="3"/>
  <c r="E3417" i="3"/>
  <c r="U2577" i="3"/>
  <c r="N2577" i="3"/>
  <c r="AI2577" i="3"/>
  <c r="S2577" i="3"/>
  <c r="M2773" i="3"/>
  <c r="Q2773" i="3"/>
  <c r="N2773" i="3"/>
  <c r="T2773" i="3"/>
  <c r="X2773" i="3"/>
  <c r="S2773" i="3"/>
  <c r="AJ2773" i="3"/>
  <c r="AC2773" i="3"/>
  <c r="AI2773" i="3"/>
  <c r="AF2773" i="3"/>
  <c r="AL2773" i="3"/>
  <c r="Y2773" i="3"/>
  <c r="AE2773" i="3"/>
  <c r="AH2997" i="3"/>
  <c r="AJ2997" i="3"/>
  <c r="S2997" i="3"/>
  <c r="F2997" i="3"/>
  <c r="Z2997" i="3"/>
  <c r="Q2997" i="3"/>
  <c r="M2997" i="3"/>
  <c r="T197" i="3"/>
  <c r="V6" i="3"/>
  <c r="U2997" i="3"/>
  <c r="W2773" i="3"/>
  <c r="AF2801" i="3"/>
  <c r="Q3697" i="3"/>
  <c r="AH3501" i="3"/>
  <c r="T2997" i="3"/>
  <c r="AI2997" i="3"/>
  <c r="K2997" i="3"/>
  <c r="L2997" i="3"/>
  <c r="AG2997" i="3"/>
  <c r="E2997" i="3"/>
  <c r="AG2773" i="3"/>
  <c r="F2773" i="3"/>
  <c r="Z2773" i="3"/>
  <c r="K2549" i="3"/>
  <c r="L2549" i="3"/>
  <c r="K3697" i="3"/>
  <c r="L3697" i="3"/>
  <c r="O2577" i="3"/>
  <c r="AD2577" i="3"/>
  <c r="K2801" i="3"/>
  <c r="L2801" i="3"/>
  <c r="Y2801" i="3"/>
  <c r="AC2801" i="3"/>
  <c r="AJ3697" i="3"/>
  <c r="AK3697" i="3"/>
  <c r="AH3725" i="3"/>
  <c r="X3725" i="3"/>
  <c r="V2801" i="3"/>
  <c r="U2801" i="3"/>
  <c r="N2801" i="3"/>
  <c r="AH2801" i="3"/>
  <c r="X2801" i="3"/>
  <c r="AI2801" i="3"/>
  <c r="S2801" i="3"/>
  <c r="AK2801" i="3"/>
  <c r="AL2801" i="3"/>
  <c r="R2801" i="3"/>
  <c r="M2801" i="3"/>
  <c r="AE2801" i="3"/>
  <c r="F2801" i="3"/>
  <c r="O3165" i="3"/>
  <c r="Z3697" i="3"/>
  <c r="AC3697" i="3"/>
  <c r="P3697" i="3"/>
  <c r="AF3697" i="3"/>
  <c r="N3697" i="3"/>
  <c r="Y3697" i="3"/>
  <c r="AE3697" i="3"/>
  <c r="M3697" i="3"/>
  <c r="AH3697" i="3"/>
  <c r="AL3697" i="3"/>
  <c r="O3697" i="3"/>
  <c r="AI3697" i="3"/>
  <c r="AD2997" i="3"/>
  <c r="Y2997" i="3"/>
  <c r="U2773" i="3"/>
  <c r="R2577" i="3"/>
  <c r="Z2801" i="3"/>
  <c r="S3697" i="3"/>
  <c r="U3697" i="3"/>
  <c r="AE3725" i="3"/>
  <c r="AL2997" i="3"/>
  <c r="W2997" i="3"/>
  <c r="AB2997" i="3"/>
  <c r="O2997" i="3"/>
  <c r="R2997" i="3"/>
  <c r="V2773" i="3"/>
  <c r="AA2773" i="3"/>
  <c r="AH2773" i="3"/>
  <c r="AC3725" i="3"/>
  <c r="AK2577" i="3"/>
  <c r="AG2577" i="3"/>
  <c r="O2801" i="3"/>
  <c r="E2801" i="3"/>
  <c r="Q2801" i="3"/>
  <c r="E3697" i="3"/>
  <c r="AG3697" i="3"/>
  <c r="AB3697" i="3"/>
  <c r="W3725" i="3"/>
  <c r="E3725" i="3"/>
  <c r="N3725" i="3"/>
  <c r="U3725" i="3"/>
  <c r="AL2577" i="3"/>
  <c r="Q3333" i="3"/>
  <c r="V2437" i="3"/>
  <c r="AL3389" i="3"/>
  <c r="O3333" i="3"/>
  <c r="E3557" i="3"/>
  <c r="AC3361" i="3"/>
  <c r="AE2577" i="3"/>
  <c r="AF2577" i="3"/>
  <c r="AC2577" i="3"/>
  <c r="E3361" i="3"/>
  <c r="AF3305" i="3"/>
  <c r="AD3697" i="3"/>
  <c r="P3725" i="3"/>
  <c r="K20" i="3"/>
  <c r="K197" i="3"/>
  <c r="J6" i="3"/>
  <c r="AL3361" i="3"/>
  <c r="P3277" i="3"/>
  <c r="K117" i="3"/>
  <c r="M131" i="3"/>
  <c r="K40" i="3"/>
  <c r="AE2521" i="3"/>
  <c r="AI2521" i="3"/>
  <c r="N2521" i="3"/>
  <c r="Y2521" i="3"/>
  <c r="K2521" i="3"/>
  <c r="L2521" i="3"/>
  <c r="R2521" i="3"/>
  <c r="E2521" i="3"/>
  <c r="AA2521" i="3"/>
  <c r="F2521" i="3"/>
  <c r="AD2521" i="3"/>
  <c r="V2521" i="3"/>
  <c r="AH2689" i="3"/>
  <c r="Z2689" i="3"/>
  <c r="U2689" i="3"/>
  <c r="T2689" i="3"/>
  <c r="E2689" i="3"/>
  <c r="Y2689" i="3"/>
  <c r="U2661" i="3"/>
  <c r="AJ2661" i="3"/>
  <c r="O2661" i="3"/>
  <c r="AA2605" i="3"/>
  <c r="AG2605" i="3"/>
  <c r="AH2633" i="3"/>
  <c r="AB2633" i="3"/>
  <c r="F2633" i="3"/>
  <c r="AD2633" i="3"/>
  <c r="AK2633" i="3"/>
  <c r="AI2633" i="3"/>
  <c r="AI2857" i="3"/>
  <c r="AD2857" i="3"/>
  <c r="F2857" i="3"/>
  <c r="S2857" i="3"/>
  <c r="AB2857" i="3"/>
  <c r="O2857" i="3"/>
  <c r="AL2857" i="3"/>
  <c r="X2857" i="3"/>
  <c r="M3109" i="3"/>
  <c r="Q3109" i="3"/>
  <c r="AF3109" i="3"/>
  <c r="W3109" i="3"/>
  <c r="AD3109" i="3"/>
  <c r="AB3109" i="3"/>
  <c r="AG3109" i="3"/>
  <c r="AI3109" i="3"/>
  <c r="S3109" i="3"/>
  <c r="K3109" i="3"/>
  <c r="L3109" i="3"/>
  <c r="U3109" i="3"/>
  <c r="Y3109" i="3"/>
  <c r="AL3025" i="3"/>
  <c r="N3025" i="3"/>
  <c r="F3025" i="3"/>
  <c r="AB3025" i="3"/>
  <c r="Z3025" i="3"/>
  <c r="AA3025" i="3"/>
  <c r="M3025" i="3"/>
  <c r="AD3025" i="3"/>
  <c r="AF3025" i="3"/>
  <c r="F2549" i="3"/>
  <c r="AK2549" i="3"/>
  <c r="U2549" i="3"/>
  <c r="V2549" i="3"/>
  <c r="M2549" i="3"/>
  <c r="AB2549" i="3"/>
  <c r="AA2549" i="3"/>
  <c r="R2549" i="3"/>
  <c r="AJ2549" i="3"/>
  <c r="AE2549" i="3"/>
  <c r="Q2549" i="3"/>
  <c r="AE2493" i="3"/>
  <c r="AK2493" i="3"/>
  <c r="O2493" i="3"/>
  <c r="P2745" i="3"/>
  <c r="F2745" i="3"/>
  <c r="E2745" i="3"/>
  <c r="AL2745" i="3"/>
  <c r="AH2745" i="3"/>
  <c r="AJ2745" i="3"/>
  <c r="S2745" i="3"/>
  <c r="AK2745" i="3"/>
  <c r="T2745" i="3"/>
  <c r="K2745" i="3"/>
  <c r="L2745" i="3"/>
  <c r="AD2745" i="3"/>
  <c r="Q3081" i="3"/>
  <c r="AB3081" i="3"/>
  <c r="AI3081" i="3"/>
  <c r="AC3193" i="3"/>
  <c r="M3193" i="3"/>
  <c r="E3193" i="3"/>
  <c r="F3445" i="3"/>
  <c r="N3445" i="3"/>
  <c r="AF3445" i="3"/>
  <c r="AE3445" i="3"/>
  <c r="AA3445" i="3"/>
  <c r="F3669" i="3"/>
  <c r="U3669" i="3"/>
  <c r="AF3669" i="3"/>
  <c r="Z3221" i="3"/>
  <c r="AF3221" i="3"/>
  <c r="T3221" i="3"/>
  <c r="O3221" i="3"/>
  <c r="U3221" i="3"/>
  <c r="AL3221" i="3"/>
  <c r="M3221" i="3"/>
  <c r="U3417" i="3"/>
  <c r="F3417" i="3"/>
  <c r="P3417" i="3"/>
  <c r="X3417" i="3"/>
  <c r="AI3417" i="3"/>
  <c r="AB3417" i="3"/>
  <c r="AF3417" i="3"/>
  <c r="V3417" i="3"/>
  <c r="AL3417" i="3"/>
  <c r="AE3417" i="3"/>
  <c r="AD3417" i="3"/>
  <c r="W3417" i="3"/>
  <c r="Y3417" i="3"/>
  <c r="R3417" i="3"/>
  <c r="K3417" i="3"/>
  <c r="L3417" i="3"/>
  <c r="AA3473" i="3"/>
  <c r="AF3473" i="3"/>
  <c r="E3473" i="3"/>
  <c r="V3529" i="3"/>
  <c r="Y3529" i="3"/>
  <c r="AG3641" i="3"/>
  <c r="K3641" i="3"/>
  <c r="L3641" i="3"/>
  <c r="AH3753" i="3"/>
  <c r="W3753" i="3"/>
  <c r="AE2661" i="3"/>
  <c r="Q2605" i="3"/>
  <c r="W2633" i="3"/>
  <c r="AC2689" i="3"/>
  <c r="F3109" i="3"/>
  <c r="O2549" i="3"/>
  <c r="U3529" i="3"/>
  <c r="S2521" i="3"/>
  <c r="Y2745" i="3"/>
  <c r="AH3417" i="3"/>
  <c r="O3417" i="3"/>
  <c r="V3557" i="3"/>
  <c r="AC3221" i="3"/>
  <c r="P2633" i="3"/>
  <c r="P197" i="3"/>
  <c r="R6" i="3"/>
  <c r="Y197" i="3"/>
  <c r="R197" i="3"/>
  <c r="T6" i="3"/>
  <c r="S197" i="3"/>
  <c r="U6" i="3"/>
  <c r="AB197" i="3"/>
  <c r="W197" i="3"/>
  <c r="Y6" i="3"/>
  <c r="AJ197" i="3"/>
  <c r="AI197" i="3"/>
  <c r="F197" i="3"/>
  <c r="L6" i="3"/>
  <c r="Q197" i="3"/>
  <c r="S6" i="3"/>
  <c r="U197" i="3"/>
  <c r="W6" i="3"/>
  <c r="AC2437" i="3"/>
  <c r="K2437" i="3"/>
  <c r="S2437" i="3"/>
  <c r="W2437" i="3"/>
  <c r="AH2437" i="3"/>
  <c r="T2437" i="3"/>
  <c r="AK2437" i="3"/>
  <c r="Y2465" i="3"/>
  <c r="AK2465" i="3"/>
  <c r="M2465" i="3"/>
  <c r="Z2465" i="3"/>
  <c r="R2465" i="3"/>
  <c r="K3165" i="3"/>
  <c r="L3165" i="3"/>
  <c r="AF3165" i="3"/>
  <c r="AD3165" i="3"/>
  <c r="X3165" i="3"/>
  <c r="V3165" i="3"/>
  <c r="AL3165" i="3"/>
  <c r="AG3333" i="3"/>
  <c r="R3333" i="3"/>
  <c r="AK3333" i="3"/>
  <c r="V3333" i="3"/>
  <c r="AD3333" i="3"/>
  <c r="M3333" i="3"/>
  <c r="P3333" i="3"/>
  <c r="U3333" i="3"/>
  <c r="E3333" i="3"/>
  <c r="AE3333" i="3"/>
  <c r="AI3333" i="3"/>
  <c r="V3501" i="3"/>
  <c r="Y3501" i="3"/>
  <c r="AK3501" i="3"/>
  <c r="T3501" i="3"/>
  <c r="AJ3501" i="3"/>
  <c r="AE3501" i="3"/>
  <c r="X3585" i="3"/>
  <c r="AL3585" i="3"/>
  <c r="Z2661" i="3"/>
  <c r="T3193" i="3"/>
  <c r="U3389" i="3"/>
  <c r="V197" i="3"/>
  <c r="X6" i="3"/>
  <c r="K2857" i="3"/>
  <c r="L2857" i="3"/>
  <c r="V2465" i="3"/>
  <c r="AH3333" i="3"/>
  <c r="AA3109" i="3"/>
  <c r="E2549" i="3"/>
  <c r="K3585" i="3"/>
  <c r="L3585" i="3"/>
  <c r="U3557" i="3"/>
  <c r="Z2437" i="3"/>
  <c r="O2521" i="3"/>
  <c r="AI2745" i="3"/>
  <c r="T3025" i="3"/>
  <c r="T3417" i="3"/>
  <c r="V3081" i="3"/>
  <c r="E3165" i="3"/>
  <c r="AK3445" i="3"/>
  <c r="Z2857" i="3"/>
  <c r="AK2605" i="3"/>
  <c r="T3389" i="3"/>
  <c r="Q2689" i="3"/>
  <c r="Q2661" i="3"/>
  <c r="Y2717" i="3"/>
  <c r="AA2829" i="3"/>
  <c r="F2885" i="3"/>
  <c r="AI2941" i="3"/>
  <c r="U3081" i="3"/>
  <c r="AG3137" i="3"/>
  <c r="X3333" i="3"/>
  <c r="AK3389" i="3"/>
  <c r="K71" i="3"/>
  <c r="M126" i="3"/>
  <c r="M117" i="3"/>
  <c r="M122" i="3"/>
  <c r="M130" i="3"/>
  <c r="K104" i="3"/>
  <c r="M92" i="3"/>
  <c r="K126" i="3"/>
  <c r="K114" i="3"/>
  <c r="K79" i="3"/>
  <c r="K74" i="3"/>
  <c r="K122" i="3"/>
  <c r="K96" i="3"/>
  <c r="M36" i="3"/>
  <c r="M25" i="3"/>
  <c r="K51" i="3"/>
  <c r="M64" i="3"/>
  <c r="M37" i="3"/>
  <c r="M99" i="3"/>
  <c r="M75" i="3"/>
  <c r="K73" i="3"/>
  <c r="K123" i="3"/>
  <c r="K116" i="3"/>
  <c r="K124" i="3"/>
  <c r="M95" i="3"/>
  <c r="K95" i="3"/>
  <c r="M94" i="3"/>
  <c r="K82" i="3"/>
  <c r="K130" i="3"/>
  <c r="K105" i="3"/>
  <c r="M96" i="3"/>
  <c r="M7" i="3"/>
  <c r="K18" i="3"/>
  <c r="M19" i="3"/>
  <c r="K19" i="3"/>
  <c r="K11" i="3"/>
  <c r="K69" i="3"/>
  <c r="K35" i="3"/>
  <c r="M123" i="3"/>
  <c r="M70" i="3"/>
  <c r="M74" i="3"/>
  <c r="X3081" i="3"/>
  <c r="AK2521" i="3"/>
  <c r="AB2829" i="3"/>
  <c r="AA3137" i="3"/>
  <c r="P3613" i="3"/>
  <c r="Z3585" i="3"/>
  <c r="M97" i="3"/>
  <c r="K97" i="3"/>
  <c r="AK197" i="3"/>
  <c r="AD197" i="3"/>
  <c r="AH197" i="3"/>
  <c r="AC2549" i="3"/>
  <c r="W2549" i="3"/>
  <c r="N2549" i="3"/>
  <c r="AL2549" i="3"/>
  <c r="Z2549" i="3"/>
  <c r="AF2549" i="3"/>
  <c r="X2549" i="3"/>
  <c r="W2605" i="3"/>
  <c r="Z2605" i="3"/>
  <c r="AH2605" i="3"/>
  <c r="X2465" i="3"/>
  <c r="F2465" i="3"/>
  <c r="T2465" i="3"/>
  <c r="T2521" i="3"/>
  <c r="W2521" i="3"/>
  <c r="P2521" i="3"/>
  <c r="U2521" i="3"/>
  <c r="Q2521" i="3"/>
  <c r="U2437" i="3"/>
  <c r="M2437" i="3"/>
  <c r="AJ2437" i="3"/>
  <c r="AL2437" i="3"/>
  <c r="P2577" i="3"/>
  <c r="Z2577" i="3"/>
  <c r="Q2577" i="3"/>
  <c r="V2577" i="3"/>
  <c r="AA2577" i="3"/>
  <c r="X2577" i="3"/>
  <c r="F2577" i="3"/>
  <c r="AE2745" i="3"/>
  <c r="AF2745" i="3"/>
  <c r="W2745" i="3"/>
  <c r="AB2745" i="3"/>
  <c r="U2745" i="3"/>
  <c r="Z2745" i="3"/>
  <c r="AG3025" i="3"/>
  <c r="R3025" i="3"/>
  <c r="AK3025" i="3"/>
  <c r="AH3025" i="3"/>
  <c r="AE3025" i="3"/>
  <c r="W3025" i="3"/>
  <c r="U3025" i="3"/>
  <c r="Y3025" i="3"/>
  <c r="Q3025" i="3"/>
  <c r="O3025" i="3"/>
  <c r="P3025" i="3"/>
  <c r="K3025" i="3"/>
  <c r="L3025" i="3"/>
  <c r="X3109" i="3"/>
  <c r="AE3109" i="3"/>
  <c r="E3109" i="3"/>
  <c r="AC3109" i="3"/>
  <c r="Z3109" i="3"/>
  <c r="R3109" i="3"/>
  <c r="AH3109" i="3"/>
  <c r="N3109" i="3"/>
  <c r="AL3193" i="3"/>
  <c r="Z3193" i="3"/>
  <c r="AE3193" i="3"/>
  <c r="AG3361" i="3"/>
  <c r="AA3361" i="3"/>
  <c r="F3361" i="3"/>
  <c r="AE3361" i="3"/>
  <c r="N3361" i="3"/>
  <c r="K3361" i="3"/>
  <c r="L3361" i="3"/>
  <c r="AK3557" i="3"/>
  <c r="AJ3557" i="3"/>
  <c r="AE3669" i="3"/>
  <c r="AI3669" i="3"/>
  <c r="P3669" i="3"/>
  <c r="K3249" i="3"/>
  <c r="L3249" i="3"/>
  <c r="F3249" i="3"/>
  <c r="Z3473" i="3"/>
  <c r="AK3473" i="3"/>
  <c r="Z3641" i="3"/>
  <c r="P3641" i="3"/>
  <c r="F3641" i="3"/>
  <c r="AK3641" i="3"/>
  <c r="O3641" i="3"/>
  <c r="AB3641" i="3"/>
  <c r="K94" i="3"/>
  <c r="M127" i="3"/>
  <c r="AC2829" i="3"/>
  <c r="V2829" i="3"/>
  <c r="X2829" i="3"/>
  <c r="E2829" i="3"/>
  <c r="R3081" i="3"/>
  <c r="T3081" i="3"/>
  <c r="E3081" i="3"/>
  <c r="W3165" i="3"/>
  <c r="AJ3165" i="3"/>
  <c r="F3165" i="3"/>
  <c r="R3165" i="3"/>
  <c r="M3165" i="3"/>
  <c r="N3165" i="3"/>
  <c r="AH3165" i="3"/>
  <c r="P3165" i="3"/>
  <c r="Q3165" i="3"/>
  <c r="AH3305" i="3"/>
  <c r="F3305" i="3"/>
  <c r="Q3305" i="3"/>
  <c r="AB3305" i="3"/>
  <c r="AK3305" i="3"/>
  <c r="E3501" i="3"/>
  <c r="AF3501" i="3"/>
  <c r="P3501" i="3"/>
  <c r="AG3501" i="3"/>
  <c r="AB3501" i="3"/>
  <c r="Q3501" i="3"/>
  <c r="F3501" i="3"/>
  <c r="AI3501" i="3"/>
  <c r="Y3613" i="3"/>
  <c r="AH3613" i="3"/>
  <c r="AJ3613" i="3"/>
  <c r="N3221" i="3"/>
  <c r="W3221" i="3"/>
  <c r="E3221" i="3"/>
  <c r="AH3221" i="3"/>
  <c r="F3221" i="3"/>
  <c r="Y3221" i="3"/>
  <c r="AB3221" i="3"/>
  <c r="S3221" i="3"/>
  <c r="AG3221" i="3"/>
  <c r="Z3445" i="3"/>
  <c r="X3445" i="3"/>
  <c r="U3445" i="3"/>
  <c r="Q3445" i="3"/>
  <c r="T3445" i="3"/>
  <c r="AJ3445" i="3"/>
  <c r="AL3445" i="3"/>
  <c r="AH3445" i="3"/>
  <c r="AC3445" i="3"/>
  <c r="AG3529" i="3"/>
  <c r="R3529" i="3"/>
  <c r="AJ3529" i="3"/>
  <c r="AD3529" i="3"/>
  <c r="AA3529" i="3"/>
  <c r="AB3529" i="3"/>
  <c r="AH3529" i="3"/>
  <c r="AH3585" i="3"/>
  <c r="F3585" i="3"/>
  <c r="AJ3585" i="3"/>
  <c r="AA3585" i="3"/>
  <c r="Q3585" i="3"/>
  <c r="Q3753" i="3"/>
  <c r="AK3753" i="3"/>
  <c r="T3753" i="3"/>
  <c r="R3753" i="3"/>
  <c r="AJ3753" i="3"/>
  <c r="N3753" i="3"/>
  <c r="AC3753" i="3"/>
  <c r="T2661" i="3"/>
  <c r="AK2661" i="3"/>
  <c r="AD3193" i="3"/>
  <c r="AF2605" i="3"/>
  <c r="V2605" i="3"/>
  <c r="U3165" i="3"/>
  <c r="M3361" i="3"/>
  <c r="AF197" i="3"/>
  <c r="N197" i="3"/>
  <c r="P6" i="3"/>
  <c r="AM197" i="3"/>
  <c r="I6" i="3"/>
  <c r="O197" i="3"/>
  <c r="Q6" i="3"/>
  <c r="AA3081" i="3"/>
  <c r="N3193" i="3"/>
  <c r="AL2689" i="3"/>
  <c r="N2689" i="3"/>
  <c r="U2465" i="3"/>
  <c r="AD2465" i="3"/>
  <c r="Z3333" i="3"/>
  <c r="AF3333" i="3"/>
  <c r="S3333" i="3"/>
  <c r="AB3333" i="3"/>
  <c r="AJ3333" i="3"/>
  <c r="AL3109" i="3"/>
  <c r="T3109" i="3"/>
  <c r="O3109" i="3"/>
  <c r="AJ3109" i="3"/>
  <c r="P2549" i="3"/>
  <c r="T2549" i="3"/>
  <c r="Y2549" i="3"/>
  <c r="S2549" i="3"/>
  <c r="AH2549" i="3"/>
  <c r="Q2437" i="3"/>
  <c r="O3753" i="3"/>
  <c r="F3613" i="3"/>
  <c r="O3445" i="3"/>
  <c r="AL3473" i="3"/>
  <c r="AC3501" i="3"/>
  <c r="R2437" i="3"/>
  <c r="X197" i="3"/>
  <c r="Z6" i="3"/>
  <c r="X2437" i="3"/>
  <c r="N2437" i="3"/>
  <c r="AI2437" i="3"/>
  <c r="X2521" i="3"/>
  <c r="AJ2521" i="3"/>
  <c r="AB2521" i="3"/>
  <c r="AF2521" i="3"/>
  <c r="K2577" i="3"/>
  <c r="L2577" i="3"/>
  <c r="AH2577" i="3"/>
  <c r="E2577" i="3"/>
  <c r="M2577" i="3"/>
  <c r="V2745" i="3"/>
  <c r="N2745" i="3"/>
  <c r="X2745" i="3"/>
  <c r="O2745" i="3"/>
  <c r="AJ3025" i="3"/>
  <c r="V3025" i="3"/>
  <c r="E3025" i="3"/>
  <c r="P3109" i="3"/>
  <c r="AK3109" i="3"/>
  <c r="AD3669" i="3"/>
  <c r="F3557" i="3"/>
  <c r="AA3669" i="3"/>
  <c r="K3557" i="3"/>
  <c r="L3557" i="3"/>
  <c r="AI3165" i="3"/>
  <c r="Y3165" i="3"/>
  <c r="Z3165" i="3"/>
  <c r="P3221" i="3"/>
  <c r="AK3221" i="3"/>
  <c r="AI3221" i="3"/>
  <c r="R3445" i="3"/>
  <c r="AD3445" i="3"/>
  <c r="R3501" i="3"/>
  <c r="O3501" i="3"/>
  <c r="R3473" i="3"/>
  <c r="AJ3473" i="3"/>
  <c r="W3473" i="3"/>
  <c r="M13" i="3"/>
  <c r="K13" i="3"/>
  <c r="M50" i="3"/>
  <c r="K64" i="3"/>
  <c r="M69" i="3"/>
  <c r="M71" i="3"/>
  <c r="M61" i="3"/>
  <c r="AH2857" i="3"/>
  <c r="P3473" i="3"/>
  <c r="T2857" i="3"/>
  <c r="U3585" i="3"/>
  <c r="O2829" i="3"/>
  <c r="AJ2465" i="3"/>
  <c r="AD2773" i="3"/>
  <c r="X3361" i="3"/>
  <c r="K3305" i="3"/>
  <c r="L3305" i="3"/>
  <c r="AE3249" i="3"/>
  <c r="F3529" i="3"/>
  <c r="M3753" i="3"/>
  <c r="X3697" i="3"/>
  <c r="R3725" i="3"/>
  <c r="M78" i="3"/>
  <c r="M116" i="3"/>
  <c r="K127" i="3"/>
  <c r="K91" i="3"/>
  <c r="M102" i="3"/>
  <c r="M118" i="3"/>
  <c r="K87" i="3"/>
  <c r="M88" i="3"/>
  <c r="K108" i="3"/>
  <c r="F2689" i="3"/>
  <c r="AI2717" i="3"/>
  <c r="V2493" i="3"/>
  <c r="T2605" i="3"/>
  <c r="M2829" i="3"/>
  <c r="W2941" i="3"/>
  <c r="V3053" i="3"/>
  <c r="N3081" i="3"/>
  <c r="E3137" i="3"/>
  <c r="P3193" i="3"/>
  <c r="AC3333" i="3"/>
  <c r="AG3389" i="3"/>
  <c r="W3249" i="3"/>
  <c r="E3613" i="3"/>
  <c r="S3669" i="3"/>
  <c r="AE3305" i="3"/>
  <c r="M3473" i="3"/>
  <c r="X3529" i="3"/>
  <c r="AF3585" i="3"/>
  <c r="R3641" i="3"/>
  <c r="X3753" i="3"/>
  <c r="K90" i="3"/>
  <c r="M124" i="3"/>
  <c r="M85" i="3"/>
  <c r="M91" i="3"/>
  <c r="M129" i="3"/>
  <c r="K129" i="3"/>
  <c r="M40" i="3"/>
  <c r="K16" i="3"/>
  <c r="K41" i="3"/>
  <c r="M44" i="3"/>
  <c r="U3305" i="3"/>
  <c r="T3585" i="3"/>
  <c r="Y2857" i="3"/>
  <c r="AE2857" i="3"/>
  <c r="Z3081" i="3"/>
  <c r="AE3081" i="3"/>
  <c r="P3081" i="3"/>
  <c r="W3193" i="3"/>
  <c r="Q3389" i="3"/>
  <c r="AI3529" i="3"/>
  <c r="AC3585" i="3"/>
  <c r="V3473" i="3"/>
  <c r="AI3361" i="3"/>
  <c r="AB3473" i="3"/>
  <c r="N3305" i="3"/>
  <c r="AE2829" i="3"/>
  <c r="N2493" i="3"/>
  <c r="AF2493" i="3"/>
  <c r="AC2605" i="3"/>
  <c r="AH2465" i="3"/>
  <c r="S3081" i="3"/>
  <c r="AI3193" i="3"/>
  <c r="AF3389" i="3"/>
  <c r="AI3641" i="3"/>
  <c r="K132" i="3"/>
  <c r="M132" i="3"/>
  <c r="M107" i="3"/>
  <c r="K100" i="3"/>
  <c r="K44" i="3"/>
  <c r="K65" i="3"/>
  <c r="K59" i="3"/>
  <c r="AF2717" i="3"/>
  <c r="O2717" i="3"/>
  <c r="V2661" i="3"/>
  <c r="AA2661" i="3"/>
  <c r="M2661" i="3"/>
  <c r="Y2661" i="3"/>
  <c r="AH2661" i="3"/>
  <c r="U2493" i="3"/>
  <c r="P2493" i="3"/>
  <c r="R2493" i="3"/>
  <c r="T2493" i="3"/>
  <c r="K2493" i="3"/>
  <c r="L2493" i="3"/>
  <c r="AL2493" i="3"/>
  <c r="Y2493" i="3"/>
  <c r="Q2493" i="3"/>
  <c r="AA2493" i="3"/>
  <c r="AH2493" i="3"/>
  <c r="AD2493" i="3"/>
  <c r="AG2493" i="3"/>
  <c r="Z2493" i="3"/>
  <c r="AC2493" i="3"/>
  <c r="AJ2493" i="3"/>
  <c r="E2605" i="3"/>
  <c r="AI2605" i="3"/>
  <c r="F2605" i="3"/>
  <c r="U2829" i="3"/>
  <c r="P2829" i="3"/>
  <c r="R2829" i="3"/>
  <c r="AD2829" i="3"/>
  <c r="AJ2829" i="3"/>
  <c r="AL2829" i="3"/>
  <c r="Z2829" i="3"/>
  <c r="N2829" i="3"/>
  <c r="Q2829" i="3"/>
  <c r="AI2829" i="3"/>
  <c r="K2829" i="3"/>
  <c r="L2829" i="3"/>
  <c r="W2829" i="3"/>
  <c r="Y2829" i="3"/>
  <c r="T2829" i="3"/>
  <c r="S2829" i="3"/>
  <c r="W2857" i="3"/>
  <c r="P2857" i="3"/>
  <c r="V2857" i="3"/>
  <c r="R2857" i="3"/>
  <c r="AF2857" i="3"/>
  <c r="AJ2857" i="3"/>
  <c r="Q2857" i="3"/>
  <c r="E2857" i="3"/>
  <c r="AG2857" i="3"/>
  <c r="X2885" i="3"/>
  <c r="AC2885" i="3"/>
  <c r="N2885" i="3"/>
  <c r="V2885" i="3"/>
  <c r="R3053" i="3"/>
  <c r="AI3053" i="3"/>
  <c r="AJ3053" i="3"/>
  <c r="M3081" i="3"/>
  <c r="O3081" i="3"/>
  <c r="K3081" i="3"/>
  <c r="L3081" i="3"/>
  <c r="AL3081" i="3"/>
  <c r="AH3081" i="3"/>
  <c r="X3025" i="3"/>
  <c r="AI3025" i="3"/>
  <c r="Z3613" i="3"/>
  <c r="AG3613" i="3"/>
  <c r="K3613" i="3"/>
  <c r="L3613" i="3"/>
  <c r="AH3473" i="3"/>
  <c r="Q3473" i="3"/>
  <c r="AC3473" i="3"/>
  <c r="U3473" i="3"/>
  <c r="F3473" i="3"/>
  <c r="T3473" i="3"/>
  <c r="Y3473" i="3"/>
  <c r="AI3473" i="3"/>
  <c r="O3473" i="3"/>
  <c r="X3473" i="3"/>
  <c r="P3585" i="3"/>
  <c r="E3585" i="3"/>
  <c r="AD3585" i="3"/>
  <c r="W3585" i="3"/>
  <c r="O3585" i="3"/>
  <c r="AB3585" i="3"/>
  <c r="R3585" i="3"/>
  <c r="AE3585" i="3"/>
  <c r="AG3585" i="3"/>
  <c r="S3585" i="3"/>
  <c r="M3585" i="3"/>
  <c r="Y3585" i="3"/>
  <c r="AK3585" i="3"/>
  <c r="AJ3641" i="3"/>
  <c r="E3641" i="3"/>
  <c r="AL3641" i="3"/>
  <c r="K111" i="3"/>
  <c r="M111" i="3"/>
  <c r="M112" i="3"/>
  <c r="K112" i="3"/>
  <c r="M115" i="3"/>
  <c r="M27" i="3"/>
  <c r="M31" i="3"/>
  <c r="AD3081" i="3"/>
  <c r="N3613" i="3"/>
  <c r="AF2689" i="3"/>
  <c r="AC2857" i="3"/>
  <c r="AA2857" i="3"/>
  <c r="AC3081" i="3"/>
  <c r="F3081" i="3"/>
  <c r="AF3081" i="3"/>
  <c r="AI3389" i="3"/>
  <c r="E3529" i="3"/>
  <c r="AI3585" i="3"/>
  <c r="V3585" i="3"/>
  <c r="S3753" i="3"/>
  <c r="AE3473" i="3"/>
  <c r="X3641" i="3"/>
  <c r="Q3613" i="3"/>
  <c r="AD3305" i="3"/>
  <c r="AA3305" i="3"/>
  <c r="AE3641" i="3"/>
  <c r="O2605" i="3"/>
  <c r="AG2829" i="3"/>
  <c r="AA3053" i="3"/>
  <c r="M2493" i="3"/>
  <c r="S3025" i="3"/>
  <c r="S2493" i="3"/>
  <c r="M87" i="3"/>
  <c r="X2605" i="3"/>
  <c r="F2493" i="3"/>
  <c r="W2493" i="3"/>
  <c r="E3053" i="3"/>
  <c r="AF2437" i="3"/>
  <c r="AG2465" i="3"/>
  <c r="AI2493" i="3"/>
  <c r="AK2689" i="3"/>
  <c r="R2605" i="3"/>
  <c r="X2633" i="3"/>
  <c r="Q2633" i="3"/>
  <c r="AC2633" i="3"/>
  <c r="F2829" i="3"/>
  <c r="M2857" i="3"/>
  <c r="AE2941" i="3"/>
  <c r="R2941" i="3"/>
  <c r="Q2941" i="3"/>
  <c r="T2941" i="3"/>
  <c r="AK2941" i="3"/>
  <c r="AD2941" i="3"/>
  <c r="AI3137" i="3"/>
  <c r="P3137" i="3"/>
  <c r="M3137" i="3"/>
  <c r="AH3137" i="3"/>
  <c r="U3361" i="3"/>
  <c r="Y3361" i="3"/>
  <c r="W3361" i="3"/>
  <c r="AJ3361" i="3"/>
  <c r="AK3361" i="3"/>
  <c r="O3361" i="3"/>
  <c r="V3361" i="3"/>
  <c r="T3361" i="3"/>
  <c r="S3361" i="3"/>
  <c r="Z3361" i="3"/>
  <c r="P3361" i="3"/>
  <c r="AH3361" i="3"/>
  <c r="R3361" i="3"/>
  <c r="AF3361" i="3"/>
  <c r="AB3277" i="3"/>
  <c r="F3277" i="3"/>
  <c r="R3277" i="3"/>
  <c r="AI3277" i="3"/>
  <c r="AG3417" i="3"/>
  <c r="N3557" i="3"/>
  <c r="Y3557" i="3"/>
  <c r="AL3557" i="3"/>
  <c r="O3557" i="3"/>
  <c r="AL3305" i="3"/>
  <c r="AI3305" i="3"/>
  <c r="R3305" i="3"/>
  <c r="W3305" i="3"/>
  <c r="T3305" i="3"/>
  <c r="AC3305" i="3"/>
  <c r="Y3305" i="3"/>
  <c r="X3305" i="3"/>
  <c r="P3305" i="3"/>
  <c r="Z3305" i="3"/>
  <c r="AG3305" i="3"/>
  <c r="M3305" i="3"/>
  <c r="S3305" i="3"/>
  <c r="O3305" i="3"/>
  <c r="E3305" i="3"/>
  <c r="V3305" i="3"/>
  <c r="AA3249" i="3"/>
  <c r="AF3249" i="3"/>
  <c r="S3249" i="3"/>
  <c r="Q3249" i="3"/>
  <c r="V3445" i="3"/>
  <c r="AL3529" i="3"/>
  <c r="Q3529" i="3"/>
  <c r="Z3529" i="3"/>
  <c r="AF3529" i="3"/>
  <c r="AC3529" i="3"/>
  <c r="AE3529" i="3"/>
  <c r="W3529" i="3"/>
  <c r="N3529" i="3"/>
  <c r="K3529" i="3"/>
  <c r="L3529" i="3"/>
  <c r="M3529" i="3"/>
  <c r="S3529" i="3"/>
  <c r="AK3529" i="3"/>
  <c r="P3529" i="3"/>
  <c r="O3529" i="3"/>
  <c r="T3529" i="3"/>
  <c r="AG3753" i="3"/>
  <c r="AE3753" i="3"/>
  <c r="V3753" i="3"/>
  <c r="AF3753" i="3"/>
  <c r="Y3753" i="3"/>
  <c r="K3753" i="3"/>
  <c r="L3753" i="3"/>
  <c r="AL3753" i="3"/>
  <c r="AD3753" i="3"/>
  <c r="E3753" i="3"/>
  <c r="AB3753" i="3"/>
  <c r="M3725" i="3"/>
  <c r="AB3725" i="3"/>
  <c r="AI3725" i="3"/>
  <c r="U3641" i="3"/>
  <c r="AK3081" i="3"/>
  <c r="Y3081" i="3"/>
  <c r="AG3081" i="3"/>
  <c r="AJ3081" i="3"/>
  <c r="X3389" i="3"/>
  <c r="Y3641" i="3"/>
  <c r="AA3641" i="3"/>
  <c r="S3641" i="3"/>
  <c r="AD2605" i="3"/>
  <c r="M2605" i="3"/>
  <c r="AJ2605" i="3"/>
  <c r="U2605" i="3"/>
  <c r="K98" i="3"/>
  <c r="AE2605" i="3"/>
  <c r="Y2605" i="3"/>
  <c r="AB2605" i="3"/>
  <c r="S2605" i="3"/>
  <c r="O3669" i="3"/>
  <c r="AF3641" i="3"/>
  <c r="AD3641" i="3"/>
  <c r="T3641" i="3"/>
  <c r="AC3641" i="3"/>
  <c r="M3641" i="3"/>
  <c r="K93" i="3"/>
  <c r="M93" i="3"/>
  <c r="AH2717" i="3"/>
  <c r="N3585" i="3"/>
  <c r="V3725" i="3"/>
  <c r="M82" i="3"/>
  <c r="K125" i="3"/>
  <c r="K113" i="3"/>
  <c r="M106" i="3"/>
  <c r="K23" i="3"/>
  <c r="K12" i="3"/>
  <c r="L841" i="3"/>
  <c r="I29" i="3"/>
  <c r="K29" i="3"/>
  <c r="M59" i="3"/>
  <c r="K61" i="3"/>
  <c r="L1793" i="3"/>
  <c r="I63" i="3"/>
  <c r="K63" i="3"/>
  <c r="M5" i="3"/>
  <c r="M16" i="3"/>
  <c r="K25" i="3"/>
  <c r="M45" i="3"/>
  <c r="M33" i="3"/>
  <c r="K33" i="3"/>
  <c r="K53" i="3"/>
  <c r="M54" i="3"/>
  <c r="M11" i="3"/>
  <c r="M41" i="3"/>
  <c r="K34" i="3"/>
  <c r="K36" i="3"/>
  <c r="AA197" i="3"/>
  <c r="E197" i="3"/>
  <c r="AL197" i="3"/>
  <c r="AG197" i="3"/>
  <c r="AC197" i="3"/>
  <c r="W2465" i="3"/>
  <c r="AI2465" i="3"/>
  <c r="E2465" i="3"/>
  <c r="N2465" i="3"/>
  <c r="K2465" i="3"/>
  <c r="L2465" i="3"/>
  <c r="AE2465" i="3"/>
  <c r="Q2465" i="3"/>
  <c r="AL2465" i="3"/>
  <c r="P2465" i="3"/>
  <c r="AB2465" i="3"/>
  <c r="AC2465" i="3"/>
  <c r="S2465" i="3"/>
  <c r="AA2465" i="3"/>
  <c r="AF2465" i="3"/>
  <c r="O2465" i="3"/>
  <c r="E2437" i="3"/>
  <c r="AG2437" i="3"/>
  <c r="AE2437" i="3"/>
  <c r="AB2437" i="3"/>
  <c r="P2437" i="3"/>
  <c r="AD2437" i="3"/>
  <c r="AM2437" i="3"/>
  <c r="Y2437" i="3"/>
  <c r="AC2661" i="3"/>
  <c r="AF2661" i="3"/>
  <c r="W2661" i="3"/>
  <c r="F2661" i="3"/>
  <c r="P2661" i="3"/>
  <c r="AI2661" i="3"/>
  <c r="AB2661" i="3"/>
  <c r="AD2661" i="3"/>
  <c r="K2661" i="3"/>
  <c r="L2661" i="3"/>
  <c r="S2661" i="3"/>
  <c r="AL2661" i="3"/>
  <c r="E2661" i="3"/>
  <c r="X2661" i="3"/>
  <c r="N2661" i="3"/>
  <c r="Z2521" i="3"/>
  <c r="AC2521" i="3"/>
  <c r="M2521" i="3"/>
  <c r="AG2521" i="3"/>
  <c r="AL2521" i="3"/>
  <c r="F2717" i="3"/>
  <c r="W2717" i="3"/>
  <c r="AC2717" i="3"/>
  <c r="N2717" i="3"/>
  <c r="AJ2717" i="3"/>
  <c r="Q2717" i="3"/>
  <c r="S2717" i="3"/>
  <c r="AK2717" i="3"/>
  <c r="AE2717" i="3"/>
  <c r="AG2717" i="3"/>
  <c r="X2717" i="3"/>
  <c r="AB2717" i="3"/>
  <c r="R2717" i="3"/>
  <c r="AA2717" i="3"/>
  <c r="V2717" i="3"/>
  <c r="U2717" i="3"/>
  <c r="AD2717" i="3"/>
  <c r="M2717" i="3"/>
  <c r="K2717" i="3"/>
  <c r="L2717" i="3"/>
  <c r="E2717" i="3"/>
  <c r="P2717" i="3"/>
  <c r="AL2717" i="3"/>
  <c r="Z2717" i="3"/>
  <c r="T2717" i="3"/>
  <c r="AE2633" i="3"/>
  <c r="AJ2633" i="3"/>
  <c r="S2633" i="3"/>
  <c r="V2633" i="3"/>
  <c r="U2633" i="3"/>
  <c r="Z2633" i="3"/>
  <c r="N2633" i="3"/>
  <c r="O2633" i="3"/>
  <c r="AG2633" i="3"/>
  <c r="T2633" i="3"/>
  <c r="E2633" i="3"/>
  <c r="AA2633" i="3"/>
  <c r="AL2633" i="3"/>
  <c r="R2633" i="3"/>
  <c r="K2633" i="3"/>
  <c r="L2633" i="3"/>
  <c r="AF2633" i="3"/>
  <c r="M2633" i="3"/>
  <c r="Y2633" i="3"/>
  <c r="AI2549" i="3"/>
  <c r="AG2549" i="3"/>
  <c r="T2577" i="3"/>
  <c r="AJ2577" i="3"/>
  <c r="AA2689" i="3"/>
  <c r="S2689" i="3"/>
  <c r="V2689" i="3"/>
  <c r="AD2689" i="3"/>
  <c r="K2689" i="3"/>
  <c r="L2689" i="3"/>
  <c r="AB2689" i="3"/>
  <c r="M2689" i="3"/>
  <c r="AI2689" i="3"/>
  <c r="P2689" i="3"/>
  <c r="O2689" i="3"/>
  <c r="X2689" i="3"/>
  <c r="AG2689" i="3"/>
  <c r="W2689" i="3"/>
  <c r="AE2689" i="3"/>
  <c r="AJ2689" i="3"/>
  <c r="E2773" i="3"/>
  <c r="P2773" i="3"/>
  <c r="O2773" i="3"/>
  <c r="Q2745" i="3"/>
  <c r="M2745" i="3"/>
  <c r="AG2745" i="3"/>
  <c r="R2745" i="3"/>
  <c r="AC2745" i="3"/>
  <c r="AB2801" i="3"/>
  <c r="T2801" i="3"/>
  <c r="W2801" i="3"/>
  <c r="AA2801" i="3"/>
  <c r="O2885" i="3"/>
  <c r="AG2885" i="3"/>
  <c r="AE2885" i="3"/>
  <c r="AH2885" i="3"/>
  <c r="U2885" i="3"/>
  <c r="W2885" i="3"/>
  <c r="K2885" i="3"/>
  <c r="L2885" i="3"/>
  <c r="AL2885" i="3"/>
  <c r="AJ2885" i="3"/>
  <c r="R2885" i="3"/>
  <c r="AK2885" i="3"/>
  <c r="AB2885" i="3"/>
  <c r="Q2885" i="3"/>
  <c r="P2885" i="3"/>
  <c r="AA2885" i="3"/>
  <c r="S2885" i="3"/>
  <c r="Z2885" i="3"/>
  <c r="AD2885" i="3"/>
  <c r="Y2885" i="3"/>
  <c r="T2885" i="3"/>
  <c r="AF2885" i="3"/>
  <c r="M2885" i="3"/>
  <c r="AI2885" i="3"/>
  <c r="E2885" i="3"/>
  <c r="V2941" i="3"/>
  <c r="F2941" i="3"/>
  <c r="N2941" i="3"/>
  <c r="AF2941" i="3"/>
  <c r="Z2941" i="3"/>
  <c r="O2941" i="3"/>
  <c r="M2941" i="3"/>
  <c r="AG2941" i="3"/>
  <c r="AB2941" i="3"/>
  <c r="AA2941" i="3"/>
  <c r="S2941" i="3"/>
  <c r="AC2941" i="3"/>
  <c r="AL2941" i="3"/>
  <c r="K2941" i="3"/>
  <c r="L2941" i="3"/>
  <c r="P2941" i="3"/>
  <c r="AH2941" i="3"/>
  <c r="AJ2941" i="3"/>
  <c r="E2941" i="3"/>
  <c r="Y2941" i="3"/>
  <c r="U2941" i="3"/>
  <c r="N2997" i="3"/>
  <c r="AE2997" i="3"/>
  <c r="AE3053" i="3"/>
  <c r="U3053" i="3"/>
  <c r="T3053" i="3"/>
  <c r="AG3053" i="3"/>
  <c r="X3053" i="3"/>
  <c r="AD3053" i="3"/>
  <c r="M3053" i="3"/>
  <c r="AL3053" i="3"/>
  <c r="K3053" i="3"/>
  <c r="L3053" i="3"/>
  <c r="P3053" i="3"/>
  <c r="AH3053" i="3"/>
  <c r="AK3053" i="3"/>
  <c r="Q3053" i="3"/>
  <c r="F3053" i="3"/>
  <c r="AB3053" i="3"/>
  <c r="Y3053" i="3"/>
  <c r="AF3053" i="3"/>
  <c r="O3053" i="3"/>
  <c r="Z3053" i="3"/>
  <c r="W3053" i="3"/>
  <c r="S3053" i="3"/>
  <c r="N3053" i="3"/>
  <c r="AC3053" i="3"/>
  <c r="U3137" i="3"/>
  <c r="Y3137" i="3"/>
  <c r="AE3137" i="3"/>
  <c r="R3137" i="3"/>
  <c r="V3137" i="3"/>
  <c r="AF3137" i="3"/>
  <c r="W3137" i="3"/>
  <c r="T3137" i="3"/>
  <c r="AK3137" i="3"/>
  <c r="X3137" i="3"/>
  <c r="AJ3137" i="3"/>
  <c r="O3137" i="3"/>
  <c r="AC3137" i="3"/>
  <c r="K3137" i="3"/>
  <c r="L3137" i="3"/>
  <c r="AL3137" i="3"/>
  <c r="N3137" i="3"/>
  <c r="AD3137" i="3"/>
  <c r="Q3137" i="3"/>
  <c r="AB3137" i="3"/>
  <c r="Z3137" i="3"/>
  <c r="F3137" i="3"/>
  <c r="S3137" i="3"/>
  <c r="AB3165" i="3"/>
  <c r="AC3165" i="3"/>
  <c r="AG3165" i="3"/>
  <c r="S3165" i="3"/>
  <c r="AA3165" i="3"/>
  <c r="T3165" i="3"/>
  <c r="AE3165" i="3"/>
  <c r="AF3193" i="3"/>
  <c r="AA3193" i="3"/>
  <c r="AG3193" i="3"/>
  <c r="AK3193" i="3"/>
  <c r="S3193" i="3"/>
  <c r="X3193" i="3"/>
  <c r="K3193" i="3"/>
  <c r="L3193" i="3"/>
  <c r="F3193" i="3"/>
  <c r="AJ3193" i="3"/>
  <c r="AB3193" i="3"/>
  <c r="R3193" i="3"/>
  <c r="O3193" i="3"/>
  <c r="Q3193" i="3"/>
  <c r="V3193" i="3"/>
  <c r="Y3193" i="3"/>
  <c r="AH3193" i="3"/>
  <c r="Y3249" i="3"/>
  <c r="AK3249" i="3"/>
  <c r="AB3249" i="3"/>
  <c r="AJ3249" i="3"/>
  <c r="N3249" i="3"/>
  <c r="AL3249" i="3"/>
  <c r="AD3249" i="3"/>
  <c r="T3249" i="3"/>
  <c r="R3249" i="3"/>
  <c r="AH3249" i="3"/>
  <c r="O3249" i="3"/>
  <c r="AC3249" i="3"/>
  <c r="AI3249" i="3"/>
  <c r="U3249" i="3"/>
  <c r="V3249" i="3"/>
  <c r="E3249" i="3"/>
  <c r="M3249" i="3"/>
  <c r="X3249" i="3"/>
  <c r="Z3249" i="3"/>
  <c r="P3249" i="3"/>
  <c r="AG3249" i="3"/>
  <c r="AL3333" i="3"/>
  <c r="W3333" i="3"/>
  <c r="K3333" i="3"/>
  <c r="L3333" i="3"/>
  <c r="AA3333" i="3"/>
  <c r="T3333" i="3"/>
  <c r="F3333" i="3"/>
  <c r="K3389" i="3"/>
  <c r="L3389" i="3"/>
  <c r="M3389" i="3"/>
  <c r="AB3389" i="3"/>
  <c r="Z3389" i="3"/>
  <c r="N3389" i="3"/>
  <c r="Y3389" i="3"/>
  <c r="S3389" i="3"/>
  <c r="AA3389" i="3"/>
  <c r="AE3389" i="3"/>
  <c r="O3389" i="3"/>
  <c r="W3389" i="3"/>
  <c r="AH3389" i="3"/>
  <c r="E3389" i="3"/>
  <c r="F3389" i="3"/>
  <c r="V3389" i="3"/>
  <c r="AD3389" i="3"/>
  <c r="R3389" i="3"/>
  <c r="AJ3389" i="3"/>
  <c r="P3389" i="3"/>
  <c r="AC3389" i="3"/>
  <c r="W3445" i="3"/>
  <c r="AI3445" i="3"/>
  <c r="P3445" i="3"/>
  <c r="AB3445" i="3"/>
  <c r="K3445" i="3"/>
  <c r="L3445" i="3"/>
  <c r="AG3445" i="3"/>
  <c r="Y3445" i="3"/>
  <c r="E3445" i="3"/>
  <c r="K3221" i="3"/>
  <c r="L3221" i="3"/>
  <c r="Q3221" i="3"/>
  <c r="R3221" i="3"/>
  <c r="AJ3221" i="3"/>
  <c r="AD3221" i="3"/>
  <c r="X3221" i="3"/>
  <c r="V3221" i="3"/>
  <c r="AA3221" i="3"/>
  <c r="AE3277" i="3"/>
  <c r="W3277" i="3"/>
  <c r="Q3277" i="3"/>
  <c r="O3277" i="3"/>
  <c r="K3277" i="3"/>
  <c r="L3277" i="3"/>
  <c r="M3277" i="3"/>
  <c r="AD3277" i="3"/>
  <c r="X3277" i="3"/>
  <c r="Z3277" i="3"/>
  <c r="AF3277" i="3"/>
  <c r="AL3277" i="3"/>
  <c r="AC3277" i="3"/>
  <c r="AK3277" i="3"/>
  <c r="E3277" i="3"/>
  <c r="U3277" i="3"/>
  <c r="AA3277" i="3"/>
  <c r="T3277" i="3"/>
  <c r="N3417" i="3"/>
  <c r="Z3417" i="3"/>
  <c r="Q3417" i="3"/>
  <c r="AC3417" i="3"/>
  <c r="AJ3417" i="3"/>
  <c r="AA3417" i="3"/>
  <c r="M3417" i="3"/>
  <c r="N3501" i="3"/>
  <c r="AA3501" i="3"/>
  <c r="S3501" i="3"/>
  <c r="AD3501" i="3"/>
  <c r="X3501" i="3"/>
  <c r="AL3501" i="3"/>
  <c r="M3501" i="3"/>
  <c r="K3501" i="3"/>
  <c r="L3501" i="3"/>
  <c r="U3501" i="3"/>
  <c r="Z3501" i="3"/>
  <c r="Q3557" i="3"/>
  <c r="M3557" i="3"/>
  <c r="X3557" i="3"/>
  <c r="P3557" i="3"/>
  <c r="Z3557" i="3"/>
  <c r="AB3557" i="3"/>
  <c r="AD3557" i="3"/>
  <c r="AE3557" i="3"/>
  <c r="W3557" i="3"/>
  <c r="AI3557" i="3"/>
  <c r="AH3557" i="3"/>
  <c r="R3557" i="3"/>
  <c r="AG3557" i="3"/>
  <c r="S3557" i="3"/>
  <c r="T3557" i="3"/>
  <c r="AC3557" i="3"/>
  <c r="AA3557" i="3"/>
  <c r="AF3557" i="3"/>
  <c r="AC3613" i="3"/>
  <c r="M3613" i="3"/>
  <c r="S3613" i="3"/>
  <c r="T3613" i="3"/>
  <c r="AI3613" i="3"/>
  <c r="AL3613" i="3"/>
  <c r="AF3613" i="3"/>
  <c r="W3613" i="3"/>
  <c r="AD3613" i="3"/>
  <c r="AA3613" i="3"/>
  <c r="AK3613" i="3"/>
  <c r="O3613" i="3"/>
  <c r="R3613" i="3"/>
  <c r="X3613" i="3"/>
  <c r="V3613" i="3"/>
  <c r="AB3613" i="3"/>
  <c r="AE3613" i="3"/>
  <c r="X3669" i="3"/>
  <c r="V3669" i="3"/>
  <c r="AH3669" i="3"/>
  <c r="AG3669" i="3"/>
  <c r="K3669" i="3"/>
  <c r="L3669" i="3"/>
  <c r="AL3669" i="3"/>
  <c r="AK3669" i="3"/>
  <c r="M3669" i="3"/>
  <c r="R3669" i="3"/>
  <c r="AB3669" i="3"/>
  <c r="AC3669" i="3"/>
  <c r="E3669" i="3"/>
  <c r="AJ3669" i="3"/>
  <c r="W3669" i="3"/>
  <c r="Z3669" i="3"/>
  <c r="N3669" i="3"/>
  <c r="T3669" i="3"/>
  <c r="Y3669" i="3"/>
  <c r="Q3669" i="3"/>
  <c r="V3277" i="3"/>
  <c r="S3277" i="3"/>
  <c r="N3277" i="3"/>
  <c r="AJ3277" i="3"/>
  <c r="AH3277" i="3"/>
  <c r="Y3277" i="3"/>
  <c r="AG3277" i="3"/>
  <c r="N3333" i="3"/>
  <c r="AG3473" i="3"/>
  <c r="AD3473" i="3"/>
  <c r="N3473" i="3"/>
  <c r="S3473" i="3"/>
  <c r="K3473" i="3"/>
  <c r="L3473" i="3"/>
  <c r="AH3641" i="3"/>
  <c r="V3641" i="3"/>
  <c r="W3641" i="3"/>
  <c r="N3641" i="3"/>
  <c r="Q3641" i="3"/>
  <c r="R3697" i="3"/>
  <c r="W3697" i="3"/>
  <c r="F3753" i="3"/>
  <c r="P3753" i="3"/>
  <c r="AA3753" i="3"/>
  <c r="AI3753" i="3"/>
  <c r="U3753" i="3"/>
  <c r="Z3753" i="3"/>
  <c r="K5" i="3"/>
  <c r="K27" i="3"/>
  <c r="M39" i="3"/>
  <c r="K47" i="3"/>
  <c r="L1373" i="3"/>
  <c r="I48" i="3"/>
  <c r="K48" i="3"/>
  <c r="M56" i="3"/>
  <c r="M12" i="3"/>
  <c r="AA2437" i="3"/>
  <c r="W2577" i="3"/>
  <c r="AG2661" i="3"/>
  <c r="X2941" i="3"/>
  <c r="S3417" i="3"/>
  <c r="U3613" i="3"/>
  <c r="M3445" i="3"/>
  <c r="K54" i="3"/>
  <c r="K49" i="3"/>
  <c r="K60" i="3"/>
  <c r="AK2857" i="3"/>
  <c r="K2605" i="3"/>
  <c r="L2605" i="3"/>
  <c r="E2493" i="3"/>
  <c r="X2493" i="3"/>
  <c r="N2857" i="3"/>
  <c r="AB2493" i="3"/>
  <c r="N2605" i="3"/>
  <c r="AF2829" i="3"/>
  <c r="AH2829" i="3"/>
  <c r="AK2829" i="3"/>
  <c r="R2661" i="3"/>
  <c r="M120" i="3"/>
  <c r="M73" i="3"/>
  <c r="K118" i="3"/>
  <c r="K131" i="3"/>
  <c r="K119" i="3"/>
  <c r="M125" i="3"/>
  <c r="M108" i="3"/>
  <c r="K133" i="3"/>
  <c r="K77" i="3"/>
  <c r="M119" i="3"/>
  <c r="M114" i="3"/>
  <c r="K84" i="3"/>
  <c r="K86" i="3"/>
  <c r="K103" i="3"/>
  <c r="K110" i="3"/>
  <c r="K102" i="3"/>
  <c r="K50" i="3"/>
  <c r="M51" i="3"/>
  <c r="M57" i="3"/>
  <c r="K45" i="3"/>
  <c r="M18" i="3"/>
  <c r="K28" i="3"/>
  <c r="K70" i="3"/>
  <c r="M20" i="3"/>
  <c r="M28" i="3"/>
  <c r="K57" i="3"/>
  <c r="M47" i="3"/>
  <c r="M42" i="3"/>
  <c r="K7" i="3"/>
  <c r="M14" i="3"/>
  <c r="M60" i="3"/>
  <c r="K42" i="3"/>
  <c r="K39" i="3"/>
  <c r="M65" i="3"/>
  <c r="K31" i="3"/>
  <c r="M53" i="3"/>
  <c r="M49" i="3"/>
  <c r="M89" i="3"/>
  <c r="M35" i="3"/>
  <c r="K14" i="3"/>
  <c r="M77" i="3"/>
  <c r="M110" i="3"/>
  <c r="M113" i="3"/>
  <c r="M86" i="3"/>
  <c r="M133" i="3"/>
  <c r="K56" i="3"/>
  <c r="K120" i="3"/>
  <c r="M84" i="3"/>
  <c r="M34" i="3"/>
  <c r="P20" i="2"/>
  <c r="P52" i="2"/>
  <c r="P59" i="2"/>
  <c r="P19" i="2"/>
  <c r="P31" i="2"/>
  <c r="P27" i="2"/>
  <c r="P53" i="2"/>
  <c r="P66" i="2"/>
  <c r="P40" i="2"/>
  <c r="P26" i="2"/>
  <c r="P30" i="2"/>
  <c r="P39" i="2"/>
  <c r="P18" i="2"/>
  <c r="P49" i="2"/>
  <c r="P51" i="2"/>
  <c r="L673" i="3"/>
  <c r="P6" i="2"/>
  <c r="P62" i="2"/>
  <c r="P37" i="2"/>
  <c r="P46" i="2"/>
  <c r="P54" i="2"/>
  <c r="P21" i="2"/>
  <c r="P48" i="2"/>
  <c r="P38" i="2"/>
  <c r="P41" i="2"/>
  <c r="P16" i="2"/>
  <c r="P22" i="2"/>
  <c r="P65" i="2"/>
  <c r="P56" i="2"/>
  <c r="P24" i="2"/>
  <c r="P43" i="2"/>
  <c r="P33" i="2"/>
  <c r="P63" i="2"/>
  <c r="P25" i="2"/>
  <c r="P60" i="2"/>
  <c r="P35" i="2"/>
  <c r="P34" i="2"/>
  <c r="P36" i="2"/>
  <c r="P67" i="2"/>
  <c r="P32" i="2"/>
  <c r="P44" i="2"/>
  <c r="P17" i="2"/>
  <c r="P55" i="2"/>
  <c r="P58" i="2"/>
  <c r="P57" i="2"/>
  <c r="P42" i="2"/>
  <c r="P23" i="2"/>
  <c r="P61" i="2"/>
  <c r="P29" i="2"/>
  <c r="P47" i="2"/>
  <c r="P28" i="2"/>
  <c r="P64" i="2"/>
  <c r="P50" i="2"/>
  <c r="P45" i="2"/>
  <c r="L1261" i="3"/>
  <c r="L2017" i="3"/>
  <c r="L2353" i="3"/>
  <c r="L897" i="3"/>
  <c r="L2241" i="3"/>
  <c r="L813" i="3"/>
  <c r="L1205" i="3"/>
  <c r="L1289" i="3"/>
  <c r="L1541" i="3"/>
  <c r="L2213" i="3"/>
  <c r="L953" i="3"/>
  <c r="L337" i="3"/>
  <c r="L1821" i="3"/>
  <c r="L785" i="3"/>
  <c r="L1121" i="3"/>
  <c r="L981" i="3"/>
  <c r="L1037" i="3"/>
  <c r="L2381" i="3"/>
  <c r="L169" i="3"/>
  <c r="L561" i="3"/>
  <c r="L393" i="3"/>
  <c r="L1737" i="3"/>
  <c r="L589" i="3"/>
  <c r="L1401" i="3"/>
  <c r="L1709" i="3"/>
  <c r="L2073" i="3"/>
  <c r="L2157" i="3"/>
  <c r="L2297" i="3"/>
  <c r="L1625" i="3"/>
  <c r="L1961" i="3"/>
  <c r="L1989" i="3"/>
  <c r="L2129" i="3"/>
  <c r="L2325" i="3"/>
  <c r="L2269" i="3"/>
  <c r="L477" i="3"/>
  <c r="L729" i="3"/>
  <c r="L1177" i="3"/>
  <c r="L1429" i="3"/>
  <c r="L1065" i="3"/>
  <c r="L2185" i="3"/>
  <c r="L421" i="3"/>
  <c r="L1513" i="3"/>
  <c r="L1597" i="3"/>
  <c r="L2409" i="3"/>
  <c r="L1149" i="3"/>
  <c r="L533" i="3"/>
  <c r="L1457" i="3"/>
  <c r="L1009" i="3"/>
  <c r="L1681" i="3"/>
  <c r="L1849" i="3"/>
  <c r="L365" i="3"/>
  <c r="L1345" i="3"/>
  <c r="L225" i="3"/>
  <c r="L2101" i="3"/>
  <c r="Z281" i="3"/>
  <c r="AB9" i="3"/>
  <c r="U281" i="3"/>
  <c r="W9" i="3"/>
  <c r="AL281" i="3"/>
  <c r="AC281" i="3"/>
  <c r="S281" i="3"/>
  <c r="U9" i="3"/>
  <c r="R281" i="3"/>
  <c r="T9" i="3"/>
  <c r="F281" i="3"/>
  <c r="L9" i="3"/>
  <c r="N281" i="3"/>
  <c r="P9" i="3"/>
  <c r="AI1093" i="3"/>
  <c r="AC1093" i="3"/>
  <c r="P1093" i="3"/>
  <c r="R38" i="3"/>
  <c r="S1093" i="3"/>
  <c r="U38" i="3"/>
  <c r="AK1093" i="3"/>
  <c r="AJ1093" i="3"/>
  <c r="T1093" i="3"/>
  <c r="V38" i="3"/>
  <c r="AD1093" i="3"/>
  <c r="W1093" i="3"/>
  <c r="Y38" i="3"/>
  <c r="K1093" i="3"/>
  <c r="J38" i="3"/>
  <c r="AL1093" i="3"/>
  <c r="AB1093" i="3"/>
  <c r="M1093" i="3"/>
  <c r="O38" i="3"/>
  <c r="Q1093" i="3"/>
  <c r="S38" i="3"/>
  <c r="O1093" i="3"/>
  <c r="Q38" i="3"/>
  <c r="E1093" i="3"/>
  <c r="AH1093" i="3"/>
  <c r="AM1093" i="3"/>
  <c r="U1093" i="3"/>
  <c r="W38" i="3"/>
  <c r="F1093" i="3"/>
  <c r="L38" i="3"/>
  <c r="AE1093" i="3"/>
  <c r="Z1093" i="3"/>
  <c r="AB38" i="3"/>
  <c r="AG1093" i="3"/>
  <c r="V1093" i="3"/>
  <c r="X38" i="3"/>
  <c r="R1093" i="3"/>
  <c r="T38" i="3"/>
  <c r="AA1093" i="3"/>
  <c r="N1093" i="3"/>
  <c r="P38" i="3"/>
  <c r="Y1093" i="3"/>
  <c r="X1093" i="3"/>
  <c r="Z38" i="3"/>
  <c r="AF1093" i="3"/>
  <c r="AF2045" i="3"/>
  <c r="AK2045" i="3"/>
  <c r="K2045" i="3"/>
  <c r="J72" i="3"/>
  <c r="T2045" i="3"/>
  <c r="V72" i="3"/>
  <c r="AH2045" i="3"/>
  <c r="M2045" i="3"/>
  <c r="O72" i="3"/>
  <c r="AD2045" i="3"/>
  <c r="AA2045" i="3"/>
  <c r="AI2045" i="3"/>
  <c r="R2045" i="3"/>
  <c r="T72" i="3"/>
  <c r="U2045" i="3"/>
  <c r="W72" i="3"/>
  <c r="AB2045" i="3"/>
  <c r="AG2045" i="3"/>
  <c r="W2045" i="3"/>
  <c r="Y72" i="3"/>
  <c r="P2045" i="3"/>
  <c r="R72" i="3"/>
  <c r="X2045" i="3"/>
  <c r="Z72" i="3"/>
  <c r="E2045" i="3"/>
  <c r="N2045" i="3"/>
  <c r="P72" i="3"/>
  <c r="AC2045" i="3"/>
  <c r="Q2045" i="3"/>
  <c r="S72" i="3"/>
  <c r="O2045" i="3"/>
  <c r="Q72" i="3"/>
  <c r="AM2045" i="3"/>
  <c r="AJ2045" i="3"/>
  <c r="Z2045" i="3"/>
  <c r="AB72" i="3"/>
  <c r="V2045" i="3"/>
  <c r="X72" i="3"/>
  <c r="S2045" i="3"/>
  <c r="U72" i="3"/>
  <c r="F2045" i="3"/>
  <c r="L72" i="3"/>
  <c r="AL2045" i="3"/>
  <c r="Y2045" i="3"/>
  <c r="AE2045" i="3"/>
  <c r="AC1569" i="3"/>
  <c r="AA1569" i="3"/>
  <c r="M1569" i="3"/>
  <c r="O55" i="3"/>
  <c r="AE1569" i="3"/>
  <c r="V1569" i="3"/>
  <c r="X55" i="3"/>
  <c r="U1569" i="3"/>
  <c r="W55" i="3"/>
  <c r="AG1569" i="3"/>
  <c r="N1569" i="3"/>
  <c r="P55" i="3"/>
  <c r="AI1569" i="3"/>
  <c r="AH1569" i="3"/>
  <c r="Z1569" i="3"/>
  <c r="AB55" i="3"/>
  <c r="W1569" i="3"/>
  <c r="Y55" i="3"/>
  <c r="S1569" i="3"/>
  <c r="U55" i="3"/>
  <c r="Y1569" i="3"/>
  <c r="P1569" i="3"/>
  <c r="R55" i="3"/>
  <c r="Q1569" i="3"/>
  <c r="S55" i="3"/>
  <c r="AF1569" i="3"/>
  <c r="F1569" i="3"/>
  <c r="L55" i="3"/>
  <c r="AL1569" i="3"/>
  <c r="K1569" i="3"/>
  <c r="J55" i="3"/>
  <c r="AJ1569" i="3"/>
  <c r="O1569" i="3"/>
  <c r="Q55" i="3"/>
  <c r="AB1569" i="3"/>
  <c r="E1569" i="3"/>
  <c r="AM1569" i="3"/>
  <c r="R1569" i="3"/>
  <c r="T55" i="3"/>
  <c r="AD1569" i="3"/>
  <c r="T1569" i="3"/>
  <c r="V55" i="3"/>
  <c r="AK1569" i="3"/>
  <c r="X1569" i="3"/>
  <c r="Z55" i="3"/>
  <c r="AJ869" i="3"/>
  <c r="AL869" i="3"/>
  <c r="Q869" i="3"/>
  <c r="S30" i="3"/>
  <c r="N869" i="3"/>
  <c r="P30" i="3"/>
  <c r="K869" i="3"/>
  <c r="J30" i="3"/>
  <c r="W869" i="3"/>
  <c r="Y30" i="3"/>
  <c r="AK869" i="3"/>
  <c r="AH869" i="3"/>
  <c r="AA869" i="3"/>
  <c r="AM869" i="3"/>
  <c r="P869" i="3"/>
  <c r="R30" i="3"/>
  <c r="V869" i="3"/>
  <c r="X30" i="3"/>
  <c r="X869" i="3"/>
  <c r="Z30" i="3"/>
  <c r="AB869" i="3"/>
  <c r="AI869" i="3"/>
  <c r="M869" i="3"/>
  <c r="O30" i="3"/>
  <c r="AG869" i="3"/>
  <c r="F869" i="3"/>
  <c r="L30" i="3"/>
  <c r="Y869" i="3"/>
  <c r="E869" i="3"/>
  <c r="T869" i="3"/>
  <c r="V30" i="3"/>
  <c r="R869" i="3"/>
  <c r="T30" i="3"/>
  <c r="AE869" i="3"/>
  <c r="AD869" i="3"/>
  <c r="O869" i="3"/>
  <c r="Q30" i="3"/>
  <c r="U869" i="3"/>
  <c r="W30" i="3"/>
  <c r="AF869" i="3"/>
  <c r="S869" i="3"/>
  <c r="U30" i="3"/>
  <c r="AC869" i="3"/>
  <c r="Z869" i="3"/>
  <c r="AB30" i="3"/>
  <c r="T645" i="3"/>
  <c r="V22" i="3"/>
  <c r="O645" i="3"/>
  <c r="Q22" i="3"/>
  <c r="S645" i="3"/>
  <c r="U22" i="3"/>
  <c r="K645" i="3"/>
  <c r="J22" i="3"/>
  <c r="AB645" i="3"/>
  <c r="AF645" i="3"/>
  <c r="AE645" i="3"/>
  <c r="AL645" i="3"/>
  <c r="W645" i="3"/>
  <c r="Y22" i="3"/>
  <c r="P645" i="3"/>
  <c r="R22" i="3"/>
  <c r="AK645" i="3"/>
  <c r="M645" i="3"/>
  <c r="O22" i="3"/>
  <c r="AC645" i="3"/>
  <c r="AJ645" i="3"/>
  <c r="AI645" i="3"/>
  <c r="AA645" i="3"/>
  <c r="Q645" i="3"/>
  <c r="S22" i="3"/>
  <c r="Z645" i="3"/>
  <c r="AB22" i="3"/>
  <c r="R645" i="3"/>
  <c r="T22" i="3"/>
  <c r="V645" i="3"/>
  <c r="X22" i="3"/>
  <c r="AM645" i="3"/>
  <c r="AH645" i="3"/>
  <c r="AD645" i="3"/>
  <c r="X645" i="3"/>
  <c r="Z22" i="3"/>
  <c r="F645" i="3"/>
  <c r="L22" i="3"/>
  <c r="AG645" i="3"/>
  <c r="Y645" i="3"/>
  <c r="N645" i="3"/>
  <c r="P22" i="3"/>
  <c r="U645" i="3"/>
  <c r="W22" i="3"/>
  <c r="E645" i="3"/>
  <c r="AJ281" i="3"/>
  <c r="AB281" i="3"/>
  <c r="AH281" i="3"/>
  <c r="K281" i="3"/>
  <c r="J9" i="3"/>
  <c r="AI281" i="3"/>
  <c r="T281" i="3"/>
  <c r="V9" i="3"/>
  <c r="Q281" i="3"/>
  <c r="S9" i="3"/>
  <c r="X281" i="3"/>
  <c r="Z9" i="3"/>
  <c r="AK1765" i="3"/>
  <c r="W1765" i="3"/>
  <c r="Y62" i="3"/>
  <c r="O1765" i="3"/>
  <c r="Q62" i="3"/>
  <c r="V1765" i="3"/>
  <c r="X62" i="3"/>
  <c r="M1765" i="3"/>
  <c r="O62" i="3"/>
  <c r="K1765" i="3"/>
  <c r="J62" i="3"/>
  <c r="AI1765" i="3"/>
  <c r="AM1765" i="3"/>
  <c r="AF1765" i="3"/>
  <c r="T1765" i="3"/>
  <c r="V62" i="3"/>
  <c r="AH1765" i="3"/>
  <c r="U1765" i="3"/>
  <c r="W62" i="3"/>
  <c r="AB1765" i="3"/>
  <c r="AJ1765" i="3"/>
  <c r="P1765" i="3"/>
  <c r="R62" i="3"/>
  <c r="AG1765" i="3"/>
  <c r="AC1765" i="3"/>
  <c r="AE1765" i="3"/>
  <c r="Y1765" i="3"/>
  <c r="F1765" i="3"/>
  <c r="L62" i="3"/>
  <c r="X1765" i="3"/>
  <c r="Z62" i="3"/>
  <c r="R1765" i="3"/>
  <c r="T62" i="3"/>
  <c r="N1765" i="3"/>
  <c r="P62" i="3"/>
  <c r="AA1765" i="3"/>
  <c r="E1765" i="3"/>
  <c r="AL1765" i="3"/>
  <c r="S1765" i="3"/>
  <c r="U62" i="3"/>
  <c r="Q1765" i="3"/>
  <c r="S62" i="3"/>
  <c r="AD1765" i="3"/>
  <c r="Z1765" i="3"/>
  <c r="AB62" i="3"/>
  <c r="AC1317" i="3"/>
  <c r="AK1317" i="3"/>
  <c r="P1317" i="3"/>
  <c r="R46" i="3"/>
  <c r="W1317" i="3"/>
  <c r="Y46" i="3"/>
  <c r="K1317" i="3"/>
  <c r="J46" i="3"/>
  <c r="F1317" i="3"/>
  <c r="L46" i="3"/>
  <c r="AE1317" i="3"/>
  <c r="AI1317" i="3"/>
  <c r="Y1317" i="3"/>
  <c r="Q1317" i="3"/>
  <c r="S46" i="3"/>
  <c r="R1317" i="3"/>
  <c r="T46" i="3"/>
  <c r="M1317" i="3"/>
  <c r="O46" i="3"/>
  <c r="AG1317" i="3"/>
  <c r="AA1317" i="3"/>
  <c r="AB1317" i="3"/>
  <c r="AM1317" i="3"/>
  <c r="N1317" i="3"/>
  <c r="P46" i="3"/>
  <c r="U1317" i="3"/>
  <c r="W46" i="3"/>
  <c r="AD1317" i="3"/>
  <c r="T1317" i="3"/>
  <c r="V46" i="3"/>
  <c r="V1317" i="3"/>
  <c r="X46" i="3"/>
  <c r="Z1317" i="3"/>
  <c r="AB46" i="3"/>
  <c r="AJ1317" i="3"/>
  <c r="O1317" i="3"/>
  <c r="Q46" i="3"/>
  <c r="AH1317" i="3"/>
  <c r="X1317" i="3"/>
  <c r="Z46" i="3"/>
  <c r="E1317" i="3"/>
  <c r="AL1317" i="3"/>
  <c r="AF1317" i="3"/>
  <c r="S1317" i="3"/>
  <c r="U46" i="3"/>
  <c r="AG309" i="3"/>
  <c r="Z309" i="3"/>
  <c r="AB10" i="3"/>
  <c r="AA309" i="3"/>
  <c r="E309" i="3"/>
  <c r="X309" i="3"/>
  <c r="Z10" i="3"/>
  <c r="W309" i="3"/>
  <c r="Y10" i="3"/>
  <c r="N309" i="3"/>
  <c r="P10" i="3"/>
  <c r="AC309" i="3"/>
  <c r="AJ309" i="3"/>
  <c r="Y309" i="3"/>
  <c r="AB309" i="3"/>
  <c r="AL309" i="3"/>
  <c r="M309" i="3"/>
  <c r="O10" i="3"/>
  <c r="F309" i="3"/>
  <c r="L10" i="3"/>
  <c r="AI309" i="3"/>
  <c r="T309" i="3"/>
  <c r="V10" i="3"/>
  <c r="S309" i="3"/>
  <c r="U10" i="3"/>
  <c r="AE309" i="3"/>
  <c r="U309" i="3"/>
  <c r="W10" i="3"/>
  <c r="R309" i="3"/>
  <c r="T10" i="3"/>
  <c r="AF309" i="3"/>
  <c r="Q309" i="3"/>
  <c r="S10" i="3"/>
  <c r="O309" i="3"/>
  <c r="Q10" i="3"/>
  <c r="V309" i="3"/>
  <c r="X10" i="3"/>
  <c r="P309" i="3"/>
  <c r="R10" i="3"/>
  <c r="AM309" i="3"/>
  <c r="AD309" i="3"/>
  <c r="AH309" i="3"/>
  <c r="K309" i="3"/>
  <c r="J10" i="3"/>
  <c r="AK309" i="3"/>
  <c r="AG1653" i="3"/>
  <c r="Q1653" i="3"/>
  <c r="S58" i="3"/>
  <c r="E1653" i="3"/>
  <c r="AD1653" i="3"/>
  <c r="AB1653" i="3"/>
  <c r="AE1653" i="3"/>
  <c r="X1653" i="3"/>
  <c r="Z58" i="3"/>
  <c r="Y1653" i="3"/>
  <c r="AK1653" i="3"/>
  <c r="M1653" i="3"/>
  <c r="O58" i="3"/>
  <c r="O1653" i="3"/>
  <c r="Q58" i="3"/>
  <c r="AA1653" i="3"/>
  <c r="AL1653" i="3"/>
  <c r="AH1653" i="3"/>
  <c r="AJ1653" i="3"/>
  <c r="AM1653" i="3"/>
  <c r="K1653" i="3"/>
  <c r="J58" i="3"/>
  <c r="AI1653" i="3"/>
  <c r="W1653" i="3"/>
  <c r="Y58" i="3"/>
  <c r="F1653" i="3"/>
  <c r="L58" i="3"/>
  <c r="S1653" i="3"/>
  <c r="U58" i="3"/>
  <c r="AF1653" i="3"/>
  <c r="V1653" i="3"/>
  <c r="X58" i="3"/>
  <c r="P1653" i="3"/>
  <c r="R58" i="3"/>
  <c r="N1653" i="3"/>
  <c r="P58" i="3"/>
  <c r="AC1653" i="3"/>
  <c r="T1653" i="3"/>
  <c r="V58" i="3"/>
  <c r="R1653" i="3"/>
  <c r="T58" i="3"/>
  <c r="Z1653" i="3"/>
  <c r="AB58" i="3"/>
  <c r="U1653" i="3"/>
  <c r="W58" i="3"/>
  <c r="E449" i="3"/>
  <c r="AB449" i="3"/>
  <c r="AI449" i="3"/>
  <c r="AG449" i="3"/>
  <c r="N449" i="3"/>
  <c r="P15" i="3"/>
  <c r="O449" i="3"/>
  <c r="Q15" i="3"/>
  <c r="V449" i="3"/>
  <c r="X15" i="3"/>
  <c r="T449" i="3"/>
  <c r="V15" i="3"/>
  <c r="AK449" i="3"/>
  <c r="Q449" i="3"/>
  <c r="S15" i="3"/>
  <c r="AF449" i="3"/>
  <c r="AL449" i="3"/>
  <c r="W449" i="3"/>
  <c r="Y15" i="3"/>
  <c r="AC449" i="3"/>
  <c r="U449" i="3"/>
  <c r="W15" i="3"/>
  <c r="AJ449" i="3"/>
  <c r="AA449" i="3"/>
  <c r="AH449" i="3"/>
  <c r="F449" i="3"/>
  <c r="L15" i="3"/>
  <c r="S449" i="3"/>
  <c r="U15" i="3"/>
  <c r="K449" i="3"/>
  <c r="J15" i="3"/>
  <c r="Z449" i="3"/>
  <c r="AB15" i="3"/>
  <c r="P449" i="3"/>
  <c r="R15" i="3"/>
  <c r="AM449" i="3"/>
  <c r="R449" i="3"/>
  <c r="T15" i="3"/>
  <c r="M449" i="3"/>
  <c r="O15" i="3"/>
  <c r="X449" i="3"/>
  <c r="Z15" i="3"/>
  <c r="AE449" i="3"/>
  <c r="Y449" i="3"/>
  <c r="AD449" i="3"/>
  <c r="AG281" i="3"/>
  <c r="P281" i="3"/>
  <c r="R9" i="3"/>
  <c r="O281" i="3"/>
  <c r="Q9" i="3"/>
  <c r="W281" i="3"/>
  <c r="Y9" i="3"/>
  <c r="M281" i="3"/>
  <c r="O9" i="3"/>
  <c r="AF1905" i="3"/>
  <c r="AE1905" i="3"/>
  <c r="V1905" i="3"/>
  <c r="X67" i="3"/>
  <c r="R1905" i="3"/>
  <c r="T67" i="3"/>
  <c r="E1905" i="3"/>
  <c r="AK1905" i="3"/>
  <c r="AL1905" i="3"/>
  <c r="F1905" i="3"/>
  <c r="L67" i="3"/>
  <c r="AH1905" i="3"/>
  <c r="X1905" i="3"/>
  <c r="Z67" i="3"/>
  <c r="Z1905" i="3"/>
  <c r="AB67" i="3"/>
  <c r="AG1905" i="3"/>
  <c r="S1905" i="3"/>
  <c r="U67" i="3"/>
  <c r="N1905" i="3"/>
  <c r="P67" i="3"/>
  <c r="AA1905" i="3"/>
  <c r="AB1905" i="3"/>
  <c r="AM1905" i="3"/>
  <c r="M1905" i="3"/>
  <c r="O67" i="3"/>
  <c r="O1905" i="3"/>
  <c r="Q67" i="3"/>
  <c r="U1905" i="3"/>
  <c r="W67" i="3"/>
  <c r="AD1905" i="3"/>
  <c r="Y1905" i="3"/>
  <c r="K1905" i="3"/>
  <c r="J67" i="3"/>
  <c r="W1905" i="3"/>
  <c r="Y67" i="3"/>
  <c r="AJ1905" i="3"/>
  <c r="T1905" i="3"/>
  <c r="V67" i="3"/>
  <c r="AI1905" i="3"/>
  <c r="AC1905" i="3"/>
  <c r="Q1905" i="3"/>
  <c r="S67" i="3"/>
  <c r="P1905" i="3"/>
  <c r="R67" i="3"/>
  <c r="AB925" i="3"/>
  <c r="AJ925" i="3"/>
  <c r="AE925" i="3"/>
  <c r="AH925" i="3"/>
  <c r="AK925" i="3"/>
  <c r="Z925" i="3"/>
  <c r="AB32" i="3"/>
  <c r="S925" i="3"/>
  <c r="U32" i="3"/>
  <c r="W925" i="3"/>
  <c r="Y32" i="3"/>
  <c r="Y925" i="3"/>
  <c r="R925" i="3"/>
  <c r="T32" i="3"/>
  <c r="U925" i="3"/>
  <c r="W32" i="3"/>
  <c r="X925" i="3"/>
  <c r="Z32" i="3"/>
  <c r="F925" i="3"/>
  <c r="L32" i="3"/>
  <c r="Q925" i="3"/>
  <c r="S32" i="3"/>
  <c r="AL925" i="3"/>
  <c r="O925" i="3"/>
  <c r="Q32" i="3"/>
  <c r="P925" i="3"/>
  <c r="R32" i="3"/>
  <c r="AA925" i="3"/>
  <c r="AG925" i="3"/>
  <c r="K925" i="3"/>
  <c r="J32" i="3"/>
  <c r="V925" i="3"/>
  <c r="X32" i="3"/>
  <c r="AM925" i="3"/>
  <c r="M925" i="3"/>
  <c r="O32" i="3"/>
  <c r="AD925" i="3"/>
  <c r="AI925" i="3"/>
  <c r="N925" i="3"/>
  <c r="P32" i="3"/>
  <c r="E925" i="3"/>
  <c r="AC925" i="3"/>
  <c r="T925" i="3"/>
  <c r="V32" i="3"/>
  <c r="AF925" i="3"/>
  <c r="Y253" i="3"/>
  <c r="AD253" i="3"/>
  <c r="N253" i="3"/>
  <c r="P8" i="3"/>
  <c r="Q253" i="3"/>
  <c r="S8" i="3"/>
  <c r="V253" i="3"/>
  <c r="X8" i="3"/>
  <c r="AA253" i="3"/>
  <c r="F253" i="3"/>
  <c r="L8" i="3"/>
  <c r="AL253" i="3"/>
  <c r="AB253" i="3"/>
  <c r="E253" i="3"/>
  <c r="AK253" i="3"/>
  <c r="X253" i="3"/>
  <c r="Z8" i="3"/>
  <c r="S253" i="3"/>
  <c r="U8" i="3"/>
  <c r="K253" i="3"/>
  <c r="J8" i="3"/>
  <c r="AM253" i="3"/>
  <c r="P253" i="3"/>
  <c r="R8" i="3"/>
  <c r="AE253" i="3"/>
  <c r="U253" i="3"/>
  <c r="W8" i="3"/>
  <c r="W253" i="3"/>
  <c r="Y8" i="3"/>
  <c r="AC253" i="3"/>
  <c r="O253" i="3"/>
  <c r="Q8" i="3"/>
  <c r="R253" i="3"/>
  <c r="T8" i="3"/>
  <c r="T253" i="3"/>
  <c r="V8" i="3"/>
  <c r="Z253" i="3"/>
  <c r="AB8" i="3"/>
  <c r="AF253" i="3"/>
  <c r="AG253" i="3"/>
  <c r="AJ253" i="3"/>
  <c r="M253" i="3"/>
  <c r="O8" i="3"/>
  <c r="AH253" i="3"/>
  <c r="AI253" i="3"/>
  <c r="Y1933" i="3"/>
  <c r="V1933" i="3"/>
  <c r="X68" i="3"/>
  <c r="U1933" i="3"/>
  <c r="W68" i="3"/>
  <c r="AD1933" i="3"/>
  <c r="AF1933" i="3"/>
  <c r="AB1933" i="3"/>
  <c r="P1933" i="3"/>
  <c r="R68" i="3"/>
  <c r="AJ1933" i="3"/>
  <c r="R1933" i="3"/>
  <c r="T68" i="3"/>
  <c r="O1933" i="3"/>
  <c r="Q68" i="3"/>
  <c r="F1933" i="3"/>
  <c r="L68" i="3"/>
  <c r="AH1933" i="3"/>
  <c r="AE1933" i="3"/>
  <c r="E1933" i="3"/>
  <c r="AG1933" i="3"/>
  <c r="S1933" i="3"/>
  <c r="U68" i="3"/>
  <c r="Z1933" i="3"/>
  <c r="AB68" i="3"/>
  <c r="AM1933" i="3"/>
  <c r="Q1933" i="3"/>
  <c r="S68" i="3"/>
  <c r="AI1933" i="3"/>
  <c r="AL1933" i="3"/>
  <c r="N1933" i="3"/>
  <c r="P68" i="3"/>
  <c r="M1933" i="3"/>
  <c r="O68" i="3"/>
  <c r="AA1933" i="3"/>
  <c r="AC1933" i="3"/>
  <c r="T1933" i="3"/>
  <c r="V68" i="3"/>
  <c r="X1933" i="3"/>
  <c r="Z68" i="3"/>
  <c r="K1933" i="3"/>
  <c r="J68" i="3"/>
  <c r="AK1933" i="3"/>
  <c r="W1933" i="3"/>
  <c r="Y68" i="3"/>
  <c r="AB1485" i="3"/>
  <c r="AF1485" i="3"/>
  <c r="E1485" i="3"/>
  <c r="S1485" i="3"/>
  <c r="U52" i="3"/>
  <c r="K1485" i="3"/>
  <c r="J52" i="3"/>
  <c r="AD1485" i="3"/>
  <c r="M1485" i="3"/>
  <c r="O52" i="3"/>
  <c r="AK1485" i="3"/>
  <c r="AC1485" i="3"/>
  <c r="AA1485" i="3"/>
  <c r="V1485" i="3"/>
  <c r="X52" i="3"/>
  <c r="Q1485" i="3"/>
  <c r="S52" i="3"/>
  <c r="Y1485" i="3"/>
  <c r="AI1485" i="3"/>
  <c r="P1485" i="3"/>
  <c r="R52" i="3"/>
  <c r="U1485" i="3"/>
  <c r="W52" i="3"/>
  <c r="F1485" i="3"/>
  <c r="L52" i="3"/>
  <c r="AL1485" i="3"/>
  <c r="AG1485" i="3"/>
  <c r="W1485" i="3"/>
  <c r="Y52" i="3"/>
  <c r="R1485" i="3"/>
  <c r="T52" i="3"/>
  <c r="N1485" i="3"/>
  <c r="P52" i="3"/>
  <c r="AE1485" i="3"/>
  <c r="AM1485" i="3"/>
  <c r="O1485" i="3"/>
  <c r="Q52" i="3"/>
  <c r="AH1485" i="3"/>
  <c r="X1485" i="3"/>
  <c r="Z52" i="3"/>
  <c r="T1485" i="3"/>
  <c r="V52" i="3"/>
  <c r="AJ1485" i="3"/>
  <c r="Z1485" i="3"/>
  <c r="AB52" i="3"/>
  <c r="AB757" i="3"/>
  <c r="AJ757" i="3"/>
  <c r="AH757" i="3"/>
  <c r="AA757" i="3"/>
  <c r="Z757" i="3"/>
  <c r="AB26" i="3"/>
  <c r="M757" i="3"/>
  <c r="O26" i="3"/>
  <c r="R757" i="3"/>
  <c r="T26" i="3"/>
  <c r="O757" i="3"/>
  <c r="Q26" i="3"/>
  <c r="AI757" i="3"/>
  <c r="W757" i="3"/>
  <c r="Y26" i="3"/>
  <c r="AC757" i="3"/>
  <c r="P757" i="3"/>
  <c r="R26" i="3"/>
  <c r="K757" i="3"/>
  <c r="J26" i="3"/>
  <c r="X757" i="3"/>
  <c r="Z26" i="3"/>
  <c r="AD757" i="3"/>
  <c r="AF757" i="3"/>
  <c r="U757" i="3"/>
  <c r="W26" i="3"/>
  <c r="AG757" i="3"/>
  <c r="S757" i="3"/>
  <c r="U26" i="3"/>
  <c r="Q757" i="3"/>
  <c r="S26" i="3"/>
  <c r="AL757" i="3"/>
  <c r="V757" i="3"/>
  <c r="X26" i="3"/>
  <c r="AK757" i="3"/>
  <c r="Y757" i="3"/>
  <c r="AM757" i="3"/>
  <c r="AE757" i="3"/>
  <c r="T757" i="3"/>
  <c r="V26" i="3"/>
  <c r="F757" i="3"/>
  <c r="L26" i="3"/>
  <c r="N757" i="3"/>
  <c r="P26" i="3"/>
  <c r="E757" i="3"/>
  <c r="AF281" i="3"/>
  <c r="E281" i="3"/>
  <c r="AE281" i="3"/>
  <c r="V281" i="3"/>
  <c r="X9" i="3"/>
  <c r="AM281" i="3"/>
  <c r="I9" i="3"/>
  <c r="AK281" i="3"/>
  <c r="Y281" i="3"/>
  <c r="AA281" i="3"/>
  <c r="AD281" i="3"/>
  <c r="AI1233" i="3"/>
  <c r="T1233" i="3"/>
  <c r="V43" i="3"/>
  <c r="AE1233" i="3"/>
  <c r="U1233" i="3"/>
  <c r="W43" i="3"/>
  <c r="AG1233" i="3"/>
  <c r="V1233" i="3"/>
  <c r="X43" i="3"/>
  <c r="Q1233" i="3"/>
  <c r="S43" i="3"/>
  <c r="F1233" i="3"/>
  <c r="L43" i="3"/>
  <c r="AD1233" i="3"/>
  <c r="AM1233" i="3"/>
  <c r="AF1233" i="3"/>
  <c r="AH1233" i="3"/>
  <c r="S1233" i="3"/>
  <c r="U43" i="3"/>
  <c r="M1233" i="3"/>
  <c r="O43" i="3"/>
  <c r="AJ1233" i="3"/>
  <c r="AL1233" i="3"/>
  <c r="AK1233" i="3"/>
  <c r="N1233" i="3"/>
  <c r="P43" i="3"/>
  <c r="X1233" i="3"/>
  <c r="Z43" i="3"/>
  <c r="O1233" i="3"/>
  <c r="Q43" i="3"/>
  <c r="K1233" i="3"/>
  <c r="J43" i="3"/>
  <c r="Z1233" i="3"/>
  <c r="AB43" i="3"/>
  <c r="W1233" i="3"/>
  <c r="Y43" i="3"/>
  <c r="Y1233" i="3"/>
  <c r="AA1233" i="3"/>
  <c r="P1233" i="3"/>
  <c r="R43" i="3"/>
  <c r="E1233" i="3"/>
  <c r="AC1233" i="3"/>
  <c r="AB1233" i="3"/>
  <c r="R1233" i="3"/>
  <c r="T43" i="3"/>
  <c r="AC617" i="3"/>
  <c r="AF617" i="3"/>
  <c r="AK617" i="3"/>
  <c r="Y617" i="3"/>
  <c r="E617" i="3"/>
  <c r="N617" i="3"/>
  <c r="P21" i="3"/>
  <c r="P617" i="3"/>
  <c r="R21" i="3"/>
  <c r="O617" i="3"/>
  <c r="Q21" i="3"/>
  <c r="AH617" i="3"/>
  <c r="AJ617" i="3"/>
  <c r="AA617" i="3"/>
  <c r="K617" i="3"/>
  <c r="J21" i="3"/>
  <c r="V617" i="3"/>
  <c r="X21" i="3"/>
  <c r="F617" i="3"/>
  <c r="L21" i="3"/>
  <c r="AL617" i="3"/>
  <c r="AD617" i="3"/>
  <c r="W617" i="3"/>
  <c r="Y21" i="3"/>
  <c r="AI617" i="3"/>
  <c r="U617" i="3"/>
  <c r="W21" i="3"/>
  <c r="AM617" i="3"/>
  <c r="AB617" i="3"/>
  <c r="R617" i="3"/>
  <c r="T21" i="3"/>
  <c r="X617" i="3"/>
  <c r="Z21" i="3"/>
  <c r="M617" i="3"/>
  <c r="O21" i="3"/>
  <c r="AE617" i="3"/>
  <c r="S617" i="3"/>
  <c r="U21" i="3"/>
  <c r="T617" i="3"/>
  <c r="V21" i="3"/>
  <c r="Q617" i="3"/>
  <c r="S21" i="3"/>
  <c r="Z617" i="3"/>
  <c r="AB21" i="3"/>
  <c r="AG617" i="3"/>
  <c r="E1877" i="3"/>
  <c r="AD1877" i="3"/>
  <c r="AM1877" i="3"/>
  <c r="AF1877" i="3"/>
  <c r="Q1877" i="3"/>
  <c r="S66" i="3"/>
  <c r="AE1877" i="3"/>
  <c r="R1877" i="3"/>
  <c r="T66" i="3"/>
  <c r="V1877" i="3"/>
  <c r="X66" i="3"/>
  <c r="AH1877" i="3"/>
  <c r="AG1877" i="3"/>
  <c r="N1877" i="3"/>
  <c r="P66" i="3"/>
  <c r="K1877" i="3"/>
  <c r="J66" i="3"/>
  <c r="AB1877" i="3"/>
  <c r="AL1877" i="3"/>
  <c r="P1877" i="3"/>
  <c r="R66" i="3"/>
  <c r="S1877" i="3"/>
  <c r="U66" i="3"/>
  <c r="W1877" i="3"/>
  <c r="Y66" i="3"/>
  <c r="Z1877" i="3"/>
  <c r="AB66" i="3"/>
  <c r="AA1877" i="3"/>
  <c r="X1877" i="3"/>
  <c r="Z66" i="3"/>
  <c r="U1877" i="3"/>
  <c r="W66" i="3"/>
  <c r="T1877" i="3"/>
  <c r="V66" i="3"/>
  <c r="O1877" i="3"/>
  <c r="Q66" i="3"/>
  <c r="M1877" i="3"/>
  <c r="O66" i="3"/>
  <c r="AI1877" i="3"/>
  <c r="AJ1877" i="3"/>
  <c r="F1877" i="3"/>
  <c r="L66" i="3"/>
  <c r="AK1877" i="3"/>
  <c r="AC1877" i="3"/>
  <c r="Y1877" i="3"/>
  <c r="AJ505" i="3"/>
  <c r="AF505" i="3"/>
  <c r="R505" i="3"/>
  <c r="T17" i="3"/>
  <c r="N505" i="3"/>
  <c r="P17" i="3"/>
  <c r="X505" i="3"/>
  <c r="Z17" i="3"/>
  <c r="O505" i="3"/>
  <c r="Q17" i="3"/>
  <c r="S505" i="3"/>
  <c r="U17" i="3"/>
  <c r="E505" i="3"/>
  <c r="AK505" i="3"/>
  <c r="Z505" i="3"/>
  <c r="AB17" i="3"/>
  <c r="V505" i="3"/>
  <c r="X17" i="3"/>
  <c r="W505" i="3"/>
  <c r="Y17" i="3"/>
  <c r="U505" i="3"/>
  <c r="W17" i="3"/>
  <c r="AI505" i="3"/>
  <c r="AA505" i="3"/>
  <c r="AH505" i="3"/>
  <c r="AB505" i="3"/>
  <c r="Y505" i="3"/>
  <c r="Q505" i="3"/>
  <c r="S17" i="3"/>
  <c r="T505" i="3"/>
  <c r="V17" i="3"/>
  <c r="AE505" i="3"/>
  <c r="K505" i="3"/>
  <c r="J17" i="3"/>
  <c r="M505" i="3"/>
  <c r="O17" i="3"/>
  <c r="AG505" i="3"/>
  <c r="AC505" i="3"/>
  <c r="AM505" i="3"/>
  <c r="AL505" i="3"/>
  <c r="AD505" i="3"/>
  <c r="P505" i="3"/>
  <c r="R17" i="3"/>
  <c r="F505" i="3"/>
  <c r="L17" i="3"/>
  <c r="P14" i="2"/>
  <c r="P8" i="2"/>
  <c r="P7" i="2"/>
  <c r="P11" i="2"/>
  <c r="P4" i="2"/>
  <c r="P10" i="2"/>
  <c r="P12" i="2"/>
  <c r="P5" i="2"/>
  <c r="P15" i="2"/>
  <c r="P13" i="2"/>
  <c r="L2437" i="3"/>
  <c r="E701" i="3"/>
  <c r="S701" i="3"/>
  <c r="U24" i="3"/>
  <c r="Q701" i="3"/>
  <c r="S24" i="3"/>
  <c r="V701" i="3"/>
  <c r="X24" i="3"/>
  <c r="AE701" i="3"/>
  <c r="K701" i="3"/>
  <c r="J24" i="3"/>
  <c r="AH701" i="3"/>
  <c r="AK701" i="3"/>
  <c r="Y701" i="3"/>
  <c r="AD701" i="3"/>
  <c r="AB701" i="3"/>
  <c r="AC701" i="3"/>
  <c r="F701" i="3"/>
  <c r="L24" i="3"/>
  <c r="T701" i="3"/>
  <c r="V24" i="3"/>
  <c r="AA701" i="3"/>
  <c r="AF701" i="3"/>
  <c r="O701" i="3"/>
  <c r="Q24" i="3"/>
  <c r="P701" i="3"/>
  <c r="R24" i="3"/>
  <c r="X701" i="3"/>
  <c r="Z24" i="3"/>
  <c r="AI701" i="3"/>
  <c r="Z701" i="3"/>
  <c r="AB24" i="3"/>
  <c r="AG701" i="3"/>
  <c r="M701" i="3"/>
  <c r="O24" i="3"/>
  <c r="N701" i="3"/>
  <c r="P24" i="3"/>
  <c r="AM701" i="3"/>
  <c r="U701" i="3"/>
  <c r="W24" i="3"/>
  <c r="W701" i="3"/>
  <c r="Y24" i="3"/>
  <c r="R701" i="3"/>
  <c r="T24" i="3"/>
  <c r="AL701" i="3"/>
  <c r="AJ701" i="3"/>
  <c r="AH141" i="3"/>
  <c r="E141" i="3"/>
  <c r="W141" i="3"/>
  <c r="Y4" i="3"/>
  <c r="O141" i="3"/>
  <c r="Q4" i="3"/>
  <c r="N141" i="3"/>
  <c r="P4" i="3"/>
  <c r="V141" i="3"/>
  <c r="X4" i="3"/>
  <c r="AI141" i="3"/>
  <c r="X141" i="3"/>
  <c r="Z4" i="3"/>
  <c r="AM141" i="3"/>
  <c r="AG141" i="3"/>
  <c r="K141" i="3"/>
  <c r="J4" i="3"/>
  <c r="U141" i="3"/>
  <c r="W4" i="3"/>
  <c r="M141" i="3"/>
  <c r="O4" i="3"/>
  <c r="Q141" i="3"/>
  <c r="S4" i="3"/>
  <c r="F141" i="3"/>
  <c r="L4" i="3"/>
  <c r="AJ141" i="3"/>
  <c r="AB141" i="3"/>
  <c r="Z141" i="3"/>
  <c r="AB4" i="3"/>
  <c r="AF141" i="3"/>
  <c r="T141" i="3"/>
  <c r="V4" i="3"/>
  <c r="AC141" i="3"/>
  <c r="P141" i="3"/>
  <c r="R4" i="3"/>
  <c r="S141" i="3"/>
  <c r="U4" i="3"/>
  <c r="AA141" i="3"/>
  <c r="Y141" i="3"/>
  <c r="AK141" i="3"/>
  <c r="AD141" i="3"/>
  <c r="AL141" i="3"/>
  <c r="R141" i="3"/>
  <c r="T4" i="3"/>
  <c r="AE141" i="3"/>
  <c r="M6" i="3"/>
  <c r="M63" i="3"/>
  <c r="M48" i="3"/>
  <c r="L197" i="3"/>
  <c r="M29" i="3"/>
  <c r="K6" i="3"/>
  <c r="M9" i="3"/>
  <c r="K9" i="3"/>
  <c r="L281" i="3"/>
  <c r="I43" i="3"/>
  <c r="K43" i="3"/>
  <c r="L1233" i="3"/>
  <c r="I58" i="3"/>
  <c r="K58" i="3"/>
  <c r="L1653" i="3"/>
  <c r="I10" i="3"/>
  <c r="K10" i="3"/>
  <c r="L309" i="3"/>
  <c r="I46" i="3"/>
  <c r="K46" i="3"/>
  <c r="L1317" i="3"/>
  <c r="I30" i="3"/>
  <c r="K30" i="3"/>
  <c r="L869" i="3"/>
  <c r="I72" i="3"/>
  <c r="K72" i="3"/>
  <c r="L2045" i="3"/>
  <c r="I21" i="3"/>
  <c r="K21" i="3"/>
  <c r="L617" i="3"/>
  <c r="I26" i="3"/>
  <c r="K26" i="3"/>
  <c r="L757" i="3"/>
  <c r="I8" i="3"/>
  <c r="K8" i="3"/>
  <c r="L253" i="3"/>
  <c r="I17" i="3"/>
  <c r="K17" i="3"/>
  <c r="L505" i="3"/>
  <c r="I67" i="3"/>
  <c r="K67" i="3"/>
  <c r="L1905" i="3"/>
  <c r="I15" i="3"/>
  <c r="K15" i="3"/>
  <c r="L449" i="3"/>
  <c r="M46" i="3"/>
  <c r="L1765" i="3"/>
  <c r="I62" i="3"/>
  <c r="I38" i="3"/>
  <c r="K38" i="3"/>
  <c r="L1093" i="3"/>
  <c r="G387" i="3"/>
  <c r="I66" i="3"/>
  <c r="K66" i="3"/>
  <c r="L1877" i="3"/>
  <c r="I52" i="3"/>
  <c r="K52" i="3"/>
  <c r="L1485" i="3"/>
  <c r="I68" i="3"/>
  <c r="K68" i="3"/>
  <c r="L1933" i="3"/>
  <c r="I32" i="3"/>
  <c r="K32" i="3"/>
  <c r="L925" i="3"/>
  <c r="I22" i="3"/>
  <c r="K22" i="3"/>
  <c r="L645" i="3"/>
  <c r="I55" i="3"/>
  <c r="K55" i="3"/>
  <c r="L1569" i="3"/>
  <c r="G209" i="3"/>
  <c r="G151" i="3"/>
  <c r="G297" i="3"/>
  <c r="G373" i="3"/>
  <c r="G202" i="3"/>
  <c r="G385" i="3"/>
  <c r="G380" i="3"/>
  <c r="G167" i="3"/>
  <c r="G225" i="3"/>
  <c r="G197" i="3"/>
  <c r="G161" i="3"/>
  <c r="G301" i="3"/>
  <c r="G192" i="3"/>
  <c r="G310" i="3"/>
  <c r="G405" i="3"/>
  <c r="G366" i="3"/>
  <c r="G294" i="3"/>
  <c r="G400" i="3"/>
  <c r="G323" i="3"/>
  <c r="G214" i="3"/>
  <c r="G305" i="3"/>
  <c r="G230" i="3"/>
  <c r="G312" i="3"/>
  <c r="G254" i="3"/>
  <c r="G357" i="3"/>
  <c r="G154" i="3"/>
  <c r="G295" i="3"/>
  <c r="G168" i="3"/>
  <c r="G320" i="3"/>
  <c r="G274" i="3"/>
  <c r="G359" i="3"/>
  <c r="G276" i="3"/>
  <c r="G150" i="3"/>
  <c r="G165" i="3"/>
  <c r="G139" i="3"/>
  <c r="G326" i="3"/>
  <c r="G249" i="3"/>
  <c r="G389" i="3"/>
  <c r="G281" i="3"/>
  <c r="G187" i="3"/>
  <c r="G350" i="3"/>
  <c r="G392" i="3"/>
  <c r="G231" i="3"/>
  <c r="G388" i="3"/>
  <c r="G386" i="3"/>
  <c r="G283" i="3"/>
  <c r="G331" i="3"/>
  <c r="G190" i="3"/>
  <c r="G291" i="3"/>
  <c r="G194" i="3"/>
  <c r="G282" i="3"/>
  <c r="G272" i="3"/>
  <c r="G376" i="3"/>
  <c r="G382" i="3"/>
  <c r="G303" i="3"/>
  <c r="G270" i="3"/>
  <c r="G258" i="3"/>
  <c r="G164" i="3"/>
  <c r="G278" i="3"/>
  <c r="G246" i="3"/>
  <c r="G358" i="3"/>
  <c r="G327" i="3"/>
  <c r="G156" i="3"/>
  <c r="G203" i="3"/>
  <c r="G342" i="3"/>
  <c r="G293" i="3"/>
  <c r="G255" i="3"/>
  <c r="G183" i="3"/>
  <c r="G170" i="3"/>
  <c r="G344" i="3"/>
  <c r="G346" i="3"/>
  <c r="G375" i="3"/>
  <c r="G298" i="3"/>
  <c r="G374" i="3"/>
  <c r="G402" i="3"/>
  <c r="G239" i="3"/>
  <c r="G166" i="3"/>
  <c r="G348" i="3"/>
  <c r="G363" i="3"/>
  <c r="G234" i="3"/>
  <c r="G318" i="3"/>
  <c r="G264" i="3"/>
  <c r="G158" i="3"/>
  <c r="G408" i="3"/>
  <c r="G271" i="3"/>
  <c r="G371" i="3"/>
  <c r="G277" i="3"/>
  <c r="G242" i="3"/>
  <c r="G311" i="3"/>
  <c r="G351" i="3"/>
  <c r="G159" i="3"/>
  <c r="G226" i="3"/>
  <c r="G263" i="3"/>
  <c r="G409" i="3"/>
  <c r="G152" i="3"/>
  <c r="G176" i="3"/>
  <c r="G313" i="3"/>
  <c r="G189" i="3"/>
  <c r="G180" i="3"/>
  <c r="G206" i="3"/>
  <c r="G260" i="3"/>
  <c r="G141" i="3"/>
  <c r="G341" i="3"/>
  <c r="G213" i="3"/>
  <c r="G361" i="3"/>
  <c r="G233" i="3"/>
  <c r="G198" i="3"/>
  <c r="G199" i="3"/>
  <c r="G332" i="3"/>
  <c r="G207" i="3"/>
  <c r="G145" i="3"/>
  <c r="G171" i="3"/>
  <c r="G394" i="3"/>
  <c r="G174" i="3"/>
  <c r="G200" i="3"/>
  <c r="G205" i="3"/>
  <c r="G353" i="3"/>
  <c r="G182" i="3"/>
  <c r="G227" i="3"/>
  <c r="G370" i="3"/>
  <c r="G253" i="3"/>
  <c r="G223" i="3"/>
  <c r="G322" i="3"/>
  <c r="G383" i="3"/>
  <c r="G267" i="3"/>
  <c r="G280" i="3"/>
  <c r="G157" i="3"/>
  <c r="G175" i="3"/>
  <c r="G284" i="3"/>
  <c r="G315" i="3"/>
  <c r="G403" i="3"/>
  <c r="G236" i="3"/>
  <c r="G304" i="3"/>
  <c r="G142" i="3"/>
  <c r="G244" i="3"/>
  <c r="G321" i="3"/>
  <c r="G211" i="3"/>
  <c r="G243" i="3"/>
  <c r="G365" i="3"/>
  <c r="G220" i="3"/>
  <c r="G250" i="3"/>
  <c r="G286" i="3"/>
  <c r="G181" i="3"/>
  <c r="G399" i="3"/>
  <c r="G330" i="3"/>
  <c r="G309" i="3"/>
  <c r="G404" i="3"/>
  <c r="G173" i="3"/>
  <c r="G201" i="3"/>
  <c r="G262" i="3"/>
  <c r="G245" i="3"/>
  <c r="G237" i="3"/>
  <c r="G381" i="3"/>
  <c r="G299" i="3"/>
  <c r="G256" i="3"/>
  <c r="G208" i="3"/>
  <c r="G179" i="3"/>
  <c r="G169" i="3"/>
  <c r="G143" i="3"/>
  <c r="G290" i="3"/>
  <c r="G146" i="3"/>
  <c r="G307" i="3"/>
  <c r="G347" i="3"/>
  <c r="G178" i="3"/>
  <c r="G261" i="3"/>
  <c r="G349" i="3"/>
  <c r="G289" i="3"/>
  <c r="G149" i="3"/>
  <c r="G324" i="3"/>
  <c r="G316" i="3"/>
  <c r="G184" i="3"/>
  <c r="G355" i="3"/>
  <c r="G340" i="3"/>
  <c r="G292" i="3"/>
  <c r="G362" i="3"/>
  <c r="G210" i="3"/>
  <c r="G335" i="3"/>
  <c r="G162" i="3"/>
  <c r="G268" i="3"/>
  <c r="G195" i="3"/>
  <c r="G204" i="3"/>
  <c r="G333" i="3"/>
  <c r="G325" i="3"/>
  <c r="G368" i="3"/>
  <c r="G251" i="3"/>
  <c r="G396" i="3"/>
  <c r="G328" i="3"/>
  <c r="G196" i="3"/>
  <c r="G306" i="3"/>
  <c r="G219" i="3"/>
  <c r="G395" i="3"/>
  <c r="G329" i="3"/>
  <c r="G407" i="3"/>
  <c r="G345" i="3"/>
  <c r="G279" i="3"/>
  <c r="G163" i="3"/>
  <c r="G410" i="3"/>
  <c r="G285" i="3"/>
  <c r="G240" i="3"/>
  <c r="G188" i="3"/>
  <c r="G215" i="3"/>
  <c r="G397" i="3"/>
  <c r="G241" i="3"/>
  <c r="G216" i="3"/>
  <c r="G379" i="3"/>
  <c r="G275" i="3"/>
  <c r="G296" i="3"/>
  <c r="G288" i="3"/>
  <c r="G360" i="3"/>
  <c r="G148" i="3"/>
  <c r="G248" i="3"/>
  <c r="G336" i="3"/>
  <c r="G155" i="3"/>
  <c r="G337" i="3"/>
  <c r="G378" i="3"/>
  <c r="G257" i="3"/>
  <c r="G228" i="3"/>
  <c r="G390" i="3"/>
  <c r="G343" i="3"/>
  <c r="G232" i="3"/>
  <c r="G372" i="3"/>
  <c r="G217" i="3"/>
  <c r="G411" i="3"/>
  <c r="G212" i="3"/>
  <c r="G287" i="3"/>
  <c r="G406" i="3"/>
  <c r="G144" i="3"/>
  <c r="G193" i="3"/>
  <c r="G172" i="3"/>
  <c r="G252" i="3"/>
  <c r="G186" i="3"/>
  <c r="G160" i="3"/>
  <c r="G265" i="3"/>
  <c r="G391" i="3"/>
  <c r="G185" i="3"/>
  <c r="G401" i="3"/>
  <c r="G218" i="3"/>
  <c r="G238" i="3"/>
  <c r="G352" i="3"/>
  <c r="G235" i="3"/>
  <c r="G302" i="3"/>
  <c r="G319" i="3"/>
  <c r="G308" i="3"/>
  <c r="G222" i="3"/>
  <c r="G317" i="3"/>
  <c r="G259" i="3"/>
  <c r="G229" i="3"/>
  <c r="G273" i="3"/>
  <c r="G221" i="3"/>
  <c r="G364" i="3"/>
  <c r="G191" i="3"/>
  <c r="G339" i="3"/>
  <c r="G300" i="3"/>
  <c r="G377" i="3"/>
  <c r="G356" i="3"/>
  <c r="G354" i="3"/>
  <c r="G153" i="3"/>
  <c r="G266" i="3"/>
  <c r="G247" i="3"/>
  <c r="G147" i="3"/>
  <c r="G369" i="3"/>
  <c r="G314" i="3"/>
  <c r="G338" i="3"/>
  <c r="G177" i="3"/>
  <c r="G224" i="3"/>
  <c r="I4" i="3"/>
  <c r="K4" i="3"/>
  <c r="L141" i="3"/>
  <c r="I24" i="3"/>
  <c r="K24" i="3"/>
  <c r="L701" i="3"/>
  <c r="M67" i="3"/>
  <c r="M43" i="3"/>
  <c r="M58" i="3"/>
  <c r="M72" i="3"/>
  <c r="M30" i="3"/>
  <c r="M66" i="3"/>
  <c r="M55" i="3"/>
  <c r="M68" i="3"/>
  <c r="M22" i="3"/>
  <c r="K62" i="3"/>
  <c r="M62" i="3"/>
  <c r="M52" i="3"/>
  <c r="M32" i="3"/>
  <c r="M15" i="3"/>
  <c r="M17" i="3"/>
  <c r="M26" i="3"/>
  <c r="M21" i="3"/>
  <c r="M8" i="3"/>
  <c r="M38" i="3"/>
  <c r="M10" i="3"/>
  <c r="M4" i="3"/>
  <c r="M2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38" authorId="0" shapeId="0" xr:uid="{00000000-0006-0000-0200-000001000000}">
      <text>
        <r>
          <rPr>
            <sz val="10"/>
            <rFont val="Arial"/>
            <family val="2"/>
          </rPr>
          <t>How many times this pick has been picked</t>
        </r>
      </text>
    </comment>
  </commentList>
</comments>
</file>

<file path=xl/sharedStrings.xml><?xml version="1.0" encoding="utf-8"?>
<sst xmlns="http://schemas.openxmlformats.org/spreadsheetml/2006/main" count="10325" uniqueCount="506">
  <si>
    <t>Version 0.1, date – 27 February, 2014</t>
  </si>
  <si>
    <t>Instructions</t>
  </si>
  <si>
    <t>Parameters</t>
  </si>
  <si>
    <r>
      <t xml:space="preserve">This spreadsheet can be used by PAW managers to calculate scoring points, manage the Standings table during the tournament, </t>
    </r>
    <r>
      <rPr>
        <b/>
        <sz val="10"/>
        <rFont val="Arial"/>
        <family val="2"/>
      </rPr>
      <t>or both</t>
    </r>
  </si>
  <si>
    <t>Scoring Points</t>
  </si>
  <si>
    <t>Minimum points for calculation</t>
  </si>
  <si>
    <t>Symbol count in scopo</t>
  </si>
  <si>
    <t>Import the latest ATP Standings list from Steve G's website into another sheet and then copy the needed columns as follows: player's name to column B, country to C and current week points to column D in the ScoPo sheet. You can copy up to 1800 players so basically the whole list.</t>
  </si>
  <si>
    <t>Filler symbols in scopo</t>
  </si>
  <si>
    <t>.</t>
  </si>
  <si>
    <t>Note: Leave the Qualifiers and Byes where they are, copy the list below them. The order in which the players are is not important.</t>
  </si>
  <si>
    <t>When the draw is out, assign each player the draw number in column A. For example, seed one would get number 1, seed two would get number 32. Assign draw numbers also to the qualifiers at the top of the list.</t>
  </si>
  <si>
    <t>Picks</t>
  </si>
  <si>
    <t>Put any comments (such as WC or Q) in column E and seed numbers in column F.</t>
  </si>
  <si>
    <t>Word between the last names in picks</t>
  </si>
  <si>
    <t>over</t>
  </si>
  <si>
    <t>In H4-J35 you have the players list correctly formatted to be copied to MTF. Though you should first copy this list to another spreadsheet and apply sorting to it.</t>
  </si>
  <si>
    <t>Symbol count before the actual pick starts</t>
  </si>
  <si>
    <t>In column P you have the scoring points already formatted for copying to MTF. You can change the formatting by changing the parameters to the right of this text.</t>
  </si>
  <si>
    <t>Text for blank picks</t>
  </si>
  <si>
    <t>No pick yet</t>
  </si>
  <si>
    <t>k yet</t>
  </si>
  <si>
    <t>Note: If no.5 in the draw was a qualifier and later you find out this qualifier is Delic, for example, you must delete 5 from column A next to the Qualifier and put it in next to Delic.</t>
  </si>
  <si>
    <t>When a match is finished, put the winner in column K. Put in 1 if the first player won, and 2 if the second player won.</t>
  </si>
  <si>
    <t>Symbol count in picks history</t>
  </si>
  <si>
    <t>You can update the scoring points in MTF with column Q when the match is finished. It has the winner in bold.</t>
  </si>
  <si>
    <t>You shouldn't edit any text that is greyed out as it might mess up the formulas in this spreadsheet.</t>
  </si>
  <si>
    <t>Other</t>
  </si>
  <si>
    <t>Once you put in the winners in column K, the next round scoring points are calculated automatically and available to you in column P again.</t>
  </si>
  <si>
    <t>Symbol count in ATP players list</t>
  </si>
  <si>
    <t>Whether to include nationality in scopo</t>
  </si>
  <si>
    <r>
      <t>Note:</t>
    </r>
    <r>
      <rPr>
        <sz val="10"/>
        <rFont val="Arial"/>
        <family val="2"/>
      </rPr>
      <t xml:space="preserve"> 1 means yes, 0 means no</t>
    </r>
  </si>
  <si>
    <t>Managing picks and standings</t>
  </si>
  <si>
    <t>Color for new matches</t>
  </si>
  <si>
    <t>Black</t>
  </si>
  <si>
    <t>If you want to use this spreadsheet for picks managing then you will need to put all the picks in the same format. So, the first thing you need to do is decide what format you will use.</t>
  </si>
  <si>
    <t>Color for completed matches</t>
  </si>
  <si>
    <t>Red</t>
  </si>
  <si>
    <r>
      <t xml:space="preserve">This application requires the following format:
</t>
    </r>
    <r>
      <rPr>
        <sz val="8"/>
        <color indexed="17"/>
        <rFont val="Courier New"/>
        <family val="3"/>
      </rPr>
      <t>Some symbols at the beginning
Last name of the first player
One word in the middle
Last name of the second player</t>
    </r>
  </si>
  <si>
    <t>So, you see, there are four parts to each pick. Here's what you need to know about each part:
First part – it doesn't matter what symbols are here, what matters is the length of this part. It must be constant and you can define it in the parameters section in cell I11.</t>
  </si>
  <si>
    <t>Second and Fourth part – it must be player's last names as you put them in from Steve G's website</t>
  </si>
  <si>
    <t>Third part – it can be whatever word you decide. You must put it in the Parameters section in I10.</t>
  </si>
  <si>
    <t>Let's take one pick as an example: “PAW01 Federer over Nadal”. The middle word in this case is “over” and the symbols count before the actual pick starts is 6 – P, A, W, 0, 1, and a space.</t>
  </si>
  <si>
    <t>Once you have defined the format of your picks in the parameters section you can start putting them in in the PAW26 sheet in column B.</t>
  </si>
  <si>
    <t>Note: The possible picks have already been calculated automatically and are visible in column H. When you put in picks in column B the picks must match exactly with an existing pick from column H (when you take away the first part of the pick in column B).</t>
  </si>
  <si>
    <t>If you put in a pick in column B that has no corresponding pick in column H you will get an error in column E. In that case, you must fix the pick in column B so that it would match your defined format. Once you fix it the error will disappear.</t>
  </si>
  <si>
    <t>Common mistakes with picks from MTF:
- the pick has more symbols before the actual start of the pick than defined in parameters,
- the middle word is not the same as defined in parameters,
- a player's last name is spelled wrong (most often Bolelli, Petzschner, etc.),
- there's an additional space at the end of the pick,
- the pick also has the player's first name or seed number.</t>
  </si>
  <si>
    <t>Putting in picks from MTF into the spreadsheet in the correct format is the most time-consuming task of managing PAW with this application. The upside is that the points for each player's each pick are assigned automatically as soon as you put in the winner of the match in ScoPo's column K so there's no room for mistakes (unless you put in the wrong winner, of course).</t>
  </si>
  <si>
    <t>Column G in sheet PAW26 shows how many times each pick has been picked.</t>
  </si>
  <si>
    <t>If you get a pick like Nadal/Verdasco over Federer, you will get an error in column E because such a pick doesn't exist in column H. In that case you can add it to column H below the automatic picks (starting with row 151) and remove the symbols before the actual pick. The other option is to copy this pick into column D instead of column B. You will get no error in this case but you must remember to put in the correct pick in column B later otherwise the player won't get any points for his/her pick.</t>
  </si>
  <si>
    <t>You should use columns C, D, and E starting from row 83 for copying the picks to MTF.</t>
  </si>
  <si>
    <t>Version History:</t>
  </si>
  <si>
    <t>0.1 – Initial version</t>
  </si>
  <si>
    <t>Place in the draw</t>
  </si>
  <si>
    <t>Name</t>
  </si>
  <si>
    <t>Country</t>
  </si>
  <si>
    <t>Points</t>
  </si>
  <si>
    <t>Comments</t>
  </si>
  <si>
    <t>Seeds</t>
  </si>
  <si>
    <t>The ATP Players list</t>
  </si>
  <si>
    <t>Winner</t>
  </si>
  <si>
    <t>Round 128</t>
  </si>
  <si>
    <t>ScoPo for MTF</t>
  </si>
  <si>
    <t>Round 64</t>
  </si>
  <si>
    <t>Round 32</t>
  </si>
  <si>
    <t>Round 16</t>
  </si>
  <si>
    <t>Quarterfinals</t>
  </si>
  <si>
    <t>Semifinals</t>
  </si>
  <si>
    <t>Final</t>
  </si>
  <si>
    <t>[B]</t>
  </si>
  <si>
    <t>[U].#.</t>
  </si>
  <si>
    <t>Player_________________</t>
  </si>
  <si>
    <t>P</t>
  </si>
  <si>
    <t>W</t>
  </si>
  <si>
    <t>L</t>
  </si>
  <si>
    <t>PTS</t>
  </si>
  <si>
    <t>AVG P</t>
  </si>
  <si>
    <t>[I]</t>
  </si>
  <si>
    <t>BP</t>
  </si>
  <si>
    <t>2BP</t>
  </si>
  <si>
    <t>3BP</t>
  </si>
  <si>
    <t>4BP</t>
  </si>
  <si>
    <t>5BP</t>
  </si>
  <si>
    <t>6BP</t>
  </si>
  <si>
    <t>7BP</t>
  </si>
  <si>
    <t>8BP</t>
  </si>
  <si>
    <t>9BP</t>
  </si>
  <si>
    <t>10BP</t>
  </si>
  <si>
    <t>11BP</t>
  </si>
  <si>
    <t>12BP</t>
  </si>
  <si>
    <t>13BP</t>
  </si>
  <si>
    <t>14BP</t>
  </si>
  <si>
    <t>15BP</t>
  </si>
  <si>
    <t>16BP</t>
  </si>
  <si>
    <t>17BP</t>
  </si>
  <si>
    <t>[/I]</t>
  </si>
  <si>
    <t>Entry List from MTF</t>
  </si>
  <si>
    <t>ENTRY LIST (formatted):</t>
  </si>
  <si>
    <t>[/U][/B]</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</si>
  <si>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</si>
  <si>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</si>
  <si>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</si>
  <si>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</si>
  <si>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</si>
  <si>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</si>
  <si>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</si>
  <si>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</si>
  <si>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</si>
  <si>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</si>
  <si>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</si>
  <si>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</si>
  <si>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</si>
  <si>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</si>
  <si>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</si>
  <si>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</si>
  <si>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</si>
  <si>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</si>
  <si>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</si>
  <si>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</si>
  <si>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</si>
  <si>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</si>
  <si>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</si>
  <si>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</si>
  <si>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</si>
  <si>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</si>
  <si>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</si>
  <si>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</si>
  <si>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</si>
  <si>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</si>
  <si>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</si>
  <si>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</si>
  <si>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</si>
  <si>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</si>
  <si>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</si>
  <si>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</si>
  <si>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</si>
  <si>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</si>
  <si>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</si>
  <si>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</si>
  <si>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</si>
  <si>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</si>
  <si>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</si>
  <si>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</si>
  <si>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</si>
  <si>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</si>
  <si>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</si>
  <si>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</si>
  <si>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</si>
  <si>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</si>
  <si>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</si>
  <si>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</si>
  <si>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</si>
  <si>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</si>
  <si>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</si>
  <si>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</si>
  <si>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</si>
  <si>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</si>
  <si>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</si>
  <si>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</si>
  <si>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</si>
  <si>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</si>
  <si>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</si>
  <si>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</si>
  <si>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</si>
  <si>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</si>
  <si>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</si>
  <si>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</si>
  <si>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</si>
  <si>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</si>
  <si>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</si>
  <si>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</si>
  <si>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</si>
  <si>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</si>
  <si>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</si>
  <si>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</si>
  <si>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</si>
  <si>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</si>
  <si>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</si>
  <si>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</si>
  <si>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</si>
  <si>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</si>
  <si>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</si>
  <si>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</si>
  <si>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</si>
  <si>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</si>
  <si>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</si>
  <si>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</si>
  <si>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</si>
  <si>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</si>
  <si>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</si>
  <si>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</si>
  <si>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</si>
  <si>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</si>
  <si>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</si>
  <si>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</si>
  <si>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</si>
  <si>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</si>
  <si>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</si>
  <si>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</si>
  <si>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</si>
  <si>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</si>
  <si>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</si>
  <si>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</si>
  <si>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</si>
  <si>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</si>
  <si>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</si>
  <si>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</si>
  <si>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</si>
  <si>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</si>
  <si>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</si>
  <si>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</si>
  <si>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</si>
  <si>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</si>
  <si>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</si>
  <si>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</si>
  <si>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</si>
  <si>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</si>
  <si>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</si>
  <si>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</si>
  <si>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</si>
  <si>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</si>
  <si>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</si>
  <si>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</si>
  <si>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</si>
  <si>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</si>
  <si>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</si>
  <si>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</si>
  <si>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</si>
  <si>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</si>
  <si>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r>
      <t>Instructions:</t>
    </r>
    <r>
      <rPr>
        <sz val="9"/>
        <rFont val="Book Antiqua"/>
        <family val="1"/>
      </rPr>
      <t xml:space="preserve"> Copy MTF player names into column B, then sort it. Don't sort column D.</t>
    </r>
  </si>
  <si>
    <t>After commitment deadline copy names from column D to column H. Any WCs add at the bottom.</t>
  </si>
  <si>
    <t>Picks updated up to post #:</t>
  </si>
  <si>
    <t>C.</t>
  </si>
  <si>
    <t>Possible Picks</t>
  </si>
  <si>
    <t>P.</t>
  </si>
  <si>
    <t>18BP</t>
  </si>
  <si>
    <t>19BP</t>
  </si>
  <si>
    <t>20BP</t>
  </si>
  <si>
    <t>21BP</t>
  </si>
  <si>
    <t>22BP</t>
  </si>
  <si>
    <t>23BP</t>
  </si>
  <si>
    <t>24BP</t>
  </si>
  <si>
    <t>25BP</t>
  </si>
  <si>
    <t>26BP</t>
  </si>
  <si>
    <t>PICKS</t>
  </si>
  <si>
    <t>#</t>
  </si>
  <si>
    <t>01-&gt;</t>
  </si>
  <si>
    <t>02-&gt;</t>
  </si>
  <si>
    <t>03-&gt;</t>
  </si>
  <si>
    <t>04-&gt;</t>
  </si>
  <si>
    <t>05-&gt;</t>
  </si>
  <si>
    <t>06-&gt;</t>
  </si>
  <si>
    <t>07-&gt;</t>
  </si>
  <si>
    <t>08-&gt;</t>
  </si>
  <si>
    <t>09-&gt;</t>
  </si>
  <si>
    <t>10-&gt;</t>
  </si>
  <si>
    <t>11-&gt;</t>
  </si>
  <si>
    <t>12-&gt;</t>
  </si>
  <si>
    <t>13-&gt;</t>
  </si>
  <si>
    <t>14-&gt;</t>
  </si>
  <si>
    <t>15-&gt;</t>
  </si>
  <si>
    <t>16-&gt;</t>
  </si>
  <si>
    <t>17-&gt;</t>
  </si>
  <si>
    <t>18-&gt;</t>
  </si>
  <si>
    <t>19-&gt;</t>
  </si>
  <si>
    <t>20-&gt;</t>
  </si>
  <si>
    <t>21-&gt;</t>
  </si>
  <si>
    <t>22-&gt;</t>
  </si>
  <si>
    <t>23-&gt;</t>
  </si>
  <si>
    <t>24-&gt;</t>
  </si>
  <si>
    <t>25-&gt;</t>
  </si>
  <si>
    <t>26-&gt;</t>
  </si>
  <si>
    <t>Other possible picks below</t>
  </si>
  <si>
    <t>SRB</t>
  </si>
  <si>
    <t>GER</t>
  </si>
  <si>
    <t>NIEMINEN</t>
  </si>
  <si>
    <t>FIN</t>
  </si>
  <si>
    <t>HEWITT</t>
  </si>
  <si>
    <t>AUS</t>
  </si>
  <si>
    <t>(W)</t>
  </si>
  <si>
    <t>HERBERT</t>
  </si>
  <si>
    <t>FRA</t>
  </si>
  <si>
    <t>(Q)</t>
  </si>
  <si>
    <t>CHUNG</t>
  </si>
  <si>
    <t>KOR</t>
  </si>
  <si>
    <t>STRUFF</t>
  </si>
  <si>
    <t>MAYER</t>
  </si>
  <si>
    <t>ARG</t>
  </si>
  <si>
    <t>TIPSAREVIC</t>
  </si>
  <si>
    <t>ESP</t>
  </si>
  <si>
    <t>ILHAN</t>
  </si>
  <si>
    <t>TUR</t>
  </si>
  <si>
    <t>POUILLE</t>
  </si>
  <si>
    <t>MORIYA</t>
  </si>
  <si>
    <t>JPN</t>
  </si>
  <si>
    <t>BERANKIS</t>
  </si>
  <si>
    <t>LTU</t>
  </si>
  <si>
    <t>EBDEN</t>
  </si>
  <si>
    <t>ROLA</t>
  </si>
  <si>
    <t>SLO</t>
  </si>
  <si>
    <t>SOEDA</t>
  </si>
  <si>
    <t>USA</t>
  </si>
  <si>
    <t>KUDLA</t>
  </si>
  <si>
    <t>SOUZA</t>
  </si>
  <si>
    <t>BRA</t>
  </si>
  <si>
    <t>COL</t>
  </si>
  <si>
    <t>ITA</t>
  </si>
  <si>
    <t>SVK</t>
  </si>
  <si>
    <t>SELA</t>
  </si>
  <si>
    <t>ISR</t>
  </si>
  <si>
    <t>MILLMAN</t>
  </si>
  <si>
    <t>BROADY</t>
  </si>
  <si>
    <t>GBR</t>
  </si>
  <si>
    <t>MATOSEVIC</t>
  </si>
  <si>
    <t>ZEBALLOS</t>
  </si>
  <si>
    <t>BEL</t>
  </si>
  <si>
    <t>DELBONIS</t>
  </si>
  <si>
    <t>LACKO</t>
  </si>
  <si>
    <t>DE SCHEPPER</t>
  </si>
  <si>
    <t>SMITH</t>
  </si>
  <si>
    <t>SAVILLE</t>
  </si>
  <si>
    <t>LAJOVIC</t>
  </si>
  <si>
    <t>HAAS</t>
  </si>
  <si>
    <t>CZE</t>
  </si>
  <si>
    <t>KAZ</t>
  </si>
  <si>
    <t>UZB</t>
  </si>
  <si>
    <t>SWE</t>
  </si>
  <si>
    <t>NED</t>
  </si>
  <si>
    <t>LAT</t>
  </si>
  <si>
    <t>GEO</t>
  </si>
  <si>
    <t>TUN</t>
  </si>
  <si>
    <t>BIH</t>
  </si>
  <si>
    <t>WARD</t>
  </si>
  <si>
    <t>LORENZI</t>
  </si>
  <si>
    <t>MILLOT</t>
  </si>
  <si>
    <t>NEDOVYESOV</t>
  </si>
  <si>
    <t>STEPANEK</t>
  </si>
  <si>
    <t>BROWN</t>
  </si>
  <si>
    <t>ISTOMIN</t>
  </si>
  <si>
    <t>EDMUND</t>
  </si>
  <si>
    <t>YMER</t>
  </si>
  <si>
    <t>KLEIN</t>
  </si>
  <si>
    <t>FALLA</t>
  </si>
  <si>
    <t>KRAJINOVIC</t>
  </si>
  <si>
    <t>GULBIS</t>
  </si>
  <si>
    <t>BERRER</t>
  </si>
  <si>
    <t>SUGITA</t>
  </si>
  <si>
    <t>KAVCIC</t>
  </si>
  <si>
    <t>ALMAGRO</t>
  </si>
  <si>
    <t>DARCIS</t>
  </si>
  <si>
    <t>BASILASHVILI</t>
  </si>
  <si>
    <t>BAGNIS</t>
  </si>
  <si>
    <t>BEMELMANS</t>
  </si>
  <si>
    <t>JAZIRI</t>
  </si>
  <si>
    <t>DUCKWORTH</t>
  </si>
  <si>
    <t>SIJSLING</t>
  </si>
  <si>
    <t>DZUMHUR</t>
  </si>
  <si>
    <t>ISTOMIN vs RAMOS-VINOLAS</t>
  </si>
  <si>
    <t>TIPSAREVIC vs GRANOLLERS</t>
  </si>
  <si>
    <t>STEPANEK vs BEDENE</t>
  </si>
  <si>
    <t>MAYER vs MONACO</t>
  </si>
  <si>
    <t>KOKKINAKIS vs MAYER</t>
  </si>
  <si>
    <t>STAKHOVSKY vs CORIC</t>
  </si>
  <si>
    <t>GARCIA-LOPEZ vs ANDUJAR</t>
  </si>
  <si>
    <t>SUGITA vs KAVCIC</t>
  </si>
  <si>
    <t>BECKER vs ESTRELLA BURGOS</t>
  </si>
  <si>
    <t>FALLA vs HAASE</t>
  </si>
  <si>
    <t>HEWITT vs NIEMINEN</t>
  </si>
  <si>
    <t>JANOWICZ vs ILHAN</t>
  </si>
  <si>
    <t>MULLER vs TSONGA</t>
  </si>
  <si>
    <t>SELA vs THIEM</t>
  </si>
  <si>
    <t>GULBIS vs ROSOL</t>
  </si>
  <si>
    <t>SMYCZEK vs FOGNINI</t>
  </si>
  <si>
    <t>BERRER vs MANNARINO</t>
  </si>
  <si>
    <t>BOLELLI vs NISHIKORI</t>
  </si>
  <si>
    <t>ALMAGRO vs SIMON</t>
  </si>
  <si>
    <t>YOUZHNY vs PAIRE</t>
  </si>
  <si>
    <t>BEMELMANS vs BAUTISTA AGUT</t>
  </si>
  <si>
    <t>LU vs BROWN</t>
  </si>
  <si>
    <t>VANNI vs WARD</t>
  </si>
  <si>
    <t>YMER vs KARLOVIC</t>
  </si>
  <si>
    <t>KOHLSCHREIBER vs DJOKOVIC</t>
  </si>
  <si>
    <t>SMITH vs DE SCHEPPER</t>
  </si>
  <si>
    <t>MILLOT vs POSPISIL</t>
  </si>
  <si>
    <t>DARCIS vs LOPEZ</t>
  </si>
  <si>
    <t>SIJSLING vs QUERREY</t>
  </si>
  <si>
    <t>KLIZAN vs VERDASCO</t>
  </si>
  <si>
    <t>ZEBALLOS vs GOFFIN</t>
  </si>
  <si>
    <t>BELLUCCI vs NADAL</t>
  </si>
  <si>
    <t>SOCK vs GROTH</t>
  </si>
  <si>
    <t>SOUSA vs WAWRINKA</t>
  </si>
  <si>
    <t>MATOSEVIC vs BROADY</t>
  </si>
  <si>
    <t>KLEIN vs SEPPI</t>
  </si>
  <si>
    <t>CHARDY vs BERDYCH</t>
  </si>
  <si>
    <t>DJOKOVIC vs KOHLSCHREIBER</t>
  </si>
  <si>
    <t>STRUFF vs TOMIC</t>
  </si>
  <si>
    <t>POUILLE vs ANDERSON</t>
  </si>
  <si>
    <t>CILIC vs MORIYA</t>
  </si>
  <si>
    <t>HAIDER-MAURER vs BERANKIS</t>
  </si>
  <si>
    <t>SOEDA vs ISNER</t>
  </si>
  <si>
    <t>CUEVAS vs KUDLA</t>
  </si>
  <si>
    <t>GABASHVILI vs ZVEREV</t>
  </si>
  <si>
    <t>SOUZA vs GIRALDO</t>
  </si>
  <si>
    <t>WAWRINKA vs SOUSA</t>
  </si>
  <si>
    <t>ROBREDO vs MILLMAN</t>
  </si>
  <si>
    <t>YOUNG vs BAGHDATIS</t>
  </si>
  <si>
    <t>DIMITROV vs DELBONIS</t>
  </si>
  <si>
    <t>LACKO vs JOHNSON</t>
  </si>
  <si>
    <t>SAVILLE vs GASQUET</t>
  </si>
  <si>
    <t>MONACO vs MAYER</t>
  </si>
  <si>
    <t>LAJOVIC vs HAAS</t>
  </si>
  <si>
    <t>GIMENO-TRAVER vs RAONIC</t>
  </si>
  <si>
    <t>POSPISIL vs MILLOT</t>
  </si>
  <si>
    <t>SEPPI vs KLEIN</t>
  </si>
  <si>
    <t>KUKUSHKIN vs MURRAY</t>
  </si>
  <si>
    <t>BERDYCH vs CHARDY</t>
  </si>
  <si>
    <t>KRAJINOVIC vs MAHUT</t>
  </si>
  <si>
    <t>JAZIRI vs DUCKWORTH</t>
  </si>
  <si>
    <t>DZUMHUR vs FEDERER</t>
  </si>
  <si>
    <t>CHUNG vs HERBERT</t>
  </si>
  <si>
    <t>GRANOLLERS vs TIPSAREVIC</t>
  </si>
  <si>
    <t>MORIYA vs CILIC</t>
  </si>
  <si>
    <t>ROLA vs EBDEN</t>
  </si>
  <si>
    <t>NISHIKORI vs BOLELLI</t>
  </si>
  <si>
    <t>GOFFIN vs ZEBALLOS</t>
  </si>
  <si>
    <t>DELBONIS vs DIMITROV</t>
  </si>
  <si>
    <t>GASQUET vs SAVILLE</t>
  </si>
  <si>
    <t>SCHWARTZMAN vs KYRGIOS</t>
  </si>
  <si>
    <t>RAONIC vs GIMENO-TRAVER</t>
  </si>
  <si>
    <t>LORENZI vs VESELY</t>
  </si>
  <si>
    <t>NEDOVYESOV vs TROICKI</t>
  </si>
  <si>
    <t>EDMUND vs DOLGOPOLOV</t>
  </si>
  <si>
    <t>KARLOVIC vs YMER</t>
  </si>
  <si>
    <t>MURRAY vs KUKUSHKIN</t>
  </si>
  <si>
    <t>CARRENO BUSTA vs MONFILS</t>
  </si>
  <si>
    <t>SIMON vs ALMAGRO</t>
  </si>
  <si>
    <t>BAGNIS vs BASILASHVILI</t>
  </si>
  <si>
    <t>FEDERER vs DZUMHUR</t>
  </si>
  <si>
    <t>DJOKOVIC vs NIEMINEN</t>
  </si>
  <si>
    <t>HERBERT vs TOMIC</t>
  </si>
  <si>
    <t>ILHAN vs ANDERSON</t>
  </si>
  <si>
    <t>CILIC vs BERANKIS</t>
  </si>
  <si>
    <t>EBDEN vs ISNER</t>
  </si>
  <si>
    <t>WAWRINKA vs ESTRELLA BURGOS</t>
  </si>
  <si>
    <t>MILLMAN vs BAGHDATIS</t>
  </si>
  <si>
    <t>BROADY vs GOFFIN</t>
  </si>
  <si>
    <t>DE SCHEPPER vs GASQUET</t>
  </si>
  <si>
    <t>HAAS vs RAONIC</t>
  </si>
  <si>
    <t>TSONGA vs RAMOS-VINOLAS</t>
  </si>
  <si>
    <t>DOLGOPOLOV vs KARLOVIC</t>
  </si>
  <si>
    <t>HAASE vs MURRAY</t>
  </si>
  <si>
    <t>BERDYCH vs MAHUT</t>
  </si>
  <si>
    <t>ROSOL vs ANDUJAR</t>
  </si>
  <si>
    <t>KAVCIC vs SIMON</t>
  </si>
  <si>
    <t>LOPEZ vs BASILASHVILI</t>
  </si>
  <si>
    <t>PAIRE vs BAUTISTA AGUT</t>
  </si>
  <si>
    <t>QUERREY vs FEDERER</t>
  </si>
  <si>
    <t>NIEMINEN vs DJOKOVIC</t>
  </si>
  <si>
    <t>TOMIC vs HERBERT</t>
  </si>
  <si>
    <t>GRANOLLERS vs MAYER</t>
  </si>
  <si>
    <t>BERANKIS vs CILIC</t>
  </si>
  <si>
    <t>ISNER vs EBDEN</t>
  </si>
  <si>
    <t>ZVEREV vs KUDLA</t>
  </si>
  <si>
    <t>NISHIKORI vs GIRALDO</t>
  </si>
  <si>
    <t>ESTRELLA BURGOS vs WAWRINKA</t>
  </si>
  <si>
    <t>THIEM vs VERDASCO</t>
  </si>
  <si>
    <t>GOFFIN vs BROADY</t>
  </si>
  <si>
    <t>JOHNSON vs DIMITROV</t>
  </si>
  <si>
    <t>GASQUET vs DE SCHEPPER</t>
  </si>
  <si>
    <t>MONACO vs KYRGIOS</t>
  </si>
  <si>
    <t>RAONIC vs HAAS</t>
  </si>
  <si>
    <t>VESELY vs WARD</t>
  </si>
  <si>
    <t>FOGNINI vs POSPISIL</t>
  </si>
  <si>
    <t>BEDENE vs TROICKI</t>
  </si>
  <si>
    <t>NADAL vs BROWN</t>
  </si>
  <si>
    <t>RAMOS-VINOLAS vs TSONGA</t>
  </si>
  <si>
    <t>CORIC vs SEPPI</t>
  </si>
  <si>
    <t>MURRAY vs HAASE</t>
  </si>
  <si>
    <t>MAHUT vs BERDYCH</t>
  </si>
  <si>
    <t>MANNARINO vs MONFILS</t>
  </si>
  <si>
    <t>SIMON vs KAVCIC</t>
  </si>
  <si>
    <t>DUCKWORTH vs GROTH</t>
  </si>
  <si>
    <t>FEDERER vs QUERREY</t>
  </si>
  <si>
    <t>DJOKOVIC vs TOMIC</t>
  </si>
  <si>
    <t>MAYER vs ANDERSON</t>
  </si>
  <si>
    <t>WAWRINKA vs VERDASCO</t>
  </si>
  <si>
    <t>BAGHDATIS vs GOFFIN</t>
  </si>
  <si>
    <t>DIMITROV vs GASQUET</t>
  </si>
  <si>
    <t>WARD vs POSPISIL</t>
  </si>
  <si>
    <t>TSONGA vs KARLOVIC</t>
  </si>
  <si>
    <t>BERDYCH vs ANDUJAR</t>
  </si>
  <si>
    <t>BASILASHVILI vs BAUTISTA AGUT</t>
  </si>
  <si>
    <t>GROTH vs FEDERER</t>
  </si>
  <si>
    <t>TOMIC vs DJOKOVIC</t>
  </si>
  <si>
    <t>ISNER vs CILIC</t>
  </si>
  <si>
    <t>GIRALDO vs KUDLA</t>
  </si>
  <si>
    <t>VERDASCO vs WAWRINKA</t>
  </si>
  <si>
    <t>RAONIC vs KYRGIOS</t>
  </si>
  <si>
    <t>BROWN vs TROICKI</t>
  </si>
  <si>
    <t>ANDUJAR vs BERDYCH</t>
  </si>
  <si>
    <t>BAUTISTA AGUT vs BASILASHVILI</t>
  </si>
  <si>
    <t>FEDERER vs GROTH</t>
  </si>
  <si>
    <t>[color=red]26[/color]</t>
  </si>
  <si>
    <t>Draw size</t>
  </si>
  <si>
    <t>@ for alt</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</si>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</sst>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VERDADERO&quot;;&quot;VERDADERO&quot;;&quot;FALSO&quot;"/>
  </numFmts>
  <fonts count="29">
    <font>
      <sz val="10"/>
      <name val="Arial"/>
      <family val="2"/>
    </font>
    <font>
      <b/>
      <sz val="12"/>
      <color indexed="11"/>
      <name val="Arial"/>
      <family val="2"/>
    </font>
    <font>
      <b/>
      <sz val="10"/>
      <name val="Arial"/>
      <family val="2"/>
    </font>
    <font>
      <sz val="10"/>
      <color indexed="10"/>
      <name val="Arial"/>
      <family val="2"/>
    </font>
    <font>
      <sz val="8"/>
      <color indexed="17"/>
      <name val="Courier New"/>
      <family val="3"/>
    </font>
    <font>
      <b/>
      <sz val="10"/>
      <color indexed="18"/>
      <name val="Arial"/>
      <family val="2"/>
    </font>
    <font>
      <b/>
      <sz val="10"/>
      <color indexed="20"/>
      <name val="Arial"/>
      <family val="2"/>
    </font>
    <font>
      <b/>
      <sz val="10"/>
      <color indexed="12"/>
      <name val="Arial"/>
      <family val="2"/>
    </font>
    <font>
      <sz val="10"/>
      <color indexed="55"/>
      <name val="Arial"/>
      <family val="2"/>
    </font>
    <font>
      <sz val="8"/>
      <name val="Courier New"/>
      <family val="3"/>
    </font>
    <font>
      <sz val="10"/>
      <color indexed="19"/>
      <name val="Arial"/>
      <family val="2"/>
    </font>
    <font>
      <sz val="10"/>
      <color indexed="22"/>
      <name val="Arial"/>
      <family val="2"/>
    </font>
    <font>
      <sz val="10"/>
      <name val="Courier New"/>
      <family val="3"/>
    </font>
    <font>
      <i/>
      <sz val="8"/>
      <name val="Courier New"/>
      <family val="3"/>
    </font>
    <font>
      <b/>
      <sz val="10"/>
      <name val="Courier New"/>
      <family val="3"/>
    </font>
    <font>
      <b/>
      <sz val="9"/>
      <name val="Book Antiqua"/>
      <family val="1"/>
    </font>
    <font>
      <sz val="9"/>
      <name val="Book Antiqua"/>
      <family val="1"/>
    </font>
    <font>
      <sz val="6.4"/>
      <color indexed="63"/>
      <name val="Ubuntu"/>
    </font>
    <font>
      <sz val="10"/>
      <name val="Book Antiqua"/>
      <family val="1"/>
    </font>
    <font>
      <sz val="8"/>
      <name val="Book Antiqua"/>
      <family val="1"/>
    </font>
    <font>
      <sz val="10"/>
      <color indexed="55"/>
      <name val="Courier New"/>
      <family val="3"/>
    </font>
    <font>
      <sz val="9"/>
      <color indexed="56"/>
      <name val="Book Antiqua"/>
      <family val="1"/>
    </font>
    <font>
      <sz val="10"/>
      <color indexed="9"/>
      <name val="Book Antiqua"/>
      <family val="1"/>
    </font>
    <font>
      <b/>
      <sz val="10"/>
      <color indexed="10"/>
      <name val="Arial"/>
      <family val="2"/>
    </font>
    <font>
      <sz val="9"/>
      <name val="Verdana"/>
      <family val="2"/>
    </font>
    <font>
      <sz val="9"/>
      <color rgb="FF000000"/>
      <name val="Arial Unicode MS"/>
      <family val="2"/>
    </font>
    <font>
      <sz val="11"/>
      <color rgb="FF535353"/>
      <name val="Tahoma"/>
      <family val="2"/>
    </font>
    <font>
      <sz val="10"/>
      <name val="Arial Unicode MS"/>
      <family val="2"/>
    </font>
    <font>
      <u/>
      <sz val="10"/>
      <color theme="10"/>
      <name val="Arial"/>
      <family val="2"/>
    </font>
  </fonts>
  <fills count="8">
    <fill>
      <patternFill patternType="none"/>
    </fill>
    <fill>
      <patternFill patternType="gray125"/>
    </fill>
    <fill>
      <patternFill patternType="solid">
        <fgColor indexed="27"/>
        <bgColor indexed="41"/>
      </patternFill>
    </fill>
    <fill>
      <patternFill patternType="solid">
        <fgColor indexed="42"/>
        <bgColor indexed="27"/>
      </patternFill>
    </fill>
    <fill>
      <patternFill patternType="solid">
        <fgColor indexed="47"/>
        <bgColor indexed="22"/>
      </patternFill>
    </fill>
    <fill>
      <patternFill patternType="solid">
        <fgColor indexed="43"/>
        <bgColor indexed="26"/>
      </patternFill>
    </fill>
    <fill>
      <patternFill patternType="solid">
        <fgColor indexed="56"/>
        <bgColor indexed="62"/>
      </patternFill>
    </fill>
    <fill>
      <patternFill patternType="solid">
        <fgColor rgb="FFEEEEEE"/>
        <bgColor indexed="64"/>
      </patternFill>
    </fill>
  </fills>
  <borders count="13">
    <border>
      <left/>
      <right/>
      <top/>
      <bottom/>
      <diagonal/>
    </border>
    <border>
      <left/>
      <right style="hair">
        <color indexed="8"/>
      </right>
      <top/>
      <bottom/>
      <diagonal/>
    </border>
    <border>
      <left style="hair">
        <color indexed="8"/>
      </left>
      <right style="hair">
        <color indexed="8"/>
      </right>
      <top style="hair">
        <color indexed="8"/>
      </top>
      <bottom style="hair">
        <color indexed="8"/>
      </bottom>
      <diagonal/>
    </border>
    <border>
      <left style="hair">
        <color indexed="8"/>
      </left>
      <right style="hair">
        <color indexed="8"/>
      </right>
      <top style="hair">
        <color indexed="8"/>
      </top>
      <bottom/>
      <diagonal/>
    </border>
    <border>
      <left style="thick">
        <color indexed="8"/>
      </left>
      <right style="thick">
        <color indexed="8"/>
      </right>
      <top style="thick">
        <color indexed="8"/>
      </top>
      <bottom/>
      <diagonal/>
    </border>
    <border>
      <left style="thick">
        <color indexed="8"/>
      </left>
      <right style="thick">
        <color indexed="8"/>
      </right>
      <top/>
      <bottom/>
      <diagonal/>
    </border>
    <border>
      <left style="hair">
        <color indexed="8"/>
      </left>
      <right style="hair">
        <color indexed="8"/>
      </right>
      <top/>
      <bottom/>
      <diagonal/>
    </border>
    <border>
      <left style="hair">
        <color indexed="8"/>
      </left>
      <right style="hair">
        <color indexed="8"/>
      </right>
      <top/>
      <bottom style="hair">
        <color indexed="8"/>
      </bottom>
      <diagonal/>
    </border>
    <border>
      <left style="thick">
        <color indexed="8"/>
      </left>
      <right style="thick">
        <color indexed="8"/>
      </right>
      <top/>
      <bottom style="thick">
        <color indexed="8"/>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medium">
        <color rgb="FFDDDDDD"/>
      </top>
      <bottom style="medium">
        <color rgb="FFCCCCCC"/>
      </bottom>
      <diagonal/>
    </border>
    <border>
      <left style="thin">
        <color rgb="FF000000"/>
      </left>
      <right style="thin">
        <color rgb="FF000000"/>
      </right>
      <top/>
      <bottom/>
      <diagonal/>
    </border>
    <border>
      <left style="thin">
        <color rgb="FF000000"/>
      </left>
      <right style="thin">
        <color rgb="FF000000"/>
      </right>
      <top/>
      <bottom style="medium">
        <color rgb="FFCCCCCC"/>
      </bottom>
      <diagonal/>
    </border>
  </borders>
  <cellStyleXfs count="2">
    <xf numFmtId="0" fontId="0" fillId="0" borderId="0"/>
    <xf numFmtId="0" fontId="28" fillId="0" borderId="0" applyNumberFormat="0" applyFill="0" applyBorder="0" applyAlignment="0" applyProtection="0"/>
  </cellStyleXfs>
  <cellXfs count="74">
    <xf numFmtId="0" fontId="0" fillId="0" borderId="0" xfId="0"/>
    <xf numFmtId="0" fontId="0" fillId="0" borderId="0" xfId="0" applyAlignment="1">
      <alignment wrapText="1"/>
    </xf>
    <xf numFmtId="0" fontId="1" fillId="0" borderId="0" xfId="0" applyFont="1" applyAlignment="1">
      <alignment wrapText="1"/>
    </xf>
    <xf numFmtId="0" fontId="1" fillId="0" borderId="0" xfId="0" applyFont="1"/>
    <xf numFmtId="0" fontId="2" fillId="0" borderId="0" xfId="0" applyFont="1"/>
    <xf numFmtId="0" fontId="2" fillId="0" borderId="0" xfId="0" applyFont="1" applyAlignment="1">
      <alignment wrapText="1"/>
    </xf>
    <xf numFmtId="0" fontId="3" fillId="0" borderId="0" xfId="0" applyFont="1"/>
    <xf numFmtId="0" fontId="0" fillId="0" borderId="1" xfId="0" applyBorder="1"/>
    <xf numFmtId="0" fontId="2" fillId="0" borderId="1" xfId="0" applyFont="1" applyBorder="1"/>
    <xf numFmtId="0" fontId="5" fillId="0" borderId="0" xfId="0" applyFont="1"/>
    <xf numFmtId="0" fontId="6" fillId="0" borderId="0" xfId="0" applyFont="1"/>
    <xf numFmtId="0" fontId="7" fillId="0" borderId="0" xfId="0" applyFont="1"/>
    <xf numFmtId="0" fontId="0" fillId="2" borderId="0" xfId="0" applyFill="1"/>
    <xf numFmtId="0" fontId="8" fillId="0" borderId="0" xfId="0" applyFont="1"/>
    <xf numFmtId="0" fontId="9" fillId="0" borderId="0" xfId="0" applyFont="1"/>
    <xf numFmtId="0" fontId="10" fillId="0" borderId="0" xfId="0" applyFont="1"/>
    <xf numFmtId="0" fontId="11" fillId="0" borderId="0" xfId="0" applyFont="1"/>
    <xf numFmtId="0" fontId="0" fillId="2" borderId="1" xfId="0" applyFill="1" applyBorder="1"/>
    <xf numFmtId="0" fontId="12" fillId="0" borderId="0" xfId="0" applyFont="1"/>
    <xf numFmtId="0" fontId="9" fillId="0" borderId="0" xfId="0"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2" fillId="0" borderId="0" xfId="0" applyFont="1" applyAlignment="1">
      <alignment horizontal="right"/>
    </xf>
    <xf numFmtId="49" fontId="13" fillId="0" borderId="0" xfId="0" applyNumberFormat="1" applyFont="1" applyAlignment="1">
      <alignment horizontal="left"/>
    </xf>
    <xf numFmtId="0" fontId="14" fillId="0" borderId="0" xfId="0" applyFont="1" applyAlignment="1">
      <alignment horizontal="right"/>
    </xf>
    <xf numFmtId="49" fontId="14" fillId="0" borderId="0" xfId="0" applyNumberFormat="1" applyFont="1" applyAlignment="1">
      <alignment horizontal="left"/>
    </xf>
    <xf numFmtId="0" fontId="14" fillId="2" borderId="2" xfId="0" applyFont="1" applyFill="1" applyBorder="1" applyAlignment="1">
      <alignment horizontal="left"/>
    </xf>
    <xf numFmtId="0" fontId="14" fillId="0" borderId="0" xfId="0" applyFont="1" applyAlignment="1">
      <alignment horizontal="left"/>
    </xf>
    <xf numFmtId="0" fontId="14" fillId="3" borderId="2" xfId="0" applyFont="1" applyFill="1" applyBorder="1" applyAlignment="1">
      <alignment horizontal="left"/>
    </xf>
    <xf numFmtId="49" fontId="12" fillId="0" borderId="0" xfId="0" applyNumberFormat="1" applyFont="1" applyAlignment="1">
      <alignment horizontal="right"/>
    </xf>
    <xf numFmtId="0" fontId="15" fillId="4" borderId="3" xfId="0" applyFont="1" applyFill="1" applyBorder="1"/>
    <xf numFmtId="49" fontId="14" fillId="0" borderId="4" xfId="0" applyNumberFormat="1" applyFont="1" applyBorder="1" applyAlignment="1">
      <alignment horizontal="left"/>
    </xf>
    <xf numFmtId="0" fontId="12" fillId="5" borderId="5" xfId="0" applyFont="1" applyFill="1" applyBorder="1"/>
    <xf numFmtId="0" fontId="17" fillId="0" borderId="0" xfId="0" applyFont="1" applyAlignment="1">
      <alignment horizontal="left"/>
    </xf>
    <xf numFmtId="0" fontId="12" fillId="2" borderId="2" xfId="0" applyFont="1" applyFill="1" applyBorder="1" applyAlignment="1">
      <alignment horizontal="left"/>
    </xf>
    <xf numFmtId="0" fontId="12" fillId="3" borderId="2" xfId="0" applyFont="1" applyFill="1" applyBorder="1" applyAlignment="1">
      <alignment horizontal="left"/>
    </xf>
    <xf numFmtId="164" fontId="12" fillId="0" borderId="0" xfId="0" applyNumberFormat="1" applyFont="1" applyAlignment="1">
      <alignment horizontal="right"/>
    </xf>
    <xf numFmtId="0" fontId="16" fillId="0" borderId="6" xfId="0" applyFont="1" applyBorder="1"/>
    <xf numFmtId="0" fontId="18" fillId="0" borderId="0" xfId="0" applyFont="1"/>
    <xf numFmtId="0" fontId="8" fillId="0" borderId="0" xfId="0" applyFont="1" applyAlignment="1">
      <alignment wrapText="1"/>
    </xf>
    <xf numFmtId="0" fontId="19" fillId="0" borderId="0" xfId="0" applyFont="1"/>
    <xf numFmtId="0" fontId="18" fillId="0" borderId="0" xfId="0" applyFont="1" applyAlignment="1">
      <alignment horizontal="right"/>
    </xf>
    <xf numFmtId="49" fontId="19" fillId="0" borderId="0" xfId="0" applyNumberFormat="1" applyFont="1"/>
    <xf numFmtId="0" fontId="16" fillId="0" borderId="7" xfId="0" applyFont="1" applyBorder="1"/>
    <xf numFmtId="0" fontId="12" fillId="5" borderId="8" xfId="0" applyFont="1" applyFill="1" applyBorder="1"/>
    <xf numFmtId="0" fontId="20" fillId="0" borderId="0" xfId="0" applyFont="1"/>
    <xf numFmtId="0" fontId="21" fillId="0" borderId="0" xfId="0" applyFont="1"/>
    <xf numFmtId="0" fontId="16" fillId="0" borderId="0" xfId="0" applyFont="1"/>
    <xf numFmtId="0" fontId="19" fillId="2" borderId="0" xfId="0" applyFont="1" applyFill="1"/>
    <xf numFmtId="0" fontId="19" fillId="0" borderId="0" xfId="0" applyFont="1" applyAlignment="1">
      <alignment horizontal="right"/>
    </xf>
    <xf numFmtId="0" fontId="14" fillId="4" borderId="0" xfId="0" applyFont="1" applyFill="1"/>
    <xf numFmtId="0" fontId="22" fillId="6" borderId="0" xfId="0" applyFont="1" applyFill="1" applyAlignment="1">
      <alignment horizontal="left"/>
    </xf>
    <xf numFmtId="0" fontId="18" fillId="3" borderId="9" xfId="0" applyFont="1" applyFill="1" applyBorder="1"/>
    <xf numFmtId="0" fontId="14" fillId="0" borderId="0" xfId="0" applyFont="1"/>
    <xf numFmtId="165" fontId="12" fillId="0" borderId="0" xfId="0" applyNumberFormat="1" applyFont="1" applyAlignment="1">
      <alignment horizontal="right"/>
    </xf>
    <xf numFmtId="0" fontId="20" fillId="0" borderId="0" xfId="0" applyFont="1" applyAlignment="1">
      <alignment horizontal="right"/>
    </xf>
    <xf numFmtId="0" fontId="8" fillId="0" borderId="0" xfId="0" applyFont="1" applyAlignment="1">
      <alignment horizontal="right"/>
    </xf>
    <xf numFmtId="0" fontId="23" fillId="2" borderId="0" xfId="0" applyFont="1" applyFill="1"/>
    <xf numFmtId="0" fontId="25" fillId="0" borderId="6" xfId="0" applyFont="1" applyBorder="1" applyAlignment="1">
      <alignment horizontal="left" vertical="center"/>
    </xf>
    <xf numFmtId="0" fontId="24" fillId="0" borderId="0" xfId="0" applyFont="1"/>
    <xf numFmtId="0" fontId="26" fillId="7" borderId="10" xfId="0" applyFont="1" applyFill="1" applyBorder="1" applyAlignment="1">
      <alignment vertical="center" wrapText="1"/>
    </xf>
    <xf numFmtId="0" fontId="26" fillId="0" borderId="10" xfId="0" applyFont="1" applyBorder="1" applyAlignment="1">
      <alignment vertical="center" wrapText="1"/>
    </xf>
    <xf numFmtId="0" fontId="26" fillId="0" borderId="11" xfId="0" applyFont="1" applyBorder="1" applyAlignment="1">
      <alignment vertical="center" wrapText="1"/>
    </xf>
    <xf numFmtId="0" fontId="26" fillId="7" borderId="11" xfId="0" applyFont="1" applyFill="1" applyBorder="1" applyAlignment="1">
      <alignment vertical="center" wrapText="1"/>
    </xf>
    <xf numFmtId="0" fontId="26" fillId="0" borderId="0" xfId="0" applyFont="1" applyAlignment="1">
      <alignment vertical="center" wrapText="1"/>
    </xf>
    <xf numFmtId="0" fontId="27" fillId="0" borderId="0" xfId="0" applyFont="1" applyAlignment="1">
      <alignment horizontal="left" vertical="center"/>
    </xf>
    <xf numFmtId="0" fontId="27" fillId="0" borderId="0" xfId="0" applyFont="1"/>
    <xf numFmtId="0" fontId="24" fillId="0" borderId="0" xfId="0" applyFont="1" applyAlignment="1">
      <alignment horizontal="left" vertical="center"/>
    </xf>
    <xf numFmtId="0" fontId="28" fillId="0" borderId="0" xfId="1"/>
    <xf numFmtId="0" fontId="0" fillId="2" borderId="0" xfId="0" quotePrefix="1" applyFill="1"/>
    <xf numFmtId="0" fontId="12" fillId="2" borderId="7" xfId="0" applyFont="1" applyFill="1" applyBorder="1" applyAlignment="1">
      <alignment horizontal="left"/>
    </xf>
    <xf numFmtId="0" fontId="12" fillId="3" borderId="7" xfId="0" applyFont="1" applyFill="1" applyBorder="1" applyAlignment="1">
      <alignment horizontal="left"/>
    </xf>
    <xf numFmtId="0" fontId="26" fillId="0" borderId="12" xfId="0" applyFont="1" applyBorder="1" applyAlignment="1">
      <alignment vertical="center" wrapText="1"/>
    </xf>
    <xf numFmtId="0" fontId="0" fillId="0" borderId="0" xfId="0" quotePrefix="1"/>
  </cellXfs>
  <cellStyles count="2">
    <cellStyle name="Collegamento ipertestuale" xfId="1" builtinId="8"/>
    <cellStyle name="Normale"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AE00"/>
      <rgbColor rgb="00000080"/>
      <rgbColor rgb="00808019"/>
      <rgbColor rgb="0094006B"/>
      <rgbColor rgb="00008080"/>
      <rgbColor rgb="00CCCCCC"/>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4586"/>
      <rgbColor rgb="00339966"/>
      <rgbColor rgb="00003300"/>
      <rgbColor rgb="00333300"/>
      <rgbColor rgb="00993300"/>
      <rgbColor rgb="00993366"/>
      <rgbColor rgb="00333399"/>
      <rgbColor rgb="003C3C3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6"/>
  <sheetViews>
    <sheetView zoomScale="75" zoomScaleNormal="75" workbookViewId="0">
      <selection activeCell="B5" sqref="B5"/>
    </sheetView>
  </sheetViews>
  <sheetFormatPr defaultColWidth="11.42578125" defaultRowHeight="12.75"/>
  <cols>
    <col min="1" max="1" width="5.42578125" customWidth="1"/>
    <col min="2" max="2" width="64.85546875" style="1" customWidth="1"/>
    <col min="3" max="3" width="5.7109375" customWidth="1"/>
    <col min="4" max="4" width="5" customWidth="1"/>
    <col min="5" max="5" width="4.85546875" customWidth="1"/>
    <col min="6" max="6" width="4.140625" customWidth="1"/>
    <col min="7" max="7" width="4.7109375" customWidth="1"/>
    <col min="8" max="8" width="37.28515625" customWidth="1"/>
    <col min="9" max="9" width="7.140625" customWidth="1"/>
  </cols>
  <sheetData>
    <row r="1" spans="1:10">
      <c r="B1" s="1" t="s">
        <v>0</v>
      </c>
    </row>
    <row r="2" spans="1:10" ht="15.75">
      <c r="B2" s="2" t="s">
        <v>1</v>
      </c>
      <c r="H2" s="3" t="s">
        <v>2</v>
      </c>
    </row>
    <row r="4" spans="1:10" ht="28.35" customHeight="1">
      <c r="B4" s="1" t="s">
        <v>3</v>
      </c>
      <c r="H4" s="4" t="s">
        <v>4</v>
      </c>
    </row>
    <row r="5" spans="1:10">
      <c r="H5" t="s">
        <v>5</v>
      </c>
      <c r="I5">
        <v>40</v>
      </c>
    </row>
    <row r="6" spans="1:10">
      <c r="B6" s="5" t="s">
        <v>4</v>
      </c>
      <c r="H6" t="s">
        <v>6</v>
      </c>
      <c r="I6">
        <v>28</v>
      </c>
    </row>
    <row r="7" spans="1:10" ht="51">
      <c r="A7">
        <v>1</v>
      </c>
      <c r="B7" s="1" t="s">
        <v>7</v>
      </c>
      <c r="H7" t="s">
        <v>8</v>
      </c>
      <c r="I7" t="s">
        <v>9</v>
      </c>
    </row>
    <row r="8" spans="1:10" ht="25.5">
      <c r="B8" s="1" t="s">
        <v>10</v>
      </c>
    </row>
    <row r="9" spans="1:10" ht="38.25">
      <c r="A9">
        <v>2</v>
      </c>
      <c r="B9" s="1" t="s">
        <v>11</v>
      </c>
      <c r="H9" s="4" t="s">
        <v>12</v>
      </c>
    </row>
    <row r="10" spans="1:10" ht="25.5">
      <c r="A10">
        <v>3</v>
      </c>
      <c r="B10" s="1" t="s">
        <v>13</v>
      </c>
      <c r="H10" t="s">
        <v>14</v>
      </c>
      <c r="I10" t="s">
        <v>15</v>
      </c>
    </row>
    <row r="11" spans="1:10" ht="38.25">
      <c r="A11">
        <v>4</v>
      </c>
      <c r="B11" s="1" t="s">
        <v>16</v>
      </c>
      <c r="H11" t="s">
        <v>17</v>
      </c>
      <c r="I11">
        <v>6</v>
      </c>
    </row>
    <row r="12" spans="1:10" ht="38.25">
      <c r="A12">
        <v>5</v>
      </c>
      <c r="B12" s="1" t="s">
        <v>18</v>
      </c>
      <c r="H12" t="s">
        <v>19</v>
      </c>
      <c r="I12" t="s">
        <v>20</v>
      </c>
      <c r="J12" t="s">
        <v>21</v>
      </c>
    </row>
    <row r="13" spans="1:10" ht="38.25">
      <c r="B13" s="1" t="s">
        <v>22</v>
      </c>
    </row>
    <row r="14" spans="1:10" ht="25.5">
      <c r="A14">
        <v>6</v>
      </c>
      <c r="B14" s="1" t="s">
        <v>23</v>
      </c>
      <c r="H14" t="s">
        <v>24</v>
      </c>
      <c r="I14">
        <v>60</v>
      </c>
    </row>
    <row r="15" spans="1:10" ht="25.5">
      <c r="A15">
        <v>7</v>
      </c>
      <c r="B15" s="1" t="s">
        <v>25</v>
      </c>
    </row>
    <row r="16" spans="1:10" ht="25.5">
      <c r="A16">
        <v>8</v>
      </c>
      <c r="B16" s="1" t="s">
        <v>26</v>
      </c>
      <c r="H16" s="4" t="s">
        <v>27</v>
      </c>
    </row>
    <row r="17" spans="1:10" ht="25.5">
      <c r="A17">
        <v>9</v>
      </c>
      <c r="B17" s="1" t="s">
        <v>28</v>
      </c>
      <c r="H17" t="s">
        <v>29</v>
      </c>
      <c r="I17">
        <v>40</v>
      </c>
    </row>
    <row r="18" spans="1:10">
      <c r="H18" t="s">
        <v>30</v>
      </c>
      <c r="I18">
        <v>0</v>
      </c>
      <c r="J18" s="6" t="s">
        <v>31</v>
      </c>
    </row>
    <row r="19" spans="1:10">
      <c r="B19" s="5" t="s">
        <v>32</v>
      </c>
      <c r="H19" t="s">
        <v>33</v>
      </c>
      <c r="I19" t="s">
        <v>34</v>
      </c>
    </row>
    <row r="20" spans="1:10" ht="38.25">
      <c r="A20">
        <v>1</v>
      </c>
      <c r="B20" s="1" t="s">
        <v>35</v>
      </c>
      <c r="H20" t="s">
        <v>36</v>
      </c>
      <c r="I20" t="s">
        <v>37</v>
      </c>
    </row>
    <row r="21" spans="1:10" ht="57.75">
      <c r="B21" s="1" t="s">
        <v>38</v>
      </c>
    </row>
    <row r="22" spans="1:10" ht="63.75">
      <c r="B22" s="1" t="s">
        <v>39</v>
      </c>
    </row>
    <row r="23" spans="1:10" ht="25.5">
      <c r="B23" s="1" t="s">
        <v>40</v>
      </c>
    </row>
    <row r="24" spans="1:10" ht="25.5">
      <c r="B24" s="1" t="s">
        <v>41</v>
      </c>
    </row>
    <row r="25" spans="1:10" ht="38.25">
      <c r="B25" s="1" t="s">
        <v>42</v>
      </c>
    </row>
    <row r="26" spans="1:10" ht="25.5">
      <c r="A26">
        <v>2</v>
      </c>
      <c r="B26" s="1" t="s">
        <v>43</v>
      </c>
    </row>
    <row r="27" spans="1:10" ht="51">
      <c r="B27" s="1" t="s">
        <v>44</v>
      </c>
    </row>
    <row r="28" spans="1:10" ht="51">
      <c r="B28" s="1" t="s">
        <v>45</v>
      </c>
    </row>
    <row r="29" spans="1:10" ht="102">
      <c r="B29" s="1" t="s">
        <v>46</v>
      </c>
    </row>
    <row r="30" spans="1:10" ht="76.5">
      <c r="A30">
        <v>3</v>
      </c>
      <c r="B30" s="1" t="s">
        <v>47</v>
      </c>
    </row>
    <row r="31" spans="1:10" ht="25.5">
      <c r="A31">
        <v>4</v>
      </c>
      <c r="B31" s="1" t="s">
        <v>48</v>
      </c>
    </row>
    <row r="32" spans="1:10" ht="89.25">
      <c r="A32">
        <v>5</v>
      </c>
      <c r="B32" s="1" t="s">
        <v>49</v>
      </c>
    </row>
    <row r="33" spans="1:2" ht="25.5">
      <c r="A33">
        <v>6</v>
      </c>
      <c r="B33" s="1" t="s">
        <v>50</v>
      </c>
    </row>
    <row r="35" spans="1:2">
      <c r="B35" s="1" t="s">
        <v>51</v>
      </c>
    </row>
    <row r="36" spans="1:2">
      <c r="B36" s="1" t="s">
        <v>52</v>
      </c>
    </row>
  </sheetData>
  <sheetProtection selectLockedCells="1" selectUnlockedCells="1"/>
  <pageMargins left="0.78749999999999998" right="0.78749999999999998" top="1.0249999999999999" bottom="1.0249999999999999" header="0.78749999999999998" footer="0.78749999999999998"/>
  <pageSetup paperSize="9" orientation="portrait" useFirstPageNumber="1" horizontalDpi="300" verticalDpi="300"/>
  <headerFooter alignWithMargins="0">
    <oddHeader>&amp;C&amp;A</oddHeader>
    <oddFooter>&amp;CPágina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T277"/>
  <sheetViews>
    <sheetView tabSelected="1" zoomScale="75" zoomScaleNormal="75" workbookViewId="0"/>
  </sheetViews>
  <sheetFormatPr defaultColWidth="11.42578125" defaultRowHeight="12.75"/>
  <cols>
    <col min="1" max="1" width="6" customWidth="1"/>
    <col min="2" max="2" width="19.7109375" customWidth="1"/>
    <col min="3" max="3" width="8.42578125" customWidth="1"/>
    <col min="4" max="4" width="7.42578125" customWidth="1"/>
    <col min="6" max="6" width="7.140625" style="7" customWidth="1"/>
    <col min="7" max="7" width="6" customWidth="1"/>
    <col min="8" max="8" width="8.42578125" customWidth="1"/>
    <col min="9" max="9" width="22.7109375" customWidth="1"/>
    <col min="10" max="10" width="6.42578125" customWidth="1"/>
    <col min="11" max="11" width="8.42578125" customWidth="1"/>
    <col min="12" max="12" width="19.28515625" customWidth="1"/>
    <col min="13" max="13" width="18.7109375" customWidth="1"/>
    <col min="14" max="14" width="6.42578125" customWidth="1"/>
    <col min="15" max="15" width="6.140625" customWidth="1"/>
    <col min="16" max="16" width="13.85546875" customWidth="1"/>
    <col min="17" max="17" width="10.28515625" customWidth="1"/>
    <col min="18" max="18" width="7.7109375" customWidth="1"/>
    <col min="19" max="20" width="7.28515625" customWidth="1"/>
  </cols>
  <sheetData>
    <row r="3" spans="1:20" ht="13.5" thickBot="1">
      <c r="A3" s="4" t="s">
        <v>53</v>
      </c>
      <c r="B3" s="4" t="s">
        <v>54</v>
      </c>
      <c r="C3" s="4" t="s">
        <v>55</v>
      </c>
      <c r="D3" s="4" t="s">
        <v>56</v>
      </c>
      <c r="E3" s="4" t="s">
        <v>57</v>
      </c>
      <c r="F3" s="8" t="s">
        <v>58</v>
      </c>
      <c r="H3" s="4" t="s">
        <v>59</v>
      </c>
      <c r="K3" s="9" t="s">
        <v>60</v>
      </c>
      <c r="M3" s="10" t="s">
        <v>61</v>
      </c>
      <c r="P3" s="11" t="s">
        <v>62</v>
      </c>
    </row>
    <row r="4" spans="1:20" ht="15" thickBot="1">
      <c r="A4" s="12"/>
      <c r="D4" s="60"/>
      <c r="G4" s="14">
        <v>1</v>
      </c>
      <c r="H4" s="14" t="e">
        <f t="shared" ref="H4:H67" si="0">H150</f>
        <v>#N/A</v>
      </c>
      <c r="I4" s="14" t="e">
        <f t="shared" ref="I4:I131" si="1">VLOOKUP(G4,$G$150:$J$277,4,0)&amp;" "&amp;VLOOKUP(G4,$G$150:$N$277,8,0)&amp;REPT(" ",$P$150-4-LEN(VLOOKUP(G4,$G$150:$J$277,4,0)))</f>
        <v>#N/A</v>
      </c>
      <c r="J4" s="14" t="e">
        <f t="shared" ref="J4:J131" si="2">VLOOKUP(G4,$A$4:$E$1900,5,0)</f>
        <v>#N/A</v>
      </c>
      <c r="K4" s="12"/>
      <c r="L4" s="15" t="e">
        <f t="shared" ref="L4:L67" si="3">VLOOKUP(S4,$G$150:$J$277,4,0)</f>
        <v>#N/A</v>
      </c>
      <c r="M4" s="15" t="e">
        <f t="shared" ref="M4:M67" si="4">VLOOKUP(T4,$G$150:$J$277,4,0)</f>
        <v>#N/A</v>
      </c>
      <c r="N4" s="13" t="e">
        <f t="shared" ref="N4:N67" si="5">IF(VLOOKUP(S4,$G$150:$J$277,2,0)=0,0,ROUND(SQRT(100*VLOOKUP(T4,$G$150:$J$277,2,0)/VLOOKUP(S4,$G$150:$J$277,2,0)),0))</f>
        <v>#N/A</v>
      </c>
      <c r="O4" s="13" t="e">
        <f t="shared" ref="O4:O67" si="6">IF(VLOOKUP(T4,$G$150:$J$277,2,0)=0,0,ROUND(SQRT(100*VLOOKUP(S4,$G$150:$J$277,2,0)/VLOOKUP(T4,$G$150:$J$277,2,0)),0))</f>
        <v>#N/A</v>
      </c>
      <c r="P4" s="14" t="e">
        <f t="shared" ref="P4:P67" si="7">"[color="&amp;$P$155&amp;"]"&amp;VLOOKUP(S4,$G$150:$J$277,3,0)&amp;" vs "&amp;VLOOKUP(T4,$G$150:$J$277,3,0)&amp;" ("&amp;$N4&amp;"-"&amp;$O4&amp;")[/color]"</f>
        <v>#N/A</v>
      </c>
      <c r="Q4" s="14" t="str">
        <f t="shared" ref="Q4:Q67" si="8">IF(K4&gt;0,IF(K4=1,"[color="&amp;$P$156&amp;"][b]"&amp;VLOOKUP($S4,$G$150:$J$277,3,0)&amp;"[/b] vs "&amp;VLOOKUP($T4,$G$150:$J$277,3,0)&amp;" ([b]"&amp;$N4&amp;"[/b]-"&amp;$O4&amp;")[/color]","[color="&amp;$P$156&amp;"]"&amp;VLOOKUP($S4,$G$150:$J$277,3,0)&amp;" vs [b]"&amp;VLOOKUP($T4,$G$150:$J$277,3,0)&amp;"[/b] ("&amp;$N4&amp;"-[b]"&amp;$O4&amp;"[/b])[/color]"),"")</f>
        <v/>
      </c>
      <c r="R4" s="16" t="str">
        <f t="shared" ref="R4:R67" si="9">IF(K4&gt;0,IF(K4=1,S4,T4),"")</f>
        <v/>
      </c>
      <c r="S4" s="16">
        <v>1</v>
      </c>
      <c r="T4" s="16">
        <v>2</v>
      </c>
    </row>
    <row r="5" spans="1:20" ht="15" thickBot="1">
      <c r="A5" s="12"/>
      <c r="D5" s="60"/>
      <c r="G5" s="14">
        <v>2</v>
      </c>
      <c r="H5" s="14" t="e">
        <f t="shared" si="0"/>
        <v>#N/A</v>
      </c>
      <c r="I5" s="14" t="e">
        <f t="shared" si="1"/>
        <v>#N/A</v>
      </c>
      <c r="J5" s="14" t="e">
        <f t="shared" si="2"/>
        <v>#N/A</v>
      </c>
      <c r="K5" s="12"/>
      <c r="L5" s="15" t="e">
        <f t="shared" si="3"/>
        <v>#N/A</v>
      </c>
      <c r="M5" s="15" t="e">
        <f t="shared" si="4"/>
        <v>#N/A</v>
      </c>
      <c r="N5" s="13" t="e">
        <f t="shared" si="5"/>
        <v>#N/A</v>
      </c>
      <c r="O5" s="13" t="e">
        <f t="shared" si="6"/>
        <v>#N/A</v>
      </c>
      <c r="P5" s="14" t="e">
        <f t="shared" si="7"/>
        <v>#N/A</v>
      </c>
      <c r="Q5" s="14" t="str">
        <f>IF(K5&gt;0,IF(K5=1,"[color="&amp;$P$156&amp;"][b]"&amp;VLOOKUP($S5,$G$150:$J$277,3,0)&amp;"[/b] vs "&amp;VLOOKUP($T5,$G$150:$J$277,3,0)&amp;" ([b]"&amp;$N5&amp;"[/b]-"&amp;$O5&amp;")[/color]","[color="&amp;$P$156&amp;"]"&amp;VLOOKUP($S5,$G$150:$J$277,3,0)&amp;" vs [b]"&amp;VLOOKUP($T5,$G$150:$J$277,3,0)&amp;"[/b] ("&amp;$N5&amp;"-[b]"&amp;$O5&amp;"[/b])[/color]"),"")</f>
        <v/>
      </c>
      <c r="R5" s="16" t="str">
        <f t="shared" si="9"/>
        <v/>
      </c>
      <c r="S5" s="16">
        <v>3</v>
      </c>
      <c r="T5" s="16">
        <v>4</v>
      </c>
    </row>
    <row r="6" spans="1:20" ht="15" thickBot="1">
      <c r="A6" s="12"/>
      <c r="D6" s="60"/>
      <c r="G6" s="14">
        <v>3</v>
      </c>
      <c r="H6" s="14" t="e">
        <f t="shared" si="0"/>
        <v>#N/A</v>
      </c>
      <c r="I6" s="14" t="e">
        <f t="shared" si="1"/>
        <v>#N/A</v>
      </c>
      <c r="J6" s="14" t="e">
        <f t="shared" si="2"/>
        <v>#N/A</v>
      </c>
      <c r="K6" s="12"/>
      <c r="L6" s="15" t="e">
        <f t="shared" si="3"/>
        <v>#N/A</v>
      </c>
      <c r="M6" s="15" t="e">
        <f t="shared" si="4"/>
        <v>#N/A</v>
      </c>
      <c r="N6" s="13" t="e">
        <f t="shared" si="5"/>
        <v>#N/A</v>
      </c>
      <c r="O6" s="13" t="e">
        <f t="shared" si="6"/>
        <v>#N/A</v>
      </c>
      <c r="P6" s="14" t="e">
        <f t="shared" si="7"/>
        <v>#N/A</v>
      </c>
      <c r="Q6" s="14" t="str">
        <f t="shared" si="8"/>
        <v/>
      </c>
      <c r="R6" s="16" t="str">
        <f t="shared" si="9"/>
        <v/>
      </c>
      <c r="S6" s="16">
        <v>5</v>
      </c>
      <c r="T6" s="16">
        <v>6</v>
      </c>
    </row>
    <row r="7" spans="1:20" ht="15" thickBot="1">
      <c r="A7" s="12"/>
      <c r="D7" s="60"/>
      <c r="G7" s="14">
        <v>4</v>
      </c>
      <c r="H7" s="14" t="e">
        <f t="shared" si="0"/>
        <v>#N/A</v>
      </c>
      <c r="I7" s="14" t="e">
        <f t="shared" si="1"/>
        <v>#N/A</v>
      </c>
      <c r="J7" s="14" t="e">
        <f t="shared" si="2"/>
        <v>#N/A</v>
      </c>
      <c r="K7" s="12"/>
      <c r="L7" s="15" t="e">
        <f t="shared" si="3"/>
        <v>#N/A</v>
      </c>
      <c r="M7" s="15" t="e">
        <f t="shared" si="4"/>
        <v>#N/A</v>
      </c>
      <c r="N7" s="13" t="e">
        <f t="shared" si="5"/>
        <v>#N/A</v>
      </c>
      <c r="O7" s="13" t="e">
        <f t="shared" si="6"/>
        <v>#N/A</v>
      </c>
      <c r="P7" s="14" t="e">
        <f t="shared" si="7"/>
        <v>#N/A</v>
      </c>
      <c r="Q7" s="14" t="str">
        <f t="shared" si="8"/>
        <v/>
      </c>
      <c r="R7" s="16" t="str">
        <f t="shared" si="9"/>
        <v/>
      </c>
      <c r="S7" s="16">
        <v>7</v>
      </c>
      <c r="T7" s="16">
        <v>8</v>
      </c>
    </row>
    <row r="8" spans="1:20" ht="15" thickBot="1">
      <c r="A8" s="12"/>
      <c r="D8" s="60"/>
      <c r="G8" s="14">
        <v>5</v>
      </c>
      <c r="H8" s="14" t="e">
        <f t="shared" si="0"/>
        <v>#N/A</v>
      </c>
      <c r="I8" s="14" t="e">
        <f t="shared" si="1"/>
        <v>#N/A</v>
      </c>
      <c r="J8" s="14" t="e">
        <f t="shared" si="2"/>
        <v>#N/A</v>
      </c>
      <c r="K8" s="12"/>
      <c r="L8" s="15" t="e">
        <f t="shared" si="3"/>
        <v>#N/A</v>
      </c>
      <c r="M8" s="15" t="e">
        <f t="shared" si="4"/>
        <v>#N/A</v>
      </c>
      <c r="N8" s="13" t="e">
        <f t="shared" si="5"/>
        <v>#N/A</v>
      </c>
      <c r="O8" s="13" t="e">
        <f t="shared" si="6"/>
        <v>#N/A</v>
      </c>
      <c r="P8" s="14" t="e">
        <f t="shared" si="7"/>
        <v>#N/A</v>
      </c>
      <c r="Q8" s="14" t="str">
        <f t="shared" si="8"/>
        <v/>
      </c>
      <c r="R8" s="16" t="str">
        <f t="shared" si="9"/>
        <v/>
      </c>
      <c r="S8" s="16">
        <v>9</v>
      </c>
      <c r="T8" s="16">
        <v>10</v>
      </c>
    </row>
    <row r="9" spans="1:20" ht="15" thickBot="1">
      <c r="A9" s="12"/>
      <c r="D9" s="61"/>
      <c r="G9" s="14">
        <v>6</v>
      </c>
      <c r="H9" s="14" t="e">
        <f t="shared" si="0"/>
        <v>#N/A</v>
      </c>
      <c r="I9" s="14" t="e">
        <f t="shared" si="1"/>
        <v>#N/A</v>
      </c>
      <c r="J9" s="14" t="e">
        <f t="shared" si="2"/>
        <v>#N/A</v>
      </c>
      <c r="K9" s="12"/>
      <c r="L9" s="15" t="e">
        <f t="shared" si="3"/>
        <v>#N/A</v>
      </c>
      <c r="M9" s="15" t="e">
        <f t="shared" si="4"/>
        <v>#N/A</v>
      </c>
      <c r="N9" s="13" t="e">
        <f t="shared" si="5"/>
        <v>#N/A</v>
      </c>
      <c r="O9" s="13" t="e">
        <f t="shared" si="6"/>
        <v>#N/A</v>
      </c>
      <c r="P9" s="14" t="e">
        <f t="shared" si="7"/>
        <v>#N/A</v>
      </c>
      <c r="Q9" s="14" t="str">
        <f t="shared" si="8"/>
        <v/>
      </c>
      <c r="R9" s="16" t="str">
        <f t="shared" si="9"/>
        <v/>
      </c>
      <c r="S9" s="16">
        <v>11</v>
      </c>
      <c r="T9" s="16">
        <v>12</v>
      </c>
    </row>
    <row r="10" spans="1:20" ht="15" thickBot="1">
      <c r="A10" s="12"/>
      <c r="D10" s="61"/>
      <c r="G10" s="14">
        <v>7</v>
      </c>
      <c r="H10" s="14" t="e">
        <f t="shared" si="0"/>
        <v>#N/A</v>
      </c>
      <c r="I10" s="14" t="e">
        <f t="shared" si="1"/>
        <v>#N/A</v>
      </c>
      <c r="J10" s="14" t="e">
        <f t="shared" si="2"/>
        <v>#N/A</v>
      </c>
      <c r="K10" s="12"/>
      <c r="L10" s="15" t="e">
        <f t="shared" si="3"/>
        <v>#N/A</v>
      </c>
      <c r="M10" s="15" t="e">
        <f t="shared" si="4"/>
        <v>#N/A</v>
      </c>
      <c r="N10" s="13" t="e">
        <f t="shared" si="5"/>
        <v>#N/A</v>
      </c>
      <c r="O10" s="13" t="e">
        <f t="shared" si="6"/>
        <v>#N/A</v>
      </c>
      <c r="P10" s="14" t="e">
        <f t="shared" si="7"/>
        <v>#N/A</v>
      </c>
      <c r="Q10" s="14" t="str">
        <f t="shared" si="8"/>
        <v/>
      </c>
      <c r="R10" s="16" t="str">
        <f t="shared" si="9"/>
        <v/>
      </c>
      <c r="S10" s="16">
        <v>13</v>
      </c>
      <c r="T10" s="16">
        <v>14</v>
      </c>
    </row>
    <row r="11" spans="1:20" ht="15" thickBot="1">
      <c r="A11" s="12"/>
      <c r="D11" s="61"/>
      <c r="G11" s="14">
        <v>8</v>
      </c>
      <c r="H11" s="14" t="e">
        <f t="shared" si="0"/>
        <v>#N/A</v>
      </c>
      <c r="I11" s="14" t="e">
        <f t="shared" si="1"/>
        <v>#N/A</v>
      </c>
      <c r="J11" s="14" t="e">
        <f t="shared" si="2"/>
        <v>#N/A</v>
      </c>
      <c r="K11" s="12"/>
      <c r="L11" s="15" t="e">
        <f t="shared" si="3"/>
        <v>#N/A</v>
      </c>
      <c r="M11" s="15" t="e">
        <f t="shared" si="4"/>
        <v>#N/A</v>
      </c>
      <c r="N11" s="13" t="e">
        <f t="shared" si="5"/>
        <v>#N/A</v>
      </c>
      <c r="O11" s="13" t="e">
        <f t="shared" si="6"/>
        <v>#N/A</v>
      </c>
      <c r="P11" s="14" t="e">
        <f t="shared" si="7"/>
        <v>#N/A</v>
      </c>
      <c r="Q11" s="14" t="str">
        <f t="shared" si="8"/>
        <v/>
      </c>
      <c r="R11" s="16" t="str">
        <f t="shared" si="9"/>
        <v/>
      </c>
      <c r="S11" s="16">
        <v>15</v>
      </c>
      <c r="T11" s="16">
        <v>16</v>
      </c>
    </row>
    <row r="12" spans="1:20" ht="15" thickBot="1">
      <c r="A12" s="12"/>
      <c r="D12" s="60"/>
      <c r="G12" s="14">
        <v>9</v>
      </c>
      <c r="H12" s="14" t="e">
        <f t="shared" si="0"/>
        <v>#N/A</v>
      </c>
      <c r="I12" s="14" t="e">
        <f t="shared" si="1"/>
        <v>#N/A</v>
      </c>
      <c r="J12" s="14" t="e">
        <f t="shared" si="2"/>
        <v>#N/A</v>
      </c>
      <c r="K12" s="12"/>
      <c r="L12" s="15" t="e">
        <f t="shared" si="3"/>
        <v>#N/A</v>
      </c>
      <c r="M12" s="15" t="e">
        <f t="shared" si="4"/>
        <v>#N/A</v>
      </c>
      <c r="N12" s="13" t="e">
        <f t="shared" si="5"/>
        <v>#N/A</v>
      </c>
      <c r="O12" s="13" t="e">
        <f t="shared" si="6"/>
        <v>#N/A</v>
      </c>
      <c r="P12" s="14" t="e">
        <f t="shared" si="7"/>
        <v>#N/A</v>
      </c>
      <c r="Q12" s="14" t="str">
        <f t="shared" si="8"/>
        <v/>
      </c>
      <c r="R12" s="16" t="str">
        <f t="shared" si="9"/>
        <v/>
      </c>
      <c r="S12" s="16">
        <v>17</v>
      </c>
      <c r="T12" s="16">
        <v>18</v>
      </c>
    </row>
    <row r="13" spans="1:20" ht="15" thickBot="1">
      <c r="A13" s="12"/>
      <c r="D13" s="60"/>
      <c r="G13" s="14">
        <v>10</v>
      </c>
      <c r="H13" s="14" t="e">
        <f t="shared" si="0"/>
        <v>#N/A</v>
      </c>
      <c r="I13" s="14" t="e">
        <f t="shared" si="1"/>
        <v>#N/A</v>
      </c>
      <c r="J13" s="14" t="e">
        <f t="shared" si="2"/>
        <v>#N/A</v>
      </c>
      <c r="K13" s="12"/>
      <c r="L13" s="15" t="e">
        <f t="shared" si="3"/>
        <v>#N/A</v>
      </c>
      <c r="M13" s="15" t="e">
        <f t="shared" si="4"/>
        <v>#N/A</v>
      </c>
      <c r="N13" s="13" t="e">
        <f t="shared" si="5"/>
        <v>#N/A</v>
      </c>
      <c r="O13" s="13" t="e">
        <f t="shared" si="6"/>
        <v>#N/A</v>
      </c>
      <c r="P13" s="14" t="e">
        <f t="shared" si="7"/>
        <v>#N/A</v>
      </c>
      <c r="Q13" s="14" t="str">
        <f t="shared" si="8"/>
        <v/>
      </c>
      <c r="R13" s="16" t="str">
        <f t="shared" si="9"/>
        <v/>
      </c>
      <c r="S13" s="16">
        <v>19</v>
      </c>
      <c r="T13" s="16">
        <v>20</v>
      </c>
    </row>
    <row r="14" spans="1:20" ht="15" thickBot="1">
      <c r="A14" s="12"/>
      <c r="D14" s="61"/>
      <c r="G14" s="14">
        <v>11</v>
      </c>
      <c r="H14" s="14" t="e">
        <f t="shared" si="0"/>
        <v>#N/A</v>
      </c>
      <c r="I14" s="14" t="e">
        <f t="shared" si="1"/>
        <v>#N/A</v>
      </c>
      <c r="J14" s="14" t="e">
        <f t="shared" si="2"/>
        <v>#N/A</v>
      </c>
      <c r="K14" s="12"/>
      <c r="L14" s="15" t="e">
        <f t="shared" si="3"/>
        <v>#N/A</v>
      </c>
      <c r="M14" s="15" t="e">
        <f t="shared" si="4"/>
        <v>#N/A</v>
      </c>
      <c r="N14" s="13" t="e">
        <f t="shared" si="5"/>
        <v>#N/A</v>
      </c>
      <c r="O14" s="13" t="e">
        <f t="shared" si="6"/>
        <v>#N/A</v>
      </c>
      <c r="P14" s="14" t="e">
        <f t="shared" si="7"/>
        <v>#N/A</v>
      </c>
      <c r="Q14" s="14" t="str">
        <f t="shared" si="8"/>
        <v/>
      </c>
      <c r="R14" s="16" t="str">
        <f t="shared" si="9"/>
        <v/>
      </c>
      <c r="S14" s="16">
        <v>21</v>
      </c>
      <c r="T14" s="16">
        <v>22</v>
      </c>
    </row>
    <row r="15" spans="1:20" ht="15" thickBot="1">
      <c r="A15" s="12"/>
      <c r="D15" s="61"/>
      <c r="G15" s="14">
        <v>12</v>
      </c>
      <c r="H15" s="14" t="e">
        <f t="shared" si="0"/>
        <v>#N/A</v>
      </c>
      <c r="I15" s="14" t="e">
        <f t="shared" si="1"/>
        <v>#N/A</v>
      </c>
      <c r="J15" s="14" t="e">
        <f t="shared" si="2"/>
        <v>#N/A</v>
      </c>
      <c r="K15" s="12"/>
      <c r="L15" s="15" t="e">
        <f t="shared" si="3"/>
        <v>#N/A</v>
      </c>
      <c r="M15" s="15" t="e">
        <f t="shared" si="4"/>
        <v>#N/A</v>
      </c>
      <c r="N15" s="13" t="e">
        <f t="shared" si="5"/>
        <v>#N/A</v>
      </c>
      <c r="O15" s="13" t="e">
        <f t="shared" si="6"/>
        <v>#N/A</v>
      </c>
      <c r="P15" s="14" t="e">
        <f t="shared" si="7"/>
        <v>#N/A</v>
      </c>
      <c r="Q15" s="14" t="str">
        <f t="shared" si="8"/>
        <v/>
      </c>
      <c r="R15" s="16" t="str">
        <f t="shared" si="9"/>
        <v/>
      </c>
      <c r="S15" s="16">
        <v>23</v>
      </c>
      <c r="T15" s="16">
        <v>24</v>
      </c>
    </row>
    <row r="16" spans="1:20" ht="15" thickBot="1">
      <c r="A16" s="12"/>
      <c r="D16" s="61"/>
      <c r="G16" s="14">
        <v>13</v>
      </c>
      <c r="H16" s="14" t="e">
        <f t="shared" si="0"/>
        <v>#N/A</v>
      </c>
      <c r="I16" s="14" t="e">
        <f t="shared" si="1"/>
        <v>#N/A</v>
      </c>
      <c r="J16" s="14" t="e">
        <f t="shared" si="2"/>
        <v>#N/A</v>
      </c>
      <c r="K16" s="12"/>
      <c r="L16" s="15" t="e">
        <f t="shared" si="3"/>
        <v>#N/A</v>
      </c>
      <c r="M16" s="15" t="e">
        <f t="shared" si="4"/>
        <v>#N/A</v>
      </c>
      <c r="N16" s="13" t="e">
        <f t="shared" si="5"/>
        <v>#N/A</v>
      </c>
      <c r="O16" s="13" t="e">
        <f t="shared" si="6"/>
        <v>#N/A</v>
      </c>
      <c r="P16" s="14" t="e">
        <f t="shared" si="7"/>
        <v>#N/A</v>
      </c>
      <c r="Q16" s="14" t="str">
        <f t="shared" si="8"/>
        <v/>
      </c>
      <c r="R16" s="16" t="str">
        <f t="shared" si="9"/>
        <v/>
      </c>
      <c r="S16" s="16">
        <v>25</v>
      </c>
      <c r="T16" s="16">
        <v>26</v>
      </c>
    </row>
    <row r="17" spans="1:20" ht="15" thickBot="1">
      <c r="A17" s="12"/>
      <c r="D17" s="60"/>
      <c r="G17" s="14">
        <v>14</v>
      </c>
      <c r="H17" s="14" t="e">
        <f t="shared" si="0"/>
        <v>#N/A</v>
      </c>
      <c r="I17" s="14" t="e">
        <f t="shared" si="1"/>
        <v>#N/A</v>
      </c>
      <c r="J17" s="14" t="e">
        <f t="shared" si="2"/>
        <v>#N/A</v>
      </c>
      <c r="K17" s="12"/>
      <c r="L17" s="15" t="e">
        <f t="shared" si="3"/>
        <v>#N/A</v>
      </c>
      <c r="M17" s="15" t="e">
        <f t="shared" si="4"/>
        <v>#N/A</v>
      </c>
      <c r="N17" s="13" t="e">
        <f t="shared" si="5"/>
        <v>#N/A</v>
      </c>
      <c r="O17" s="13" t="e">
        <f t="shared" si="6"/>
        <v>#N/A</v>
      </c>
      <c r="P17" s="14" t="e">
        <f t="shared" si="7"/>
        <v>#N/A</v>
      </c>
      <c r="Q17" s="14" t="str">
        <f t="shared" si="8"/>
        <v/>
      </c>
      <c r="R17" s="16" t="str">
        <f t="shared" si="9"/>
        <v/>
      </c>
      <c r="S17" s="16">
        <v>27</v>
      </c>
      <c r="T17" s="16">
        <v>28</v>
      </c>
    </row>
    <row r="18" spans="1:20" ht="15" thickBot="1">
      <c r="A18" s="12"/>
      <c r="D18" s="61"/>
      <c r="G18" s="14">
        <v>15</v>
      </c>
      <c r="H18" s="14" t="e">
        <f t="shared" si="0"/>
        <v>#N/A</v>
      </c>
      <c r="I18" s="14" t="e">
        <f t="shared" si="1"/>
        <v>#N/A</v>
      </c>
      <c r="J18" s="14" t="e">
        <f t="shared" si="2"/>
        <v>#N/A</v>
      </c>
      <c r="K18" s="12"/>
      <c r="L18" s="15" t="e">
        <f t="shared" si="3"/>
        <v>#N/A</v>
      </c>
      <c r="M18" s="15" t="e">
        <f t="shared" si="4"/>
        <v>#N/A</v>
      </c>
      <c r="N18" s="13" t="e">
        <f t="shared" si="5"/>
        <v>#N/A</v>
      </c>
      <c r="O18" s="13" t="e">
        <f t="shared" si="6"/>
        <v>#N/A</v>
      </c>
      <c r="P18" s="14" t="e">
        <f t="shared" si="7"/>
        <v>#N/A</v>
      </c>
      <c r="Q18" s="14" t="str">
        <f t="shared" si="8"/>
        <v/>
      </c>
      <c r="R18" s="16" t="str">
        <f t="shared" si="9"/>
        <v/>
      </c>
      <c r="S18" s="16">
        <v>29</v>
      </c>
      <c r="T18" s="16">
        <v>30</v>
      </c>
    </row>
    <row r="19" spans="1:20" ht="15" thickBot="1">
      <c r="A19" s="12"/>
      <c r="D19" s="61"/>
      <c r="G19" s="14">
        <v>16</v>
      </c>
      <c r="H19" s="14" t="e">
        <f t="shared" si="0"/>
        <v>#N/A</v>
      </c>
      <c r="I19" s="14" t="e">
        <f t="shared" si="1"/>
        <v>#N/A</v>
      </c>
      <c r="J19" s="14" t="e">
        <f t="shared" si="2"/>
        <v>#N/A</v>
      </c>
      <c r="K19" s="12"/>
      <c r="L19" s="15" t="e">
        <f t="shared" si="3"/>
        <v>#N/A</v>
      </c>
      <c r="M19" s="15" t="e">
        <f t="shared" si="4"/>
        <v>#N/A</v>
      </c>
      <c r="N19" s="13" t="e">
        <f t="shared" si="5"/>
        <v>#N/A</v>
      </c>
      <c r="O19" s="13" t="e">
        <f t="shared" si="6"/>
        <v>#N/A</v>
      </c>
      <c r="P19" s="14" t="e">
        <f t="shared" si="7"/>
        <v>#N/A</v>
      </c>
      <c r="Q19" s="14" t="str">
        <f t="shared" si="8"/>
        <v/>
      </c>
      <c r="R19" s="16" t="str">
        <f t="shared" si="9"/>
        <v/>
      </c>
      <c r="S19" s="16">
        <v>31</v>
      </c>
      <c r="T19" s="16">
        <v>32</v>
      </c>
    </row>
    <row r="20" spans="1:20" ht="15" thickBot="1">
      <c r="A20" s="12"/>
      <c r="D20" s="60"/>
      <c r="G20" s="14">
        <v>17</v>
      </c>
      <c r="H20" s="14" t="e">
        <f t="shared" si="0"/>
        <v>#N/A</v>
      </c>
      <c r="I20" s="14" t="e">
        <f t="shared" si="1"/>
        <v>#N/A</v>
      </c>
      <c r="J20" s="14" t="e">
        <f t="shared" si="2"/>
        <v>#N/A</v>
      </c>
      <c r="K20" s="12"/>
      <c r="L20" s="15" t="e">
        <f t="shared" si="3"/>
        <v>#N/A</v>
      </c>
      <c r="M20" s="15" t="e">
        <f t="shared" si="4"/>
        <v>#N/A</v>
      </c>
      <c r="N20" s="13" t="e">
        <f t="shared" si="5"/>
        <v>#N/A</v>
      </c>
      <c r="O20" s="13" t="e">
        <f t="shared" si="6"/>
        <v>#N/A</v>
      </c>
      <c r="P20" s="14" t="e">
        <f t="shared" si="7"/>
        <v>#N/A</v>
      </c>
      <c r="Q20" s="14" t="str">
        <f t="shared" si="8"/>
        <v/>
      </c>
      <c r="R20" s="16" t="str">
        <f t="shared" si="9"/>
        <v/>
      </c>
      <c r="S20" s="16">
        <v>33</v>
      </c>
      <c r="T20" s="16">
        <v>34</v>
      </c>
    </row>
    <row r="21" spans="1:20" ht="15" thickBot="1">
      <c r="A21" s="12"/>
      <c r="D21" s="61"/>
      <c r="G21" s="14">
        <v>18</v>
      </c>
      <c r="H21" s="14" t="e">
        <f t="shared" si="0"/>
        <v>#N/A</v>
      </c>
      <c r="I21" s="14" t="e">
        <f t="shared" si="1"/>
        <v>#N/A</v>
      </c>
      <c r="J21" s="14" t="e">
        <f t="shared" si="2"/>
        <v>#N/A</v>
      </c>
      <c r="K21" s="12"/>
      <c r="L21" s="15" t="e">
        <f t="shared" si="3"/>
        <v>#N/A</v>
      </c>
      <c r="M21" s="15" t="e">
        <f t="shared" si="4"/>
        <v>#N/A</v>
      </c>
      <c r="N21" s="13" t="e">
        <f t="shared" si="5"/>
        <v>#N/A</v>
      </c>
      <c r="O21" s="13" t="e">
        <f t="shared" si="6"/>
        <v>#N/A</v>
      </c>
      <c r="P21" s="14" t="e">
        <f t="shared" si="7"/>
        <v>#N/A</v>
      </c>
      <c r="Q21" s="14" t="str">
        <f t="shared" si="8"/>
        <v/>
      </c>
      <c r="R21" s="16" t="str">
        <f t="shared" si="9"/>
        <v/>
      </c>
      <c r="S21" s="16">
        <v>35</v>
      </c>
      <c r="T21" s="16">
        <v>36</v>
      </c>
    </row>
    <row r="22" spans="1:20" ht="15" thickBot="1">
      <c r="A22" s="12"/>
      <c r="D22" s="60"/>
      <c r="G22" s="14">
        <v>19</v>
      </c>
      <c r="H22" s="14" t="e">
        <f t="shared" si="0"/>
        <v>#N/A</v>
      </c>
      <c r="I22" s="14" t="e">
        <f t="shared" si="1"/>
        <v>#N/A</v>
      </c>
      <c r="J22" s="14" t="e">
        <f t="shared" si="2"/>
        <v>#N/A</v>
      </c>
      <c r="K22" s="12"/>
      <c r="L22" s="15" t="e">
        <f t="shared" si="3"/>
        <v>#N/A</v>
      </c>
      <c r="M22" s="15" t="e">
        <f t="shared" si="4"/>
        <v>#N/A</v>
      </c>
      <c r="N22" s="13" t="e">
        <f t="shared" si="5"/>
        <v>#N/A</v>
      </c>
      <c r="O22" s="13" t="e">
        <f t="shared" si="6"/>
        <v>#N/A</v>
      </c>
      <c r="P22" s="14" t="e">
        <f t="shared" si="7"/>
        <v>#N/A</v>
      </c>
      <c r="Q22" s="14" t="str">
        <f t="shared" si="8"/>
        <v/>
      </c>
      <c r="R22" s="16" t="str">
        <f t="shared" si="9"/>
        <v/>
      </c>
      <c r="S22" s="16">
        <v>37</v>
      </c>
      <c r="T22" s="16">
        <v>38</v>
      </c>
    </row>
    <row r="23" spans="1:20" ht="15" thickBot="1">
      <c r="A23" s="12"/>
      <c r="D23" s="60"/>
      <c r="G23" s="14">
        <v>20</v>
      </c>
      <c r="H23" s="14" t="e">
        <f t="shared" si="0"/>
        <v>#N/A</v>
      </c>
      <c r="I23" s="14" t="e">
        <f t="shared" si="1"/>
        <v>#N/A</v>
      </c>
      <c r="J23" s="14" t="e">
        <f t="shared" si="2"/>
        <v>#N/A</v>
      </c>
      <c r="K23" s="12"/>
      <c r="L23" s="15" t="e">
        <f t="shared" si="3"/>
        <v>#N/A</v>
      </c>
      <c r="M23" s="15" t="e">
        <f t="shared" si="4"/>
        <v>#N/A</v>
      </c>
      <c r="N23" s="13" t="e">
        <f t="shared" si="5"/>
        <v>#N/A</v>
      </c>
      <c r="O23" s="13" t="e">
        <f t="shared" si="6"/>
        <v>#N/A</v>
      </c>
      <c r="P23" s="14" t="e">
        <f t="shared" si="7"/>
        <v>#N/A</v>
      </c>
      <c r="Q23" s="14" t="str">
        <f t="shared" si="8"/>
        <v/>
      </c>
      <c r="R23" s="16" t="str">
        <f t="shared" si="9"/>
        <v/>
      </c>
      <c r="S23" s="16">
        <v>39</v>
      </c>
      <c r="T23" s="16">
        <v>40</v>
      </c>
    </row>
    <row r="24" spans="1:20" ht="15" thickBot="1">
      <c r="A24" s="12"/>
      <c r="D24" s="61"/>
      <c r="G24" s="14">
        <v>21</v>
      </c>
      <c r="H24" s="14" t="e">
        <f t="shared" si="0"/>
        <v>#N/A</v>
      </c>
      <c r="I24" s="14" t="e">
        <f t="shared" si="1"/>
        <v>#N/A</v>
      </c>
      <c r="J24" s="14" t="e">
        <f t="shared" si="2"/>
        <v>#N/A</v>
      </c>
      <c r="K24" s="12"/>
      <c r="L24" s="15" t="e">
        <f t="shared" si="3"/>
        <v>#N/A</v>
      </c>
      <c r="M24" s="15" t="e">
        <f t="shared" si="4"/>
        <v>#N/A</v>
      </c>
      <c r="N24" s="13" t="e">
        <f t="shared" si="5"/>
        <v>#N/A</v>
      </c>
      <c r="O24" s="13" t="e">
        <f t="shared" si="6"/>
        <v>#N/A</v>
      </c>
      <c r="P24" s="14" t="e">
        <f t="shared" si="7"/>
        <v>#N/A</v>
      </c>
      <c r="Q24" s="14" t="str">
        <f t="shared" si="8"/>
        <v/>
      </c>
      <c r="R24" s="16" t="str">
        <f t="shared" si="9"/>
        <v/>
      </c>
      <c r="S24" s="16">
        <v>41</v>
      </c>
      <c r="T24" s="16">
        <v>42</v>
      </c>
    </row>
    <row r="25" spans="1:20" ht="15" thickBot="1">
      <c r="A25" s="12"/>
      <c r="D25" s="60"/>
      <c r="G25" s="14">
        <v>22</v>
      </c>
      <c r="H25" s="14" t="e">
        <f t="shared" si="0"/>
        <v>#N/A</v>
      </c>
      <c r="I25" s="14" t="e">
        <f t="shared" si="1"/>
        <v>#N/A</v>
      </c>
      <c r="J25" s="14" t="e">
        <f t="shared" si="2"/>
        <v>#N/A</v>
      </c>
      <c r="K25" s="12"/>
      <c r="L25" s="15" t="e">
        <f t="shared" si="3"/>
        <v>#N/A</v>
      </c>
      <c r="M25" s="15" t="e">
        <f t="shared" si="4"/>
        <v>#N/A</v>
      </c>
      <c r="N25" s="13" t="e">
        <f t="shared" si="5"/>
        <v>#N/A</v>
      </c>
      <c r="O25" s="13" t="e">
        <f t="shared" si="6"/>
        <v>#N/A</v>
      </c>
      <c r="P25" s="14" t="e">
        <f t="shared" si="7"/>
        <v>#N/A</v>
      </c>
      <c r="Q25" s="14" t="str">
        <f t="shared" si="8"/>
        <v/>
      </c>
      <c r="R25" s="16" t="str">
        <f t="shared" si="9"/>
        <v/>
      </c>
      <c r="S25" s="16">
        <v>43</v>
      </c>
      <c r="T25" s="16">
        <v>44</v>
      </c>
    </row>
    <row r="26" spans="1:20" ht="15" thickBot="1">
      <c r="A26" s="12"/>
      <c r="D26" s="61"/>
      <c r="G26" s="14">
        <v>23</v>
      </c>
      <c r="H26" s="14" t="e">
        <f t="shared" si="0"/>
        <v>#N/A</v>
      </c>
      <c r="I26" s="14" t="e">
        <f t="shared" si="1"/>
        <v>#N/A</v>
      </c>
      <c r="J26" s="14" t="e">
        <f t="shared" si="2"/>
        <v>#N/A</v>
      </c>
      <c r="K26" s="12"/>
      <c r="L26" s="15" t="e">
        <f t="shared" si="3"/>
        <v>#N/A</v>
      </c>
      <c r="M26" s="15" t="e">
        <f t="shared" si="4"/>
        <v>#N/A</v>
      </c>
      <c r="N26" s="13" t="e">
        <f t="shared" si="5"/>
        <v>#N/A</v>
      </c>
      <c r="O26" s="13" t="e">
        <f t="shared" si="6"/>
        <v>#N/A</v>
      </c>
      <c r="P26" s="14" t="e">
        <f t="shared" si="7"/>
        <v>#N/A</v>
      </c>
      <c r="Q26" s="14" t="str">
        <f t="shared" si="8"/>
        <v/>
      </c>
      <c r="R26" s="16" t="str">
        <f t="shared" si="9"/>
        <v/>
      </c>
      <c r="S26" s="16">
        <v>45</v>
      </c>
      <c r="T26" s="16">
        <v>46</v>
      </c>
    </row>
    <row r="27" spans="1:20" ht="15" thickBot="1">
      <c r="A27" s="12"/>
      <c r="D27" s="60"/>
      <c r="G27" s="14">
        <v>24</v>
      </c>
      <c r="H27" s="14" t="e">
        <f t="shared" si="0"/>
        <v>#N/A</v>
      </c>
      <c r="I27" s="14" t="e">
        <f t="shared" si="1"/>
        <v>#N/A</v>
      </c>
      <c r="J27" s="14" t="e">
        <f t="shared" si="2"/>
        <v>#N/A</v>
      </c>
      <c r="K27" s="12"/>
      <c r="L27" s="15" t="e">
        <f t="shared" si="3"/>
        <v>#N/A</v>
      </c>
      <c r="M27" s="15" t="e">
        <f t="shared" si="4"/>
        <v>#N/A</v>
      </c>
      <c r="N27" s="13" t="e">
        <f t="shared" si="5"/>
        <v>#N/A</v>
      </c>
      <c r="O27" s="13" t="e">
        <f t="shared" si="6"/>
        <v>#N/A</v>
      </c>
      <c r="P27" s="14" t="e">
        <f t="shared" si="7"/>
        <v>#N/A</v>
      </c>
      <c r="Q27" s="14" t="str">
        <f t="shared" si="8"/>
        <v/>
      </c>
      <c r="R27" s="16" t="str">
        <f t="shared" si="9"/>
        <v/>
      </c>
      <c r="S27" s="16">
        <v>47</v>
      </c>
      <c r="T27" s="16">
        <v>48</v>
      </c>
    </row>
    <row r="28" spans="1:20" ht="15" thickBot="1">
      <c r="A28" s="12"/>
      <c r="D28" s="60"/>
      <c r="G28" s="14">
        <v>25</v>
      </c>
      <c r="H28" s="14" t="e">
        <f t="shared" si="0"/>
        <v>#N/A</v>
      </c>
      <c r="I28" s="14" t="e">
        <f t="shared" si="1"/>
        <v>#N/A</v>
      </c>
      <c r="J28" s="14" t="e">
        <f t="shared" si="2"/>
        <v>#N/A</v>
      </c>
      <c r="K28" s="12"/>
      <c r="L28" s="15" t="e">
        <f t="shared" si="3"/>
        <v>#N/A</v>
      </c>
      <c r="M28" s="15" t="e">
        <f t="shared" si="4"/>
        <v>#N/A</v>
      </c>
      <c r="N28" s="13" t="e">
        <f t="shared" si="5"/>
        <v>#N/A</v>
      </c>
      <c r="O28" s="13" t="e">
        <f t="shared" si="6"/>
        <v>#N/A</v>
      </c>
      <c r="P28" s="14" t="e">
        <f t="shared" si="7"/>
        <v>#N/A</v>
      </c>
      <c r="Q28" s="14" t="str">
        <f t="shared" si="8"/>
        <v/>
      </c>
      <c r="R28" s="16" t="str">
        <f t="shared" si="9"/>
        <v/>
      </c>
      <c r="S28" s="16">
        <v>49</v>
      </c>
      <c r="T28" s="16">
        <v>50</v>
      </c>
    </row>
    <row r="29" spans="1:20" ht="15" thickBot="1">
      <c r="A29" s="12"/>
      <c r="D29" s="60"/>
      <c r="G29" s="14">
        <v>26</v>
      </c>
      <c r="H29" s="14" t="e">
        <f t="shared" si="0"/>
        <v>#N/A</v>
      </c>
      <c r="I29" s="14" t="e">
        <f t="shared" si="1"/>
        <v>#N/A</v>
      </c>
      <c r="J29" s="14" t="e">
        <f t="shared" si="2"/>
        <v>#N/A</v>
      </c>
      <c r="K29" s="12"/>
      <c r="L29" s="15" t="e">
        <f t="shared" si="3"/>
        <v>#N/A</v>
      </c>
      <c r="M29" s="15" t="e">
        <f t="shared" si="4"/>
        <v>#N/A</v>
      </c>
      <c r="N29" s="13" t="e">
        <f t="shared" si="5"/>
        <v>#N/A</v>
      </c>
      <c r="O29" s="13" t="e">
        <f t="shared" si="6"/>
        <v>#N/A</v>
      </c>
      <c r="P29" s="14" t="e">
        <f t="shared" si="7"/>
        <v>#N/A</v>
      </c>
      <c r="Q29" s="14" t="str">
        <f t="shared" si="8"/>
        <v/>
      </c>
      <c r="R29" s="16" t="str">
        <f t="shared" si="9"/>
        <v/>
      </c>
      <c r="S29" s="16">
        <v>51</v>
      </c>
      <c r="T29" s="16">
        <v>52</v>
      </c>
    </row>
    <row r="30" spans="1:20" ht="15" thickBot="1">
      <c r="A30" s="12"/>
      <c r="D30" s="60"/>
      <c r="G30" s="14">
        <v>27</v>
      </c>
      <c r="H30" s="14" t="e">
        <f t="shared" si="0"/>
        <v>#N/A</v>
      </c>
      <c r="I30" s="14" t="e">
        <f t="shared" si="1"/>
        <v>#N/A</v>
      </c>
      <c r="J30" s="14" t="e">
        <f t="shared" si="2"/>
        <v>#N/A</v>
      </c>
      <c r="K30" s="12"/>
      <c r="L30" s="15" t="e">
        <f t="shared" si="3"/>
        <v>#N/A</v>
      </c>
      <c r="M30" s="15" t="e">
        <f t="shared" si="4"/>
        <v>#N/A</v>
      </c>
      <c r="N30" s="13" t="e">
        <f t="shared" si="5"/>
        <v>#N/A</v>
      </c>
      <c r="O30" s="13" t="e">
        <f t="shared" si="6"/>
        <v>#N/A</v>
      </c>
      <c r="P30" s="14" t="e">
        <f t="shared" si="7"/>
        <v>#N/A</v>
      </c>
      <c r="Q30" s="14" t="str">
        <f t="shared" si="8"/>
        <v/>
      </c>
      <c r="R30" s="16" t="str">
        <f t="shared" si="9"/>
        <v/>
      </c>
      <c r="S30" s="16">
        <v>53</v>
      </c>
      <c r="T30" s="16">
        <v>54</v>
      </c>
    </row>
    <row r="31" spans="1:20" ht="15" thickBot="1">
      <c r="A31" s="12"/>
      <c r="D31" s="61"/>
      <c r="G31" s="14">
        <v>28</v>
      </c>
      <c r="H31" s="14" t="e">
        <f t="shared" si="0"/>
        <v>#N/A</v>
      </c>
      <c r="I31" s="14" t="e">
        <f t="shared" si="1"/>
        <v>#N/A</v>
      </c>
      <c r="J31" s="14" t="e">
        <f t="shared" si="2"/>
        <v>#N/A</v>
      </c>
      <c r="K31" s="12"/>
      <c r="L31" s="15" t="e">
        <f t="shared" si="3"/>
        <v>#N/A</v>
      </c>
      <c r="M31" s="15" t="e">
        <f t="shared" si="4"/>
        <v>#N/A</v>
      </c>
      <c r="N31" s="13" t="e">
        <f t="shared" si="5"/>
        <v>#N/A</v>
      </c>
      <c r="O31" s="13" t="e">
        <f t="shared" si="6"/>
        <v>#N/A</v>
      </c>
      <c r="P31" s="14" t="e">
        <f t="shared" si="7"/>
        <v>#N/A</v>
      </c>
      <c r="Q31" s="14" t="str">
        <f t="shared" si="8"/>
        <v/>
      </c>
      <c r="R31" s="16" t="str">
        <f t="shared" si="9"/>
        <v/>
      </c>
      <c r="S31" s="16">
        <v>55</v>
      </c>
      <c r="T31" s="16">
        <v>56</v>
      </c>
    </row>
    <row r="32" spans="1:20" ht="15" thickBot="1">
      <c r="A32" s="12"/>
      <c r="D32" s="60"/>
      <c r="G32" s="14">
        <v>29</v>
      </c>
      <c r="H32" s="14" t="e">
        <f t="shared" si="0"/>
        <v>#N/A</v>
      </c>
      <c r="I32" s="14" t="e">
        <f t="shared" si="1"/>
        <v>#N/A</v>
      </c>
      <c r="J32" s="14" t="e">
        <f t="shared" si="2"/>
        <v>#N/A</v>
      </c>
      <c r="K32" s="12"/>
      <c r="L32" s="15" t="e">
        <f t="shared" si="3"/>
        <v>#N/A</v>
      </c>
      <c r="M32" s="15" t="e">
        <f t="shared" si="4"/>
        <v>#N/A</v>
      </c>
      <c r="N32" s="13" t="e">
        <f t="shared" si="5"/>
        <v>#N/A</v>
      </c>
      <c r="O32" s="13" t="e">
        <f t="shared" si="6"/>
        <v>#N/A</v>
      </c>
      <c r="P32" s="14" t="e">
        <f t="shared" si="7"/>
        <v>#N/A</v>
      </c>
      <c r="Q32" s="14" t="str">
        <f t="shared" si="8"/>
        <v/>
      </c>
      <c r="R32" s="16" t="str">
        <f t="shared" si="9"/>
        <v/>
      </c>
      <c r="S32" s="16">
        <v>57</v>
      </c>
      <c r="T32" s="16">
        <v>58</v>
      </c>
    </row>
    <row r="33" spans="1:20" ht="15" thickBot="1">
      <c r="A33" s="12"/>
      <c r="D33" s="61"/>
      <c r="G33" s="14">
        <v>30</v>
      </c>
      <c r="H33" s="14" t="e">
        <f t="shared" si="0"/>
        <v>#N/A</v>
      </c>
      <c r="I33" s="14" t="e">
        <f t="shared" si="1"/>
        <v>#N/A</v>
      </c>
      <c r="J33" s="14" t="e">
        <f t="shared" si="2"/>
        <v>#N/A</v>
      </c>
      <c r="K33" s="12"/>
      <c r="L33" s="15" t="e">
        <f t="shared" si="3"/>
        <v>#N/A</v>
      </c>
      <c r="M33" s="15" t="e">
        <f t="shared" si="4"/>
        <v>#N/A</v>
      </c>
      <c r="N33" s="13" t="e">
        <f t="shared" si="5"/>
        <v>#N/A</v>
      </c>
      <c r="O33" s="13" t="e">
        <f t="shared" si="6"/>
        <v>#N/A</v>
      </c>
      <c r="P33" s="14" t="e">
        <f t="shared" si="7"/>
        <v>#N/A</v>
      </c>
      <c r="Q33" s="14" t="str">
        <f t="shared" si="8"/>
        <v/>
      </c>
      <c r="R33" s="16" t="str">
        <f t="shared" si="9"/>
        <v/>
      </c>
      <c r="S33" s="16">
        <v>59</v>
      </c>
      <c r="T33" s="16">
        <v>60</v>
      </c>
    </row>
    <row r="34" spans="1:20" ht="15" thickBot="1">
      <c r="A34" s="12"/>
      <c r="D34" s="61"/>
      <c r="G34" s="14">
        <v>31</v>
      </c>
      <c r="H34" s="14" t="e">
        <f t="shared" si="0"/>
        <v>#N/A</v>
      </c>
      <c r="I34" s="14" t="e">
        <f t="shared" si="1"/>
        <v>#N/A</v>
      </c>
      <c r="J34" s="14" t="e">
        <f t="shared" si="2"/>
        <v>#N/A</v>
      </c>
      <c r="K34" s="12"/>
      <c r="L34" s="15" t="e">
        <f t="shared" si="3"/>
        <v>#N/A</v>
      </c>
      <c r="M34" s="15" t="e">
        <f t="shared" si="4"/>
        <v>#N/A</v>
      </c>
      <c r="N34" s="13" t="e">
        <f t="shared" si="5"/>
        <v>#N/A</v>
      </c>
      <c r="O34" s="13" t="e">
        <f t="shared" si="6"/>
        <v>#N/A</v>
      </c>
      <c r="P34" s="14" t="e">
        <f t="shared" si="7"/>
        <v>#N/A</v>
      </c>
      <c r="Q34" s="14" t="str">
        <f t="shared" si="8"/>
        <v/>
      </c>
      <c r="R34" s="16" t="str">
        <f t="shared" si="9"/>
        <v/>
      </c>
      <c r="S34" s="16">
        <v>61</v>
      </c>
      <c r="T34" s="16">
        <v>62</v>
      </c>
    </row>
    <row r="35" spans="1:20" ht="15" thickBot="1">
      <c r="A35" s="12"/>
      <c r="D35" s="60"/>
      <c r="G35" s="14">
        <v>32</v>
      </c>
      <c r="H35" s="14" t="e">
        <f t="shared" si="0"/>
        <v>#N/A</v>
      </c>
      <c r="I35" s="14" t="e">
        <f t="shared" si="1"/>
        <v>#N/A</v>
      </c>
      <c r="J35" s="14" t="e">
        <f t="shared" si="2"/>
        <v>#N/A</v>
      </c>
      <c r="K35" s="12"/>
      <c r="L35" s="15" t="e">
        <f t="shared" si="3"/>
        <v>#N/A</v>
      </c>
      <c r="M35" s="15" t="e">
        <f t="shared" si="4"/>
        <v>#N/A</v>
      </c>
      <c r="N35" s="13" t="e">
        <f t="shared" si="5"/>
        <v>#N/A</v>
      </c>
      <c r="O35" s="13" t="e">
        <f t="shared" si="6"/>
        <v>#N/A</v>
      </c>
      <c r="P35" s="14" t="e">
        <f t="shared" si="7"/>
        <v>#N/A</v>
      </c>
      <c r="Q35" s="14" t="str">
        <f t="shared" si="8"/>
        <v/>
      </c>
      <c r="R35" s="16" t="str">
        <f t="shared" si="9"/>
        <v/>
      </c>
      <c r="S35" s="16">
        <v>63</v>
      </c>
      <c r="T35" s="16">
        <v>64</v>
      </c>
    </row>
    <row r="36" spans="1:20" ht="15" thickBot="1">
      <c r="A36" s="12"/>
      <c r="D36" s="61"/>
      <c r="G36" s="14">
        <v>33</v>
      </c>
      <c r="H36" s="14" t="e">
        <f t="shared" si="0"/>
        <v>#N/A</v>
      </c>
      <c r="I36" s="14" t="e">
        <f t="shared" si="1"/>
        <v>#N/A</v>
      </c>
      <c r="J36" s="14" t="e">
        <f t="shared" si="2"/>
        <v>#N/A</v>
      </c>
      <c r="K36" s="12"/>
      <c r="L36" s="15" t="e">
        <f t="shared" si="3"/>
        <v>#N/A</v>
      </c>
      <c r="M36" s="15" t="e">
        <f t="shared" si="4"/>
        <v>#N/A</v>
      </c>
      <c r="N36" s="13" t="e">
        <f t="shared" si="5"/>
        <v>#N/A</v>
      </c>
      <c r="O36" s="13" t="e">
        <f t="shared" si="6"/>
        <v>#N/A</v>
      </c>
      <c r="P36" s="14" t="e">
        <f t="shared" si="7"/>
        <v>#N/A</v>
      </c>
      <c r="Q36" s="14" t="str">
        <f t="shared" si="8"/>
        <v/>
      </c>
      <c r="R36" s="16" t="str">
        <f t="shared" si="9"/>
        <v/>
      </c>
      <c r="S36" s="16">
        <v>65</v>
      </c>
      <c r="T36" s="16">
        <v>66</v>
      </c>
    </row>
    <row r="37" spans="1:20" ht="15" thickBot="1">
      <c r="A37" s="12"/>
      <c r="D37" s="60"/>
      <c r="G37" s="14">
        <v>34</v>
      </c>
      <c r="H37" s="14" t="e">
        <f t="shared" si="0"/>
        <v>#N/A</v>
      </c>
      <c r="I37" s="14" t="e">
        <f t="shared" si="1"/>
        <v>#N/A</v>
      </c>
      <c r="J37" s="14" t="e">
        <f t="shared" si="2"/>
        <v>#N/A</v>
      </c>
      <c r="K37" s="12"/>
      <c r="L37" s="15" t="e">
        <f t="shared" si="3"/>
        <v>#N/A</v>
      </c>
      <c r="M37" s="15" t="e">
        <f t="shared" si="4"/>
        <v>#N/A</v>
      </c>
      <c r="N37" s="13" t="e">
        <f t="shared" si="5"/>
        <v>#N/A</v>
      </c>
      <c r="O37" s="13" t="e">
        <f t="shared" si="6"/>
        <v>#N/A</v>
      </c>
      <c r="P37" s="14" t="e">
        <f t="shared" si="7"/>
        <v>#N/A</v>
      </c>
      <c r="Q37" s="14" t="str">
        <f t="shared" si="8"/>
        <v/>
      </c>
      <c r="R37" s="16" t="str">
        <f t="shared" si="9"/>
        <v/>
      </c>
      <c r="S37" s="16">
        <v>67</v>
      </c>
      <c r="T37" s="16">
        <v>68</v>
      </c>
    </row>
    <row r="38" spans="1:20" ht="15" thickBot="1">
      <c r="A38" s="12"/>
      <c r="D38" s="61"/>
      <c r="G38" s="14">
        <v>35</v>
      </c>
      <c r="H38" s="14" t="e">
        <f t="shared" si="0"/>
        <v>#N/A</v>
      </c>
      <c r="I38" s="14" t="e">
        <f t="shared" si="1"/>
        <v>#N/A</v>
      </c>
      <c r="J38" s="14" t="e">
        <f t="shared" si="2"/>
        <v>#N/A</v>
      </c>
      <c r="K38" s="12"/>
      <c r="L38" s="15" t="e">
        <f t="shared" si="3"/>
        <v>#N/A</v>
      </c>
      <c r="M38" s="15" t="e">
        <f t="shared" si="4"/>
        <v>#N/A</v>
      </c>
      <c r="N38" s="13" t="e">
        <f t="shared" si="5"/>
        <v>#N/A</v>
      </c>
      <c r="O38" s="13" t="e">
        <f t="shared" si="6"/>
        <v>#N/A</v>
      </c>
      <c r="P38" s="14" t="e">
        <f t="shared" si="7"/>
        <v>#N/A</v>
      </c>
      <c r="Q38" s="14" t="str">
        <f t="shared" si="8"/>
        <v/>
      </c>
      <c r="R38" s="16" t="str">
        <f t="shared" si="9"/>
        <v/>
      </c>
      <c r="S38" s="16">
        <v>69</v>
      </c>
      <c r="T38" s="16">
        <v>70</v>
      </c>
    </row>
    <row r="39" spans="1:20" ht="15" thickBot="1">
      <c r="A39" s="12"/>
      <c r="D39" s="60"/>
      <c r="G39" s="14">
        <v>36</v>
      </c>
      <c r="H39" s="14" t="e">
        <f t="shared" si="0"/>
        <v>#N/A</v>
      </c>
      <c r="I39" s="14" t="e">
        <f t="shared" si="1"/>
        <v>#N/A</v>
      </c>
      <c r="J39" s="14" t="e">
        <f t="shared" si="2"/>
        <v>#N/A</v>
      </c>
      <c r="K39" s="12"/>
      <c r="L39" s="15" t="e">
        <f t="shared" si="3"/>
        <v>#N/A</v>
      </c>
      <c r="M39" s="15" t="e">
        <f t="shared" si="4"/>
        <v>#N/A</v>
      </c>
      <c r="N39" s="13" t="e">
        <f t="shared" si="5"/>
        <v>#N/A</v>
      </c>
      <c r="O39" s="13" t="e">
        <f t="shared" si="6"/>
        <v>#N/A</v>
      </c>
      <c r="P39" s="14" t="e">
        <f t="shared" si="7"/>
        <v>#N/A</v>
      </c>
      <c r="Q39" s="14" t="str">
        <f t="shared" si="8"/>
        <v/>
      </c>
      <c r="R39" s="16" t="str">
        <f t="shared" si="9"/>
        <v/>
      </c>
      <c r="S39" s="16">
        <v>71</v>
      </c>
      <c r="T39" s="16">
        <v>72</v>
      </c>
    </row>
    <row r="40" spans="1:20" ht="15" thickBot="1">
      <c r="A40" s="12"/>
      <c r="D40" s="61"/>
      <c r="G40" s="14">
        <v>37</v>
      </c>
      <c r="H40" s="14" t="e">
        <f t="shared" si="0"/>
        <v>#N/A</v>
      </c>
      <c r="I40" s="14" t="e">
        <f t="shared" si="1"/>
        <v>#N/A</v>
      </c>
      <c r="J40" s="14" t="e">
        <f t="shared" si="2"/>
        <v>#N/A</v>
      </c>
      <c r="K40" s="12"/>
      <c r="L40" s="15" t="e">
        <f t="shared" si="3"/>
        <v>#N/A</v>
      </c>
      <c r="M40" s="15" t="e">
        <f t="shared" si="4"/>
        <v>#N/A</v>
      </c>
      <c r="N40" s="13" t="e">
        <f t="shared" si="5"/>
        <v>#N/A</v>
      </c>
      <c r="O40" s="13" t="e">
        <f t="shared" si="6"/>
        <v>#N/A</v>
      </c>
      <c r="P40" s="14" t="e">
        <f t="shared" si="7"/>
        <v>#N/A</v>
      </c>
      <c r="Q40" s="14" t="str">
        <f t="shared" si="8"/>
        <v/>
      </c>
      <c r="R40" s="16" t="str">
        <f t="shared" si="9"/>
        <v/>
      </c>
      <c r="S40" s="16">
        <v>73</v>
      </c>
      <c r="T40" s="16">
        <v>74</v>
      </c>
    </row>
    <row r="41" spans="1:20" ht="15" thickBot="1">
      <c r="A41" s="12"/>
      <c r="D41" s="61"/>
      <c r="G41" s="14">
        <v>38</v>
      </c>
      <c r="H41" s="14" t="e">
        <f t="shared" si="0"/>
        <v>#N/A</v>
      </c>
      <c r="I41" s="14" t="e">
        <f t="shared" si="1"/>
        <v>#N/A</v>
      </c>
      <c r="J41" s="14" t="e">
        <f t="shared" si="2"/>
        <v>#N/A</v>
      </c>
      <c r="K41" s="12"/>
      <c r="L41" s="15" t="e">
        <f t="shared" si="3"/>
        <v>#N/A</v>
      </c>
      <c r="M41" s="15" t="e">
        <f t="shared" si="4"/>
        <v>#N/A</v>
      </c>
      <c r="N41" s="13" t="e">
        <f t="shared" si="5"/>
        <v>#N/A</v>
      </c>
      <c r="O41" s="13" t="e">
        <f t="shared" si="6"/>
        <v>#N/A</v>
      </c>
      <c r="P41" s="14" t="e">
        <f t="shared" si="7"/>
        <v>#N/A</v>
      </c>
      <c r="Q41" s="14" t="str">
        <f t="shared" si="8"/>
        <v/>
      </c>
      <c r="R41" s="16" t="str">
        <f t="shared" si="9"/>
        <v/>
      </c>
      <c r="S41" s="16">
        <v>75</v>
      </c>
      <c r="T41" s="16">
        <v>76</v>
      </c>
    </row>
    <row r="42" spans="1:20" ht="15" thickBot="1">
      <c r="A42" s="12"/>
      <c r="D42" s="60"/>
      <c r="G42" s="14">
        <v>39</v>
      </c>
      <c r="H42" s="14" t="e">
        <f t="shared" si="0"/>
        <v>#N/A</v>
      </c>
      <c r="I42" s="14" t="e">
        <f t="shared" si="1"/>
        <v>#N/A</v>
      </c>
      <c r="J42" s="14" t="e">
        <f t="shared" si="2"/>
        <v>#N/A</v>
      </c>
      <c r="K42" s="12"/>
      <c r="L42" s="15" t="e">
        <f t="shared" si="3"/>
        <v>#N/A</v>
      </c>
      <c r="M42" s="15" t="e">
        <f t="shared" si="4"/>
        <v>#N/A</v>
      </c>
      <c r="N42" s="13" t="e">
        <f t="shared" si="5"/>
        <v>#N/A</v>
      </c>
      <c r="O42" s="13" t="e">
        <f t="shared" si="6"/>
        <v>#N/A</v>
      </c>
      <c r="P42" s="14" t="e">
        <f t="shared" si="7"/>
        <v>#N/A</v>
      </c>
      <c r="Q42" s="14" t="str">
        <f t="shared" si="8"/>
        <v/>
      </c>
      <c r="R42" s="16" t="str">
        <f t="shared" si="9"/>
        <v/>
      </c>
      <c r="S42" s="16">
        <v>77</v>
      </c>
      <c r="T42" s="16">
        <v>78</v>
      </c>
    </row>
    <row r="43" spans="1:20" ht="15" thickBot="1">
      <c r="A43" s="12"/>
      <c r="D43" s="62"/>
      <c r="G43" s="14">
        <v>40</v>
      </c>
      <c r="H43" s="14" t="e">
        <f t="shared" si="0"/>
        <v>#N/A</v>
      </c>
      <c r="I43" s="14" t="e">
        <f t="shared" si="1"/>
        <v>#N/A</v>
      </c>
      <c r="J43" s="14" t="e">
        <f t="shared" si="2"/>
        <v>#N/A</v>
      </c>
      <c r="K43" s="12"/>
      <c r="L43" s="15" t="e">
        <f t="shared" si="3"/>
        <v>#N/A</v>
      </c>
      <c r="M43" s="15" t="e">
        <f t="shared" si="4"/>
        <v>#N/A</v>
      </c>
      <c r="N43" s="13" t="e">
        <f t="shared" si="5"/>
        <v>#N/A</v>
      </c>
      <c r="O43" s="13" t="e">
        <f t="shared" si="6"/>
        <v>#N/A</v>
      </c>
      <c r="P43" s="14" t="e">
        <f t="shared" si="7"/>
        <v>#N/A</v>
      </c>
      <c r="Q43" s="14" t="str">
        <f t="shared" si="8"/>
        <v/>
      </c>
      <c r="R43" s="16" t="str">
        <f t="shared" si="9"/>
        <v/>
      </c>
      <c r="S43" s="16">
        <v>79</v>
      </c>
      <c r="T43" s="16">
        <v>80</v>
      </c>
    </row>
    <row r="44" spans="1:20" ht="15" thickBot="1">
      <c r="A44" s="12"/>
      <c r="D44" s="60"/>
      <c r="G44" s="14">
        <v>41</v>
      </c>
      <c r="H44" s="14" t="e">
        <f t="shared" si="0"/>
        <v>#N/A</v>
      </c>
      <c r="I44" s="14" t="e">
        <f t="shared" si="1"/>
        <v>#N/A</v>
      </c>
      <c r="J44" s="14" t="e">
        <f t="shared" si="2"/>
        <v>#N/A</v>
      </c>
      <c r="K44" s="12"/>
      <c r="L44" s="15" t="e">
        <f t="shared" si="3"/>
        <v>#N/A</v>
      </c>
      <c r="M44" s="15" t="e">
        <f t="shared" si="4"/>
        <v>#N/A</v>
      </c>
      <c r="N44" s="13" t="e">
        <f t="shared" si="5"/>
        <v>#N/A</v>
      </c>
      <c r="O44" s="13" t="e">
        <f t="shared" si="6"/>
        <v>#N/A</v>
      </c>
      <c r="P44" s="14" t="e">
        <f t="shared" si="7"/>
        <v>#N/A</v>
      </c>
      <c r="Q44" s="14" t="str">
        <f t="shared" si="8"/>
        <v/>
      </c>
      <c r="R44" s="16" t="str">
        <f t="shared" si="9"/>
        <v/>
      </c>
      <c r="S44" s="16">
        <v>81</v>
      </c>
      <c r="T44" s="16">
        <v>82</v>
      </c>
    </row>
    <row r="45" spans="1:20" ht="15" thickBot="1">
      <c r="A45" s="12"/>
      <c r="D45" s="60"/>
      <c r="G45" s="14">
        <v>42</v>
      </c>
      <c r="H45" s="14" t="e">
        <f t="shared" si="0"/>
        <v>#N/A</v>
      </c>
      <c r="I45" s="14" t="e">
        <f t="shared" si="1"/>
        <v>#N/A</v>
      </c>
      <c r="J45" s="14" t="e">
        <f t="shared" si="2"/>
        <v>#N/A</v>
      </c>
      <c r="K45" s="12"/>
      <c r="L45" s="15" t="e">
        <f t="shared" si="3"/>
        <v>#N/A</v>
      </c>
      <c r="M45" s="15" t="e">
        <f t="shared" si="4"/>
        <v>#N/A</v>
      </c>
      <c r="N45" s="13" t="e">
        <f t="shared" si="5"/>
        <v>#N/A</v>
      </c>
      <c r="O45" s="13" t="e">
        <f t="shared" si="6"/>
        <v>#N/A</v>
      </c>
      <c r="P45" s="14" t="e">
        <f t="shared" si="7"/>
        <v>#N/A</v>
      </c>
      <c r="Q45" s="14" t="str">
        <f t="shared" si="8"/>
        <v/>
      </c>
      <c r="R45" s="16" t="str">
        <f t="shared" si="9"/>
        <v/>
      </c>
      <c r="S45" s="16">
        <v>83</v>
      </c>
      <c r="T45" s="16">
        <v>84</v>
      </c>
    </row>
    <row r="46" spans="1:20" ht="15" thickBot="1">
      <c r="A46" s="12"/>
      <c r="D46" s="60"/>
      <c r="G46" s="14">
        <v>43</v>
      </c>
      <c r="H46" s="14" t="e">
        <f t="shared" si="0"/>
        <v>#N/A</v>
      </c>
      <c r="I46" s="14" t="e">
        <f t="shared" si="1"/>
        <v>#N/A</v>
      </c>
      <c r="J46" s="14" t="e">
        <f t="shared" si="2"/>
        <v>#N/A</v>
      </c>
      <c r="K46" s="12"/>
      <c r="L46" s="15" t="e">
        <f t="shared" si="3"/>
        <v>#N/A</v>
      </c>
      <c r="M46" s="15" t="e">
        <f t="shared" si="4"/>
        <v>#N/A</v>
      </c>
      <c r="N46" s="13" t="e">
        <f t="shared" si="5"/>
        <v>#N/A</v>
      </c>
      <c r="O46" s="13" t="e">
        <f t="shared" si="6"/>
        <v>#N/A</v>
      </c>
      <c r="P46" s="14" t="e">
        <f t="shared" si="7"/>
        <v>#N/A</v>
      </c>
      <c r="Q46" s="14" t="str">
        <f t="shared" si="8"/>
        <v/>
      </c>
      <c r="R46" s="16" t="str">
        <f t="shared" si="9"/>
        <v/>
      </c>
      <c r="S46" s="16">
        <v>85</v>
      </c>
      <c r="T46" s="16">
        <v>86</v>
      </c>
    </row>
    <row r="47" spans="1:20" ht="15" thickBot="1">
      <c r="A47" s="12"/>
      <c r="D47" s="60"/>
      <c r="G47" s="14">
        <v>44</v>
      </c>
      <c r="H47" s="14" t="e">
        <f t="shared" si="0"/>
        <v>#N/A</v>
      </c>
      <c r="I47" s="14" t="e">
        <f t="shared" si="1"/>
        <v>#N/A</v>
      </c>
      <c r="J47" s="14" t="e">
        <f t="shared" si="2"/>
        <v>#N/A</v>
      </c>
      <c r="K47" s="12"/>
      <c r="L47" s="15" t="e">
        <f t="shared" si="3"/>
        <v>#N/A</v>
      </c>
      <c r="M47" s="15" t="e">
        <f t="shared" si="4"/>
        <v>#N/A</v>
      </c>
      <c r="N47" s="13" t="e">
        <f t="shared" si="5"/>
        <v>#N/A</v>
      </c>
      <c r="O47" s="13" t="e">
        <f t="shared" si="6"/>
        <v>#N/A</v>
      </c>
      <c r="P47" s="14" t="e">
        <f t="shared" si="7"/>
        <v>#N/A</v>
      </c>
      <c r="Q47" s="14" t="str">
        <f t="shared" si="8"/>
        <v/>
      </c>
      <c r="R47" s="16" t="str">
        <f t="shared" si="9"/>
        <v/>
      </c>
      <c r="S47" s="16">
        <v>87</v>
      </c>
      <c r="T47" s="16">
        <v>88</v>
      </c>
    </row>
    <row r="48" spans="1:20" ht="15" thickBot="1">
      <c r="A48" s="12"/>
      <c r="D48" s="60"/>
      <c r="G48" s="14">
        <v>45</v>
      </c>
      <c r="H48" s="14" t="e">
        <f t="shared" si="0"/>
        <v>#N/A</v>
      </c>
      <c r="I48" s="14" t="e">
        <f t="shared" si="1"/>
        <v>#N/A</v>
      </c>
      <c r="J48" s="14" t="e">
        <f t="shared" si="2"/>
        <v>#N/A</v>
      </c>
      <c r="K48" s="12"/>
      <c r="L48" s="15" t="e">
        <f t="shared" si="3"/>
        <v>#N/A</v>
      </c>
      <c r="M48" s="15" t="e">
        <f t="shared" si="4"/>
        <v>#N/A</v>
      </c>
      <c r="N48" s="13" t="e">
        <f t="shared" si="5"/>
        <v>#N/A</v>
      </c>
      <c r="O48" s="13" t="e">
        <f t="shared" si="6"/>
        <v>#N/A</v>
      </c>
      <c r="P48" s="14" t="e">
        <f t="shared" si="7"/>
        <v>#N/A</v>
      </c>
      <c r="Q48" s="14" t="str">
        <f t="shared" si="8"/>
        <v/>
      </c>
      <c r="R48" s="16" t="str">
        <f t="shared" si="9"/>
        <v/>
      </c>
      <c r="S48" s="16">
        <v>89</v>
      </c>
      <c r="T48" s="16">
        <v>90</v>
      </c>
    </row>
    <row r="49" spans="1:20" ht="15" thickBot="1">
      <c r="A49" s="12"/>
      <c r="D49" s="61"/>
      <c r="G49" s="14">
        <v>46</v>
      </c>
      <c r="H49" s="14" t="e">
        <f t="shared" si="0"/>
        <v>#N/A</v>
      </c>
      <c r="I49" s="14" t="e">
        <f t="shared" si="1"/>
        <v>#N/A</v>
      </c>
      <c r="J49" s="14" t="e">
        <f t="shared" si="2"/>
        <v>#N/A</v>
      </c>
      <c r="K49" s="12"/>
      <c r="L49" s="15" t="e">
        <f t="shared" si="3"/>
        <v>#N/A</v>
      </c>
      <c r="M49" s="15" t="e">
        <f t="shared" si="4"/>
        <v>#N/A</v>
      </c>
      <c r="N49" s="13" t="e">
        <f t="shared" si="5"/>
        <v>#N/A</v>
      </c>
      <c r="O49" s="13" t="e">
        <f t="shared" si="6"/>
        <v>#N/A</v>
      </c>
      <c r="P49" s="14" t="e">
        <f t="shared" si="7"/>
        <v>#N/A</v>
      </c>
      <c r="Q49" s="14" t="str">
        <f t="shared" si="8"/>
        <v/>
      </c>
      <c r="R49" s="16" t="str">
        <f t="shared" si="9"/>
        <v/>
      </c>
      <c r="S49" s="16">
        <v>91</v>
      </c>
      <c r="T49" s="16">
        <v>92</v>
      </c>
    </row>
    <row r="50" spans="1:20" ht="15" thickBot="1">
      <c r="A50" s="12"/>
      <c r="D50" s="61"/>
      <c r="G50" s="14">
        <v>47</v>
      </c>
      <c r="H50" s="14" t="e">
        <f t="shared" si="0"/>
        <v>#N/A</v>
      </c>
      <c r="I50" s="14" t="e">
        <f t="shared" si="1"/>
        <v>#N/A</v>
      </c>
      <c r="J50" s="14" t="e">
        <f t="shared" si="2"/>
        <v>#N/A</v>
      </c>
      <c r="K50" s="12"/>
      <c r="L50" s="15" t="e">
        <f t="shared" si="3"/>
        <v>#N/A</v>
      </c>
      <c r="M50" s="15" t="e">
        <f t="shared" si="4"/>
        <v>#N/A</v>
      </c>
      <c r="N50" s="13" t="e">
        <f t="shared" si="5"/>
        <v>#N/A</v>
      </c>
      <c r="O50" s="13" t="e">
        <f t="shared" si="6"/>
        <v>#N/A</v>
      </c>
      <c r="P50" s="14" t="e">
        <f t="shared" si="7"/>
        <v>#N/A</v>
      </c>
      <c r="Q50" s="14" t="str">
        <f t="shared" si="8"/>
        <v/>
      </c>
      <c r="R50" s="16" t="str">
        <f t="shared" si="9"/>
        <v/>
      </c>
      <c r="S50" s="16">
        <v>93</v>
      </c>
      <c r="T50" s="16">
        <v>94</v>
      </c>
    </row>
    <row r="51" spans="1:20" ht="15" thickBot="1">
      <c r="A51" s="12"/>
      <c r="D51" s="60"/>
      <c r="G51" s="14">
        <v>48</v>
      </c>
      <c r="H51" s="14" t="e">
        <f t="shared" si="0"/>
        <v>#N/A</v>
      </c>
      <c r="I51" s="14" t="e">
        <f t="shared" si="1"/>
        <v>#N/A</v>
      </c>
      <c r="J51" s="14" t="e">
        <f t="shared" si="2"/>
        <v>#N/A</v>
      </c>
      <c r="K51" s="12"/>
      <c r="L51" s="15" t="e">
        <f t="shared" si="3"/>
        <v>#N/A</v>
      </c>
      <c r="M51" s="15" t="e">
        <f t="shared" si="4"/>
        <v>#N/A</v>
      </c>
      <c r="N51" s="13" t="e">
        <f t="shared" si="5"/>
        <v>#N/A</v>
      </c>
      <c r="O51" s="13" t="e">
        <f t="shared" si="6"/>
        <v>#N/A</v>
      </c>
      <c r="P51" s="14" t="e">
        <f t="shared" si="7"/>
        <v>#N/A</v>
      </c>
      <c r="Q51" s="14" t="str">
        <f t="shared" si="8"/>
        <v/>
      </c>
      <c r="R51" s="16" t="str">
        <f t="shared" si="9"/>
        <v/>
      </c>
      <c r="S51" s="16">
        <v>95</v>
      </c>
      <c r="T51" s="16">
        <v>96</v>
      </c>
    </row>
    <row r="52" spans="1:20" ht="15" thickBot="1">
      <c r="A52" s="12"/>
      <c r="D52" s="60"/>
      <c r="G52" s="14">
        <v>49</v>
      </c>
      <c r="H52" s="14" t="e">
        <f t="shared" si="0"/>
        <v>#N/A</v>
      </c>
      <c r="I52" s="14" t="e">
        <f t="shared" si="1"/>
        <v>#N/A</v>
      </c>
      <c r="J52" s="14" t="e">
        <f t="shared" si="2"/>
        <v>#N/A</v>
      </c>
      <c r="K52" s="12"/>
      <c r="L52" s="15" t="e">
        <f t="shared" si="3"/>
        <v>#N/A</v>
      </c>
      <c r="M52" s="15" t="e">
        <f t="shared" si="4"/>
        <v>#N/A</v>
      </c>
      <c r="N52" s="13" t="e">
        <f t="shared" si="5"/>
        <v>#N/A</v>
      </c>
      <c r="O52" s="13" t="e">
        <f t="shared" si="6"/>
        <v>#N/A</v>
      </c>
      <c r="P52" s="14" t="e">
        <f t="shared" si="7"/>
        <v>#N/A</v>
      </c>
      <c r="Q52" s="14" t="str">
        <f t="shared" si="8"/>
        <v/>
      </c>
      <c r="R52" s="16" t="str">
        <f t="shared" si="9"/>
        <v/>
      </c>
      <c r="S52" s="16">
        <v>97</v>
      </c>
      <c r="T52" s="16">
        <v>98</v>
      </c>
    </row>
    <row r="53" spans="1:20" ht="15" thickBot="1">
      <c r="A53" s="12"/>
      <c r="D53" s="61"/>
      <c r="G53" s="14">
        <v>50</v>
      </c>
      <c r="H53" s="14" t="e">
        <f t="shared" si="0"/>
        <v>#N/A</v>
      </c>
      <c r="I53" s="14" t="e">
        <f t="shared" si="1"/>
        <v>#N/A</v>
      </c>
      <c r="J53" s="14" t="e">
        <f t="shared" si="2"/>
        <v>#N/A</v>
      </c>
      <c r="K53" s="12"/>
      <c r="L53" s="15" t="e">
        <f t="shared" si="3"/>
        <v>#N/A</v>
      </c>
      <c r="M53" s="15" t="e">
        <f t="shared" si="4"/>
        <v>#N/A</v>
      </c>
      <c r="N53" s="13" t="e">
        <f t="shared" si="5"/>
        <v>#N/A</v>
      </c>
      <c r="O53" s="13" t="e">
        <f t="shared" si="6"/>
        <v>#N/A</v>
      </c>
      <c r="P53" s="14" t="e">
        <f t="shared" si="7"/>
        <v>#N/A</v>
      </c>
      <c r="Q53" s="14" t="str">
        <f t="shared" si="8"/>
        <v/>
      </c>
      <c r="R53" s="16" t="str">
        <f t="shared" si="9"/>
        <v/>
      </c>
      <c r="S53" s="16">
        <v>99</v>
      </c>
      <c r="T53" s="16">
        <v>100</v>
      </c>
    </row>
    <row r="54" spans="1:20" ht="15" thickBot="1">
      <c r="A54" s="12"/>
      <c r="D54" s="61"/>
      <c r="G54" s="14">
        <v>51</v>
      </c>
      <c r="H54" s="14" t="e">
        <f t="shared" si="0"/>
        <v>#N/A</v>
      </c>
      <c r="I54" s="14" t="e">
        <f t="shared" si="1"/>
        <v>#N/A</v>
      </c>
      <c r="J54" s="14" t="e">
        <f t="shared" si="2"/>
        <v>#N/A</v>
      </c>
      <c r="K54" s="12"/>
      <c r="L54" s="15" t="e">
        <f t="shared" si="3"/>
        <v>#N/A</v>
      </c>
      <c r="M54" s="15" t="e">
        <f t="shared" si="4"/>
        <v>#N/A</v>
      </c>
      <c r="N54" s="13" t="e">
        <f t="shared" si="5"/>
        <v>#N/A</v>
      </c>
      <c r="O54" s="13" t="e">
        <f t="shared" si="6"/>
        <v>#N/A</v>
      </c>
      <c r="P54" s="14" t="e">
        <f t="shared" si="7"/>
        <v>#N/A</v>
      </c>
      <c r="Q54" s="14" t="str">
        <f t="shared" si="8"/>
        <v/>
      </c>
      <c r="R54" s="16" t="str">
        <f t="shared" si="9"/>
        <v/>
      </c>
      <c r="S54" s="16">
        <v>101</v>
      </c>
      <c r="T54" s="16">
        <v>102</v>
      </c>
    </row>
    <row r="55" spans="1:20" ht="15" thickBot="1">
      <c r="A55" s="12"/>
      <c r="D55" s="61"/>
      <c r="F55" s="12"/>
      <c r="G55" s="14">
        <v>52</v>
      </c>
      <c r="H55" s="14" t="e">
        <f t="shared" si="0"/>
        <v>#N/A</v>
      </c>
      <c r="I55" s="14" t="e">
        <f t="shared" si="1"/>
        <v>#N/A</v>
      </c>
      <c r="J55" s="14" t="e">
        <f t="shared" si="2"/>
        <v>#N/A</v>
      </c>
      <c r="K55" s="12"/>
      <c r="L55" s="15" t="e">
        <f t="shared" si="3"/>
        <v>#N/A</v>
      </c>
      <c r="M55" s="15" t="e">
        <f t="shared" si="4"/>
        <v>#N/A</v>
      </c>
      <c r="N55" s="13" t="e">
        <f t="shared" si="5"/>
        <v>#N/A</v>
      </c>
      <c r="O55" s="13" t="e">
        <f t="shared" si="6"/>
        <v>#N/A</v>
      </c>
      <c r="P55" s="14" t="e">
        <f t="shared" si="7"/>
        <v>#N/A</v>
      </c>
      <c r="Q55" s="14" t="str">
        <f t="shared" si="8"/>
        <v/>
      </c>
      <c r="R55" s="16" t="str">
        <f t="shared" si="9"/>
        <v/>
      </c>
      <c r="S55" s="16">
        <v>103</v>
      </c>
      <c r="T55" s="16">
        <v>104</v>
      </c>
    </row>
    <row r="56" spans="1:20" ht="15" thickBot="1">
      <c r="A56" s="12"/>
      <c r="D56" s="60"/>
      <c r="F56"/>
      <c r="G56" s="14">
        <v>53</v>
      </c>
      <c r="H56" s="14" t="e">
        <f t="shared" si="0"/>
        <v>#N/A</v>
      </c>
      <c r="I56" s="14" t="e">
        <f t="shared" si="1"/>
        <v>#N/A</v>
      </c>
      <c r="J56" s="14" t="e">
        <f t="shared" si="2"/>
        <v>#N/A</v>
      </c>
      <c r="K56" s="12"/>
      <c r="L56" s="15" t="e">
        <f t="shared" si="3"/>
        <v>#N/A</v>
      </c>
      <c r="M56" s="15" t="e">
        <f t="shared" si="4"/>
        <v>#N/A</v>
      </c>
      <c r="N56" s="13" t="e">
        <f t="shared" si="5"/>
        <v>#N/A</v>
      </c>
      <c r="O56" s="13" t="e">
        <f t="shared" si="6"/>
        <v>#N/A</v>
      </c>
      <c r="P56" s="14" t="e">
        <f t="shared" si="7"/>
        <v>#N/A</v>
      </c>
      <c r="Q56" s="14" t="str">
        <f t="shared" si="8"/>
        <v/>
      </c>
      <c r="R56" s="16" t="str">
        <f t="shared" si="9"/>
        <v/>
      </c>
      <c r="S56" s="16">
        <v>105</v>
      </c>
      <c r="T56" s="16">
        <v>106</v>
      </c>
    </row>
    <row r="57" spans="1:20" ht="15" thickBot="1">
      <c r="A57" s="12"/>
      <c r="D57" s="61"/>
      <c r="F57" s="12"/>
      <c r="G57" s="14">
        <v>54</v>
      </c>
      <c r="H57" s="14" t="e">
        <f t="shared" si="0"/>
        <v>#N/A</v>
      </c>
      <c r="I57" s="14" t="e">
        <f t="shared" si="1"/>
        <v>#N/A</v>
      </c>
      <c r="J57" s="14" t="e">
        <f t="shared" si="2"/>
        <v>#N/A</v>
      </c>
      <c r="K57" s="12"/>
      <c r="L57" s="15" t="e">
        <f t="shared" si="3"/>
        <v>#N/A</v>
      </c>
      <c r="M57" s="15" t="e">
        <f t="shared" si="4"/>
        <v>#N/A</v>
      </c>
      <c r="N57" s="13" t="e">
        <f t="shared" si="5"/>
        <v>#N/A</v>
      </c>
      <c r="O57" s="13" t="e">
        <f t="shared" si="6"/>
        <v>#N/A</v>
      </c>
      <c r="P57" s="14" t="e">
        <f t="shared" si="7"/>
        <v>#N/A</v>
      </c>
      <c r="Q57" s="14" t="str">
        <f t="shared" si="8"/>
        <v/>
      </c>
      <c r="R57" s="16" t="str">
        <f t="shared" si="9"/>
        <v/>
      </c>
      <c r="S57" s="16">
        <v>107</v>
      </c>
      <c r="T57" s="16">
        <v>108</v>
      </c>
    </row>
    <row r="58" spans="1:20" ht="15" thickBot="1">
      <c r="A58" s="12"/>
      <c r="D58" s="62"/>
      <c r="F58"/>
      <c r="G58" s="14">
        <v>55</v>
      </c>
      <c r="H58" s="14" t="e">
        <f t="shared" si="0"/>
        <v>#N/A</v>
      </c>
      <c r="I58" s="14" t="e">
        <f t="shared" si="1"/>
        <v>#N/A</v>
      </c>
      <c r="J58" s="14" t="e">
        <f t="shared" si="2"/>
        <v>#N/A</v>
      </c>
      <c r="K58" s="12"/>
      <c r="L58" s="15" t="e">
        <f t="shared" si="3"/>
        <v>#N/A</v>
      </c>
      <c r="M58" s="15" t="e">
        <f t="shared" si="4"/>
        <v>#N/A</v>
      </c>
      <c r="N58" s="13" t="e">
        <f t="shared" si="5"/>
        <v>#N/A</v>
      </c>
      <c r="O58" s="13" t="e">
        <f t="shared" si="6"/>
        <v>#N/A</v>
      </c>
      <c r="P58" s="14" t="e">
        <f t="shared" si="7"/>
        <v>#N/A</v>
      </c>
      <c r="Q58" s="14" t="str">
        <f t="shared" si="8"/>
        <v/>
      </c>
      <c r="R58" s="16" t="str">
        <f t="shared" si="9"/>
        <v/>
      </c>
      <c r="S58" s="16">
        <v>109</v>
      </c>
      <c r="T58" s="16">
        <v>110</v>
      </c>
    </row>
    <row r="59" spans="1:20" ht="15" thickBot="1">
      <c r="A59" s="12"/>
      <c r="D59" s="61"/>
      <c r="F59"/>
      <c r="G59" s="14">
        <v>56</v>
      </c>
      <c r="H59" s="14" t="e">
        <f t="shared" si="0"/>
        <v>#N/A</v>
      </c>
      <c r="I59" s="14" t="e">
        <f t="shared" si="1"/>
        <v>#N/A</v>
      </c>
      <c r="J59" s="14" t="e">
        <f t="shared" si="2"/>
        <v>#N/A</v>
      </c>
      <c r="K59" s="12"/>
      <c r="L59" s="15" t="e">
        <f t="shared" si="3"/>
        <v>#N/A</v>
      </c>
      <c r="M59" s="15" t="e">
        <f t="shared" si="4"/>
        <v>#N/A</v>
      </c>
      <c r="N59" s="13" t="e">
        <f t="shared" si="5"/>
        <v>#N/A</v>
      </c>
      <c r="O59" s="13" t="e">
        <f t="shared" si="6"/>
        <v>#N/A</v>
      </c>
      <c r="P59" s="14" t="e">
        <f t="shared" si="7"/>
        <v>#N/A</v>
      </c>
      <c r="Q59" s="14" t="str">
        <f t="shared" si="8"/>
        <v/>
      </c>
      <c r="R59" s="16" t="str">
        <f t="shared" si="9"/>
        <v/>
      </c>
      <c r="S59" s="16">
        <v>111</v>
      </c>
      <c r="T59" s="16">
        <v>112</v>
      </c>
    </row>
    <row r="60" spans="1:20" ht="15" thickBot="1">
      <c r="A60" s="12"/>
      <c r="D60" s="60"/>
      <c r="F60"/>
      <c r="G60" s="14">
        <v>57</v>
      </c>
      <c r="H60" s="14" t="e">
        <f t="shared" si="0"/>
        <v>#N/A</v>
      </c>
      <c r="I60" s="14" t="e">
        <f t="shared" si="1"/>
        <v>#N/A</v>
      </c>
      <c r="J60" s="14" t="e">
        <f t="shared" si="2"/>
        <v>#N/A</v>
      </c>
      <c r="K60" s="12"/>
      <c r="L60" s="15" t="e">
        <f t="shared" si="3"/>
        <v>#N/A</v>
      </c>
      <c r="M60" s="15" t="e">
        <f t="shared" si="4"/>
        <v>#N/A</v>
      </c>
      <c r="N60" s="13" t="e">
        <f t="shared" si="5"/>
        <v>#N/A</v>
      </c>
      <c r="O60" s="13" t="e">
        <f t="shared" si="6"/>
        <v>#N/A</v>
      </c>
      <c r="P60" s="14" t="e">
        <f t="shared" si="7"/>
        <v>#N/A</v>
      </c>
      <c r="Q60" s="14" t="str">
        <f t="shared" si="8"/>
        <v/>
      </c>
      <c r="R60" s="16" t="str">
        <f t="shared" si="9"/>
        <v/>
      </c>
      <c r="S60" s="16">
        <v>113</v>
      </c>
      <c r="T60" s="16">
        <v>114</v>
      </c>
    </row>
    <row r="61" spans="1:20" ht="15" thickBot="1">
      <c r="A61" s="12"/>
      <c r="D61" s="60"/>
      <c r="F61"/>
      <c r="G61" s="14">
        <v>58</v>
      </c>
      <c r="H61" s="14" t="e">
        <f t="shared" si="0"/>
        <v>#N/A</v>
      </c>
      <c r="I61" s="14" t="e">
        <f t="shared" si="1"/>
        <v>#N/A</v>
      </c>
      <c r="J61" s="14" t="e">
        <f t="shared" si="2"/>
        <v>#N/A</v>
      </c>
      <c r="K61" s="12"/>
      <c r="L61" s="15" t="e">
        <f t="shared" si="3"/>
        <v>#N/A</v>
      </c>
      <c r="M61" s="15" t="e">
        <f t="shared" si="4"/>
        <v>#N/A</v>
      </c>
      <c r="N61" s="13" t="e">
        <f t="shared" si="5"/>
        <v>#N/A</v>
      </c>
      <c r="O61" s="13" t="e">
        <f t="shared" si="6"/>
        <v>#N/A</v>
      </c>
      <c r="P61" s="14" t="e">
        <f t="shared" si="7"/>
        <v>#N/A</v>
      </c>
      <c r="Q61" s="14" t="str">
        <f t="shared" si="8"/>
        <v/>
      </c>
      <c r="R61" s="16" t="str">
        <f t="shared" si="9"/>
        <v/>
      </c>
      <c r="S61" s="16">
        <v>115</v>
      </c>
      <c r="T61" s="16">
        <v>116</v>
      </c>
    </row>
    <row r="62" spans="1:20" ht="15" thickBot="1">
      <c r="A62" s="12"/>
      <c r="D62" s="60"/>
      <c r="F62" s="12"/>
      <c r="G62" s="14">
        <v>59</v>
      </c>
      <c r="H62" s="14" t="e">
        <f t="shared" si="0"/>
        <v>#N/A</v>
      </c>
      <c r="I62" s="14" t="e">
        <f t="shared" si="1"/>
        <v>#N/A</v>
      </c>
      <c r="J62" s="14" t="e">
        <f t="shared" si="2"/>
        <v>#N/A</v>
      </c>
      <c r="K62" s="12"/>
      <c r="L62" s="15" t="e">
        <f t="shared" si="3"/>
        <v>#N/A</v>
      </c>
      <c r="M62" s="15" t="e">
        <f t="shared" si="4"/>
        <v>#N/A</v>
      </c>
      <c r="N62" s="13" t="e">
        <f t="shared" si="5"/>
        <v>#N/A</v>
      </c>
      <c r="O62" s="13" t="e">
        <f t="shared" si="6"/>
        <v>#N/A</v>
      </c>
      <c r="P62" s="14" t="e">
        <f t="shared" si="7"/>
        <v>#N/A</v>
      </c>
      <c r="Q62" s="14" t="str">
        <f t="shared" si="8"/>
        <v/>
      </c>
      <c r="R62" s="16" t="str">
        <f t="shared" si="9"/>
        <v/>
      </c>
      <c r="S62" s="16">
        <v>117</v>
      </c>
      <c r="T62" s="16">
        <v>118</v>
      </c>
    </row>
    <row r="63" spans="1:20" ht="15" thickBot="1">
      <c r="A63" s="12"/>
      <c r="D63" s="61"/>
      <c r="F63"/>
      <c r="G63" s="14">
        <v>60</v>
      </c>
      <c r="H63" s="14" t="e">
        <f t="shared" si="0"/>
        <v>#N/A</v>
      </c>
      <c r="I63" s="14" t="e">
        <f t="shared" si="1"/>
        <v>#N/A</v>
      </c>
      <c r="J63" s="14" t="e">
        <f t="shared" si="2"/>
        <v>#N/A</v>
      </c>
      <c r="K63" s="12"/>
      <c r="L63" s="15" t="e">
        <f t="shared" si="3"/>
        <v>#N/A</v>
      </c>
      <c r="M63" s="15" t="e">
        <f t="shared" si="4"/>
        <v>#N/A</v>
      </c>
      <c r="N63" s="13" t="e">
        <f t="shared" si="5"/>
        <v>#N/A</v>
      </c>
      <c r="O63" s="13" t="e">
        <f t="shared" si="6"/>
        <v>#N/A</v>
      </c>
      <c r="P63" s="14" t="e">
        <f t="shared" si="7"/>
        <v>#N/A</v>
      </c>
      <c r="Q63" s="14" t="str">
        <f t="shared" si="8"/>
        <v/>
      </c>
      <c r="R63" s="16" t="str">
        <f t="shared" si="9"/>
        <v/>
      </c>
      <c r="S63" s="16">
        <v>119</v>
      </c>
      <c r="T63" s="16">
        <v>120</v>
      </c>
    </row>
    <row r="64" spans="1:20" ht="15" thickBot="1">
      <c r="A64" s="12"/>
      <c r="D64" s="61"/>
      <c r="F64" s="12"/>
      <c r="G64" s="14">
        <v>61</v>
      </c>
      <c r="H64" s="14" t="e">
        <f t="shared" si="0"/>
        <v>#N/A</v>
      </c>
      <c r="I64" s="14" t="e">
        <f t="shared" si="1"/>
        <v>#N/A</v>
      </c>
      <c r="J64" s="14" t="e">
        <f t="shared" si="2"/>
        <v>#N/A</v>
      </c>
      <c r="K64" s="12"/>
      <c r="L64" s="15" t="e">
        <f t="shared" si="3"/>
        <v>#N/A</v>
      </c>
      <c r="M64" s="15" t="e">
        <f t="shared" si="4"/>
        <v>#N/A</v>
      </c>
      <c r="N64" s="13" t="e">
        <f t="shared" si="5"/>
        <v>#N/A</v>
      </c>
      <c r="O64" s="13" t="e">
        <f t="shared" si="6"/>
        <v>#N/A</v>
      </c>
      <c r="P64" s="14" t="e">
        <f t="shared" si="7"/>
        <v>#N/A</v>
      </c>
      <c r="Q64" s="14" t="str">
        <f t="shared" si="8"/>
        <v/>
      </c>
      <c r="R64" s="16" t="str">
        <f t="shared" si="9"/>
        <v/>
      </c>
      <c r="S64" s="16">
        <v>121</v>
      </c>
      <c r="T64" s="16">
        <v>122</v>
      </c>
    </row>
    <row r="65" spans="1:20" ht="15" thickBot="1">
      <c r="A65" s="12"/>
      <c r="D65" s="60"/>
      <c r="F65" s="12"/>
      <c r="G65" s="14">
        <v>62</v>
      </c>
      <c r="H65" s="14" t="e">
        <f t="shared" si="0"/>
        <v>#N/A</v>
      </c>
      <c r="I65" s="14" t="e">
        <f t="shared" si="1"/>
        <v>#N/A</v>
      </c>
      <c r="J65" s="14" t="e">
        <f t="shared" si="2"/>
        <v>#N/A</v>
      </c>
      <c r="K65" s="12"/>
      <c r="L65" s="15" t="e">
        <f t="shared" si="3"/>
        <v>#N/A</v>
      </c>
      <c r="M65" s="15" t="e">
        <f t="shared" si="4"/>
        <v>#N/A</v>
      </c>
      <c r="N65" s="13" t="e">
        <f t="shared" si="5"/>
        <v>#N/A</v>
      </c>
      <c r="O65" s="13" t="e">
        <f t="shared" si="6"/>
        <v>#N/A</v>
      </c>
      <c r="P65" s="14" t="e">
        <f t="shared" si="7"/>
        <v>#N/A</v>
      </c>
      <c r="Q65" s="14" t="str">
        <f t="shared" si="8"/>
        <v/>
      </c>
      <c r="R65" s="16" t="str">
        <f t="shared" si="9"/>
        <v/>
      </c>
      <c r="S65" s="16">
        <v>123</v>
      </c>
      <c r="T65" s="16">
        <v>124</v>
      </c>
    </row>
    <row r="66" spans="1:20" ht="15" thickBot="1">
      <c r="A66" s="12"/>
      <c r="D66" s="61"/>
      <c r="F66"/>
      <c r="G66" s="14">
        <v>63</v>
      </c>
      <c r="H66" s="14" t="e">
        <f t="shared" si="0"/>
        <v>#N/A</v>
      </c>
      <c r="I66" s="14" t="e">
        <f t="shared" si="1"/>
        <v>#N/A</v>
      </c>
      <c r="J66" s="14" t="e">
        <f t="shared" si="2"/>
        <v>#N/A</v>
      </c>
      <c r="K66" s="12"/>
      <c r="L66" s="15" t="e">
        <f t="shared" si="3"/>
        <v>#N/A</v>
      </c>
      <c r="M66" s="15" t="e">
        <f t="shared" si="4"/>
        <v>#N/A</v>
      </c>
      <c r="N66" s="13" t="e">
        <f t="shared" si="5"/>
        <v>#N/A</v>
      </c>
      <c r="O66" s="13" t="e">
        <f t="shared" si="6"/>
        <v>#N/A</v>
      </c>
      <c r="P66" s="14" t="e">
        <f t="shared" si="7"/>
        <v>#N/A</v>
      </c>
      <c r="Q66" s="14" t="str">
        <f t="shared" si="8"/>
        <v/>
      </c>
      <c r="R66" s="16" t="str">
        <f t="shared" si="9"/>
        <v/>
      </c>
      <c r="S66" s="16">
        <v>125</v>
      </c>
      <c r="T66" s="16">
        <v>126</v>
      </c>
    </row>
    <row r="67" spans="1:20" ht="15" thickBot="1">
      <c r="A67" s="12"/>
      <c r="D67" s="61"/>
      <c r="F67"/>
      <c r="G67" s="14">
        <v>64</v>
      </c>
      <c r="H67" s="14" t="e">
        <f t="shared" si="0"/>
        <v>#N/A</v>
      </c>
      <c r="I67" s="14" t="e">
        <f t="shared" si="1"/>
        <v>#N/A</v>
      </c>
      <c r="J67" s="14" t="e">
        <f t="shared" si="2"/>
        <v>#N/A</v>
      </c>
      <c r="K67" s="12"/>
      <c r="L67" s="15" t="e">
        <f t="shared" si="3"/>
        <v>#N/A</v>
      </c>
      <c r="M67" s="15" t="e">
        <f t="shared" si="4"/>
        <v>#N/A</v>
      </c>
      <c r="N67" s="13" t="e">
        <f t="shared" si="5"/>
        <v>#N/A</v>
      </c>
      <c r="O67" s="13" t="e">
        <f t="shared" si="6"/>
        <v>#N/A</v>
      </c>
      <c r="P67" s="14" t="e">
        <f t="shared" si="7"/>
        <v>#N/A</v>
      </c>
      <c r="Q67" s="14" t="str">
        <f t="shared" si="8"/>
        <v/>
      </c>
      <c r="R67" s="16" t="str">
        <f t="shared" si="9"/>
        <v/>
      </c>
      <c r="S67" s="16">
        <v>127</v>
      </c>
      <c r="T67" s="16">
        <v>128</v>
      </c>
    </row>
    <row r="68" spans="1:20" ht="15" thickBot="1">
      <c r="A68" s="12"/>
      <c r="D68" s="60"/>
      <c r="F68"/>
      <c r="G68" s="14">
        <v>65</v>
      </c>
      <c r="H68" s="14" t="e">
        <f t="shared" ref="H68:H131" si="10">H214</f>
        <v>#N/A</v>
      </c>
      <c r="I68" s="14" t="e">
        <f t="shared" si="1"/>
        <v>#N/A</v>
      </c>
      <c r="J68" s="14" t="e">
        <f t="shared" si="2"/>
        <v>#N/A</v>
      </c>
      <c r="K68" s="12"/>
      <c r="L68" s="13"/>
      <c r="M68" s="13"/>
      <c r="N68" s="13"/>
    </row>
    <row r="69" spans="1:20" ht="15" thickBot="1">
      <c r="A69" s="12"/>
      <c r="D69" s="61"/>
      <c r="F69"/>
      <c r="G69" s="14">
        <v>66</v>
      </c>
      <c r="H69" s="14" t="e">
        <f t="shared" si="10"/>
        <v>#N/A</v>
      </c>
      <c r="I69" s="14" t="e">
        <f t="shared" si="1"/>
        <v>#N/A</v>
      </c>
      <c r="J69" s="14" t="e">
        <f t="shared" si="2"/>
        <v>#N/A</v>
      </c>
      <c r="K69" s="12"/>
      <c r="L69" s="13"/>
      <c r="M69" s="10" t="s">
        <v>63</v>
      </c>
      <c r="N69" s="13"/>
    </row>
    <row r="70" spans="1:20" ht="15" thickBot="1">
      <c r="A70" s="12"/>
      <c r="D70" s="61"/>
      <c r="F70"/>
      <c r="G70" s="14">
        <v>67</v>
      </c>
      <c r="H70" s="14" t="e">
        <f t="shared" si="10"/>
        <v>#N/A</v>
      </c>
      <c r="I70" s="14" t="e">
        <f t="shared" si="1"/>
        <v>#N/A</v>
      </c>
      <c r="J70" s="14" t="e">
        <f t="shared" si="2"/>
        <v>#N/A</v>
      </c>
      <c r="K70" s="12"/>
      <c r="L70" s="15" t="e">
        <f t="shared" ref="L70:L101" si="11">VLOOKUP(S70,$G$150:$J$277,4,0)</f>
        <v>#N/A</v>
      </c>
      <c r="M70" s="15" t="e">
        <f t="shared" ref="M70:M101" si="12">VLOOKUP(T70,$G$150:$J$277,4,0)</f>
        <v>#N/A</v>
      </c>
      <c r="N70" s="13" t="e">
        <f t="shared" ref="N70:N101" si="13">IF(VLOOKUP(S70,$G$150:$J$277,2,0)=0,0,ROUND(SQRT(100*VLOOKUP(T70,$G$150:$J$277,2,0)/VLOOKUP(S70,$G$150:$J$277,2,0)),0))</f>
        <v>#N/A</v>
      </c>
      <c r="O70" s="13" t="e">
        <f t="shared" ref="O70:O101" si="14">IF(VLOOKUP(T70,$G$150:$J$277,2,0)=0,0,ROUND(SQRT(100*VLOOKUP(S70,$G$150:$J$277,2,0)/VLOOKUP(T70,$G$150:$J$277,2,0)),0))</f>
        <v>#N/A</v>
      </c>
      <c r="P70" s="14" t="e">
        <f t="shared" ref="P70:P101" si="15">"[color="&amp;$P$155&amp;"]"&amp;VLOOKUP(S70,$G$150:$J$277,3,0)&amp;" vs "&amp;VLOOKUP(T70,$G$150:$J$277,3,0)&amp;" ("&amp;$N70&amp;"-"&amp;$O70&amp;")[/color]"</f>
        <v>#N/A</v>
      </c>
      <c r="Q70" s="14" t="str">
        <f t="shared" ref="Q70:Q101" si="16">IF(K70&gt;0,IF(K70=1,"[color="&amp;$P$156&amp;"][b]"&amp;VLOOKUP($S70,$G$150:$J$277,3,0)&amp;"[/b] vs "&amp;VLOOKUP($T70,$G$150:$J$277,3,0)&amp;" ([b]"&amp;$N70&amp;"[/b]-"&amp;$O70&amp;")[/color]","[color="&amp;$P$156&amp;"]"&amp;VLOOKUP($S70,$G$150:$J$277,3,0)&amp;" vs [b]"&amp;VLOOKUP($T70,$G$150:$J$277,3,0)&amp;"[/b] ("&amp;$N70&amp;"-[b]"&amp;$O70&amp;"[/b])[/color]"),"")</f>
        <v/>
      </c>
      <c r="R70" s="16" t="str">
        <f t="shared" ref="R70:R101" si="17">IF(K70&gt;0,IF(K70=1,S70,T70),"")</f>
        <v/>
      </c>
      <c r="S70" s="16" t="str">
        <f>R4</f>
        <v/>
      </c>
      <c r="T70" s="16" t="str">
        <f>R5</f>
        <v/>
      </c>
    </row>
    <row r="71" spans="1:20" ht="15" thickBot="1">
      <c r="A71" s="12"/>
      <c r="D71" s="61"/>
      <c r="F71"/>
      <c r="G71" s="14">
        <v>68</v>
      </c>
      <c r="H71" s="14" t="e">
        <f t="shared" si="10"/>
        <v>#N/A</v>
      </c>
      <c r="I71" s="14" t="e">
        <f t="shared" si="1"/>
        <v>#N/A</v>
      </c>
      <c r="J71" s="14" t="e">
        <f t="shared" si="2"/>
        <v>#N/A</v>
      </c>
      <c r="K71" s="12"/>
      <c r="L71" s="15" t="e">
        <f t="shared" si="11"/>
        <v>#N/A</v>
      </c>
      <c r="M71" s="15" t="e">
        <f t="shared" si="12"/>
        <v>#N/A</v>
      </c>
      <c r="N71" s="13" t="e">
        <f t="shared" si="13"/>
        <v>#N/A</v>
      </c>
      <c r="O71" s="13" t="e">
        <f t="shared" si="14"/>
        <v>#N/A</v>
      </c>
      <c r="P71" s="14" t="e">
        <f t="shared" si="15"/>
        <v>#N/A</v>
      </c>
      <c r="Q71" s="14" t="str">
        <f t="shared" si="16"/>
        <v/>
      </c>
      <c r="R71" s="16" t="str">
        <f t="shared" si="17"/>
        <v/>
      </c>
      <c r="S71" s="16" t="str">
        <f>R6</f>
        <v/>
      </c>
      <c r="T71" s="16" t="str">
        <f>R7</f>
        <v/>
      </c>
    </row>
    <row r="72" spans="1:20" ht="15" thickBot="1">
      <c r="A72" s="12"/>
      <c r="D72" s="61"/>
      <c r="F72"/>
      <c r="G72" s="14">
        <v>69</v>
      </c>
      <c r="H72" s="14" t="e">
        <f t="shared" si="10"/>
        <v>#N/A</v>
      </c>
      <c r="I72" s="14" t="e">
        <f t="shared" si="1"/>
        <v>#N/A</v>
      </c>
      <c r="J72" s="14" t="e">
        <f t="shared" si="2"/>
        <v>#N/A</v>
      </c>
      <c r="K72" s="12"/>
      <c r="L72" s="15" t="e">
        <f t="shared" si="11"/>
        <v>#N/A</v>
      </c>
      <c r="M72" s="15" t="e">
        <f t="shared" si="12"/>
        <v>#N/A</v>
      </c>
      <c r="N72" s="13" t="e">
        <f t="shared" si="13"/>
        <v>#N/A</v>
      </c>
      <c r="O72" s="13" t="e">
        <f t="shared" si="14"/>
        <v>#N/A</v>
      </c>
      <c r="P72" s="14" t="e">
        <f t="shared" si="15"/>
        <v>#N/A</v>
      </c>
      <c r="Q72" s="14" t="str">
        <f t="shared" si="16"/>
        <v/>
      </c>
      <c r="R72" s="16" t="str">
        <f t="shared" si="17"/>
        <v/>
      </c>
      <c r="S72" s="16" t="str">
        <f>R8</f>
        <v/>
      </c>
      <c r="T72" s="16" t="str">
        <f>R9</f>
        <v/>
      </c>
    </row>
    <row r="73" spans="1:20" ht="15" thickBot="1">
      <c r="A73" s="12"/>
      <c r="D73" s="61"/>
      <c r="F73" s="12"/>
      <c r="G73" s="14">
        <v>70</v>
      </c>
      <c r="H73" s="14" t="e">
        <f t="shared" si="10"/>
        <v>#N/A</v>
      </c>
      <c r="I73" s="14" t="e">
        <f t="shared" si="1"/>
        <v>#N/A</v>
      </c>
      <c r="J73" s="14" t="e">
        <f t="shared" si="2"/>
        <v>#N/A</v>
      </c>
      <c r="K73" s="12"/>
      <c r="L73" s="15" t="e">
        <f t="shared" si="11"/>
        <v>#N/A</v>
      </c>
      <c r="M73" s="15" t="e">
        <f t="shared" si="12"/>
        <v>#N/A</v>
      </c>
      <c r="N73" s="13" t="e">
        <f t="shared" si="13"/>
        <v>#N/A</v>
      </c>
      <c r="O73" s="13" t="e">
        <f t="shared" si="14"/>
        <v>#N/A</v>
      </c>
      <c r="P73" s="14" t="e">
        <f t="shared" si="15"/>
        <v>#N/A</v>
      </c>
      <c r="Q73" s="14" t="str">
        <f t="shared" si="16"/>
        <v/>
      </c>
      <c r="R73" s="16" t="str">
        <f t="shared" si="17"/>
        <v/>
      </c>
      <c r="S73" s="16" t="str">
        <f>R10</f>
        <v/>
      </c>
      <c r="T73" s="16" t="str">
        <f>R11</f>
        <v/>
      </c>
    </row>
    <row r="74" spans="1:20" ht="15" thickBot="1">
      <c r="A74" s="12"/>
      <c r="D74" s="61"/>
      <c r="F74"/>
      <c r="G74" s="14">
        <v>71</v>
      </c>
      <c r="H74" s="14" t="e">
        <f t="shared" si="10"/>
        <v>#N/A</v>
      </c>
      <c r="I74" s="14" t="e">
        <f t="shared" si="1"/>
        <v>#N/A</v>
      </c>
      <c r="J74" s="14" t="e">
        <f t="shared" si="2"/>
        <v>#N/A</v>
      </c>
      <c r="K74" s="12"/>
      <c r="L74" s="15" t="e">
        <f t="shared" si="11"/>
        <v>#N/A</v>
      </c>
      <c r="M74" s="15" t="e">
        <f t="shared" si="12"/>
        <v>#N/A</v>
      </c>
      <c r="N74" s="13" t="e">
        <f t="shared" si="13"/>
        <v>#N/A</v>
      </c>
      <c r="O74" s="13" t="e">
        <f t="shared" si="14"/>
        <v>#N/A</v>
      </c>
      <c r="P74" s="14" t="e">
        <f t="shared" si="15"/>
        <v>#N/A</v>
      </c>
      <c r="Q74" s="14" t="str">
        <f t="shared" si="16"/>
        <v/>
      </c>
      <c r="R74" s="16" t="str">
        <f t="shared" si="17"/>
        <v/>
      </c>
      <c r="S74" s="16" t="str">
        <f>R12</f>
        <v/>
      </c>
      <c r="T74" s="16" t="str">
        <f>R13</f>
        <v/>
      </c>
    </row>
    <row r="75" spans="1:20" ht="15" thickBot="1">
      <c r="A75" s="12"/>
      <c r="D75" s="61"/>
      <c r="F75"/>
      <c r="G75" s="14">
        <v>72</v>
      </c>
      <c r="H75" s="14" t="e">
        <f t="shared" si="10"/>
        <v>#N/A</v>
      </c>
      <c r="I75" s="14" t="e">
        <f t="shared" si="1"/>
        <v>#N/A</v>
      </c>
      <c r="J75" s="14" t="e">
        <f t="shared" si="2"/>
        <v>#N/A</v>
      </c>
      <c r="K75" s="12"/>
      <c r="L75" s="15" t="e">
        <f t="shared" si="11"/>
        <v>#N/A</v>
      </c>
      <c r="M75" s="15" t="e">
        <f t="shared" si="12"/>
        <v>#N/A</v>
      </c>
      <c r="N75" s="13" t="e">
        <f t="shared" si="13"/>
        <v>#N/A</v>
      </c>
      <c r="O75" s="13" t="e">
        <f t="shared" si="14"/>
        <v>#N/A</v>
      </c>
      <c r="P75" s="14" t="e">
        <f t="shared" si="15"/>
        <v>#N/A</v>
      </c>
      <c r="Q75" s="14" t="str">
        <f>IF(K75&gt;0,IF(K75=1,"[color="&amp;$P$156&amp;"][b]"&amp;VLOOKUP($S75,$G$150:$J$277,3,0)&amp;"[/b] vs "&amp;VLOOKUP($T75,$G$150:$J$277,3,0)&amp;" ([b]"&amp;$N75&amp;"[/b]-"&amp;$O75&amp;")[/color]","[color="&amp;$P$156&amp;"]"&amp;VLOOKUP($S75,$G$150:$J$277,3,0)&amp;" vs [b]"&amp;VLOOKUP($T75,$G$150:$J$277,3,0)&amp;"[/b] ("&amp;$N75&amp;"-[b]"&amp;$O75&amp;"[/b])[/color]"),"")</f>
        <v/>
      </c>
      <c r="R75" s="16" t="str">
        <f t="shared" si="17"/>
        <v/>
      </c>
      <c r="S75" s="16" t="str">
        <f>R14</f>
        <v/>
      </c>
      <c r="T75" s="16" t="str">
        <f>R15</f>
        <v/>
      </c>
    </row>
    <row r="76" spans="1:20" ht="15" thickBot="1">
      <c r="A76" s="12"/>
      <c r="D76" s="61"/>
      <c r="F76"/>
      <c r="G76" s="14">
        <v>73</v>
      </c>
      <c r="H76" s="14" t="e">
        <f t="shared" si="10"/>
        <v>#N/A</v>
      </c>
      <c r="I76" s="14" t="e">
        <f t="shared" si="1"/>
        <v>#N/A</v>
      </c>
      <c r="J76" s="14" t="e">
        <f t="shared" si="2"/>
        <v>#N/A</v>
      </c>
      <c r="K76" s="12"/>
      <c r="L76" s="15" t="e">
        <f t="shared" si="11"/>
        <v>#N/A</v>
      </c>
      <c r="M76" s="15" t="e">
        <f t="shared" si="12"/>
        <v>#N/A</v>
      </c>
      <c r="N76" s="13" t="e">
        <f t="shared" si="13"/>
        <v>#N/A</v>
      </c>
      <c r="O76" s="13" t="e">
        <f t="shared" si="14"/>
        <v>#N/A</v>
      </c>
      <c r="P76" s="14" t="e">
        <f t="shared" si="15"/>
        <v>#N/A</v>
      </c>
      <c r="Q76" s="14" t="str">
        <f t="shared" si="16"/>
        <v/>
      </c>
      <c r="R76" s="16" t="str">
        <f t="shared" si="17"/>
        <v/>
      </c>
      <c r="S76" s="16" t="str">
        <f>R16</f>
        <v/>
      </c>
      <c r="T76" s="16" t="str">
        <f>R17</f>
        <v/>
      </c>
    </row>
    <row r="77" spans="1:20" ht="15" thickBot="1">
      <c r="A77" s="12"/>
      <c r="D77" s="61"/>
      <c r="F77"/>
      <c r="G77" s="14">
        <v>74</v>
      </c>
      <c r="H77" s="14" t="e">
        <f t="shared" si="10"/>
        <v>#N/A</v>
      </c>
      <c r="I77" s="14" t="e">
        <f t="shared" si="1"/>
        <v>#N/A</v>
      </c>
      <c r="J77" s="14" t="e">
        <f t="shared" si="2"/>
        <v>#N/A</v>
      </c>
      <c r="K77" s="12"/>
      <c r="L77" s="15" t="e">
        <f t="shared" si="11"/>
        <v>#N/A</v>
      </c>
      <c r="M77" s="15" t="e">
        <f t="shared" si="12"/>
        <v>#N/A</v>
      </c>
      <c r="N77" s="13" t="e">
        <f t="shared" si="13"/>
        <v>#N/A</v>
      </c>
      <c r="O77" s="13" t="e">
        <f t="shared" si="14"/>
        <v>#N/A</v>
      </c>
      <c r="P77" s="14" t="e">
        <f t="shared" si="15"/>
        <v>#N/A</v>
      </c>
      <c r="Q77" s="14" t="str">
        <f t="shared" si="16"/>
        <v/>
      </c>
      <c r="R77" s="16" t="str">
        <f t="shared" si="17"/>
        <v/>
      </c>
      <c r="S77" s="16" t="str">
        <f>R18</f>
        <v/>
      </c>
      <c r="T77" s="16" t="str">
        <f>R19</f>
        <v/>
      </c>
    </row>
    <row r="78" spans="1:20" ht="15" thickBot="1">
      <c r="A78" s="12"/>
      <c r="D78" s="60"/>
      <c r="F78"/>
      <c r="G78" s="14">
        <v>75</v>
      </c>
      <c r="H78" s="14" t="e">
        <f t="shared" si="10"/>
        <v>#N/A</v>
      </c>
      <c r="I78" s="14" t="e">
        <f t="shared" si="1"/>
        <v>#N/A</v>
      </c>
      <c r="J78" s="14" t="e">
        <f t="shared" si="2"/>
        <v>#N/A</v>
      </c>
      <c r="K78" s="12"/>
      <c r="L78" s="15" t="e">
        <f t="shared" si="11"/>
        <v>#N/A</v>
      </c>
      <c r="M78" s="15" t="e">
        <f t="shared" si="12"/>
        <v>#N/A</v>
      </c>
      <c r="N78" s="13" t="e">
        <f t="shared" si="13"/>
        <v>#N/A</v>
      </c>
      <c r="O78" s="13" t="e">
        <f t="shared" si="14"/>
        <v>#N/A</v>
      </c>
      <c r="P78" s="14" t="e">
        <f t="shared" si="15"/>
        <v>#N/A</v>
      </c>
      <c r="Q78" s="14" t="str">
        <f t="shared" si="16"/>
        <v/>
      </c>
      <c r="R78" s="16" t="str">
        <f t="shared" si="17"/>
        <v/>
      </c>
      <c r="S78" s="16" t="str">
        <f>R20</f>
        <v/>
      </c>
      <c r="T78" s="16" t="str">
        <f>R21</f>
        <v/>
      </c>
    </row>
    <row r="79" spans="1:20" ht="15" thickBot="1">
      <c r="A79" s="12"/>
      <c r="D79" s="61"/>
      <c r="F79" s="12"/>
      <c r="G79" s="14">
        <v>76</v>
      </c>
      <c r="H79" s="14" t="e">
        <f t="shared" si="10"/>
        <v>#N/A</v>
      </c>
      <c r="I79" s="14" t="e">
        <f t="shared" si="1"/>
        <v>#N/A</v>
      </c>
      <c r="J79" s="14" t="e">
        <f t="shared" si="2"/>
        <v>#N/A</v>
      </c>
      <c r="K79" s="12"/>
      <c r="L79" s="15" t="e">
        <f t="shared" si="11"/>
        <v>#N/A</v>
      </c>
      <c r="M79" s="15" t="e">
        <f t="shared" si="12"/>
        <v>#N/A</v>
      </c>
      <c r="N79" s="13" t="e">
        <f t="shared" si="13"/>
        <v>#N/A</v>
      </c>
      <c r="O79" s="13" t="e">
        <f t="shared" si="14"/>
        <v>#N/A</v>
      </c>
      <c r="P79" s="14" t="e">
        <f t="shared" si="15"/>
        <v>#N/A</v>
      </c>
      <c r="Q79" s="14" t="str">
        <f t="shared" si="16"/>
        <v/>
      </c>
      <c r="R79" s="16" t="str">
        <f t="shared" si="17"/>
        <v/>
      </c>
      <c r="S79" s="16" t="str">
        <f>R22</f>
        <v/>
      </c>
      <c r="T79" s="16" t="str">
        <f>R23</f>
        <v/>
      </c>
    </row>
    <row r="80" spans="1:20" ht="15" thickBot="1">
      <c r="A80" s="12"/>
      <c r="D80" s="61"/>
      <c r="F80"/>
      <c r="G80" s="14">
        <v>77</v>
      </c>
      <c r="H80" s="14" t="e">
        <f t="shared" si="10"/>
        <v>#N/A</v>
      </c>
      <c r="I80" s="14" t="e">
        <f t="shared" si="1"/>
        <v>#N/A</v>
      </c>
      <c r="J80" s="14" t="e">
        <f t="shared" si="2"/>
        <v>#N/A</v>
      </c>
      <c r="K80" s="12"/>
      <c r="L80" s="15" t="e">
        <f t="shared" si="11"/>
        <v>#N/A</v>
      </c>
      <c r="M80" s="15" t="e">
        <f t="shared" si="12"/>
        <v>#N/A</v>
      </c>
      <c r="N80" s="13" t="e">
        <f t="shared" si="13"/>
        <v>#N/A</v>
      </c>
      <c r="O80" s="13" t="e">
        <f t="shared" si="14"/>
        <v>#N/A</v>
      </c>
      <c r="P80" s="14" t="e">
        <f t="shared" si="15"/>
        <v>#N/A</v>
      </c>
      <c r="Q80" s="14" t="str">
        <f t="shared" si="16"/>
        <v/>
      </c>
      <c r="R80" s="16" t="str">
        <f t="shared" si="17"/>
        <v/>
      </c>
      <c r="S80" s="16" t="str">
        <f>R24</f>
        <v/>
      </c>
      <c r="T80" s="16" t="str">
        <f>R25</f>
        <v/>
      </c>
    </row>
    <row r="81" spans="1:20" ht="15" thickBot="1">
      <c r="A81" s="12"/>
      <c r="D81" s="60"/>
      <c r="F81" s="12"/>
      <c r="G81" s="14">
        <v>78</v>
      </c>
      <c r="H81" s="14" t="e">
        <f t="shared" si="10"/>
        <v>#N/A</v>
      </c>
      <c r="I81" s="14" t="e">
        <f t="shared" si="1"/>
        <v>#N/A</v>
      </c>
      <c r="J81" s="14" t="e">
        <f t="shared" si="2"/>
        <v>#N/A</v>
      </c>
      <c r="K81" s="12"/>
      <c r="L81" s="15" t="e">
        <f t="shared" si="11"/>
        <v>#N/A</v>
      </c>
      <c r="M81" s="15" t="e">
        <f t="shared" si="12"/>
        <v>#N/A</v>
      </c>
      <c r="N81" s="13" t="e">
        <f t="shared" si="13"/>
        <v>#N/A</v>
      </c>
      <c r="O81" s="13" t="e">
        <f t="shared" si="14"/>
        <v>#N/A</v>
      </c>
      <c r="P81" s="14" t="e">
        <f t="shared" si="15"/>
        <v>#N/A</v>
      </c>
      <c r="Q81" s="14" t="str">
        <f t="shared" si="16"/>
        <v/>
      </c>
      <c r="R81" s="16" t="str">
        <f t="shared" si="17"/>
        <v/>
      </c>
      <c r="S81" s="16" t="str">
        <f>R26</f>
        <v/>
      </c>
      <c r="T81" s="16" t="str">
        <f>R27</f>
        <v/>
      </c>
    </row>
    <row r="82" spans="1:20" ht="15" thickBot="1">
      <c r="A82" s="12"/>
      <c r="D82" s="60"/>
      <c r="F82"/>
      <c r="G82" s="14">
        <v>79</v>
      </c>
      <c r="H82" s="14" t="e">
        <f t="shared" si="10"/>
        <v>#N/A</v>
      </c>
      <c r="I82" s="14" t="e">
        <f t="shared" si="1"/>
        <v>#N/A</v>
      </c>
      <c r="J82" s="14" t="e">
        <f t="shared" si="2"/>
        <v>#N/A</v>
      </c>
      <c r="K82" s="12"/>
      <c r="L82" s="15" t="e">
        <f t="shared" si="11"/>
        <v>#N/A</v>
      </c>
      <c r="M82" s="15" t="e">
        <f t="shared" si="12"/>
        <v>#N/A</v>
      </c>
      <c r="N82" s="13" t="e">
        <f t="shared" si="13"/>
        <v>#N/A</v>
      </c>
      <c r="O82" s="13" t="e">
        <f t="shared" si="14"/>
        <v>#N/A</v>
      </c>
      <c r="P82" s="14" t="e">
        <f t="shared" si="15"/>
        <v>#N/A</v>
      </c>
      <c r="Q82" s="14" t="str">
        <f t="shared" si="16"/>
        <v/>
      </c>
      <c r="R82" s="16" t="str">
        <f t="shared" si="17"/>
        <v/>
      </c>
      <c r="S82" s="16" t="str">
        <f>R28</f>
        <v/>
      </c>
      <c r="T82" s="16" t="str">
        <f>R29</f>
        <v/>
      </c>
    </row>
    <row r="83" spans="1:20" ht="15" thickBot="1">
      <c r="A83" s="12"/>
      <c r="D83" s="61"/>
      <c r="F83"/>
      <c r="G83" s="14">
        <v>80</v>
      </c>
      <c r="H83" s="14" t="e">
        <f t="shared" si="10"/>
        <v>#N/A</v>
      </c>
      <c r="I83" s="14" t="e">
        <f t="shared" si="1"/>
        <v>#N/A</v>
      </c>
      <c r="J83" s="14" t="e">
        <f t="shared" si="2"/>
        <v>#N/A</v>
      </c>
      <c r="K83" s="12"/>
      <c r="L83" s="15" t="e">
        <f t="shared" si="11"/>
        <v>#N/A</v>
      </c>
      <c r="M83" s="15" t="e">
        <f t="shared" si="12"/>
        <v>#N/A</v>
      </c>
      <c r="N83" s="13" t="e">
        <f t="shared" si="13"/>
        <v>#N/A</v>
      </c>
      <c r="O83" s="13" t="e">
        <f t="shared" si="14"/>
        <v>#N/A</v>
      </c>
      <c r="P83" s="14" t="e">
        <f t="shared" si="15"/>
        <v>#N/A</v>
      </c>
      <c r="Q83" s="14" t="str">
        <f t="shared" si="16"/>
        <v/>
      </c>
      <c r="R83" s="16" t="str">
        <f t="shared" si="17"/>
        <v/>
      </c>
      <c r="S83" s="16" t="str">
        <f>R30</f>
        <v/>
      </c>
      <c r="T83" s="16" t="str">
        <f>R31</f>
        <v/>
      </c>
    </row>
    <row r="84" spans="1:20" ht="15" thickBot="1">
      <c r="A84" s="12"/>
      <c r="D84" s="61"/>
      <c r="F84"/>
      <c r="G84" s="14">
        <v>81</v>
      </c>
      <c r="H84" s="14" t="e">
        <f t="shared" si="10"/>
        <v>#N/A</v>
      </c>
      <c r="I84" s="14" t="e">
        <f t="shared" si="1"/>
        <v>#N/A</v>
      </c>
      <c r="J84" s="14" t="e">
        <f t="shared" si="2"/>
        <v>#N/A</v>
      </c>
      <c r="K84" s="12"/>
      <c r="L84" s="15" t="e">
        <f t="shared" si="11"/>
        <v>#N/A</v>
      </c>
      <c r="M84" s="15" t="e">
        <f t="shared" si="12"/>
        <v>#N/A</v>
      </c>
      <c r="N84" s="13" t="e">
        <f t="shared" si="13"/>
        <v>#N/A</v>
      </c>
      <c r="O84" s="13" t="e">
        <f t="shared" si="14"/>
        <v>#N/A</v>
      </c>
      <c r="P84" s="14" t="e">
        <f t="shared" si="15"/>
        <v>#N/A</v>
      </c>
      <c r="Q84" s="14" t="str">
        <f t="shared" si="16"/>
        <v/>
      </c>
      <c r="R84" s="16" t="str">
        <f t="shared" si="17"/>
        <v/>
      </c>
      <c r="S84" s="16" t="str">
        <f>R32</f>
        <v/>
      </c>
      <c r="T84" s="16" t="str">
        <f>R33</f>
        <v/>
      </c>
    </row>
    <row r="85" spans="1:20" ht="15" thickBot="1">
      <c r="A85" s="12"/>
      <c r="D85" s="60"/>
      <c r="F85"/>
      <c r="G85" s="14">
        <v>82</v>
      </c>
      <c r="H85" s="14" t="e">
        <f t="shared" si="10"/>
        <v>#N/A</v>
      </c>
      <c r="I85" s="14" t="e">
        <f t="shared" si="1"/>
        <v>#N/A</v>
      </c>
      <c r="J85" s="14" t="e">
        <f t="shared" si="2"/>
        <v>#N/A</v>
      </c>
      <c r="K85" s="12"/>
      <c r="L85" s="15" t="e">
        <f t="shared" si="11"/>
        <v>#N/A</v>
      </c>
      <c r="M85" s="15" t="e">
        <f t="shared" si="12"/>
        <v>#N/A</v>
      </c>
      <c r="N85" s="13" t="e">
        <f t="shared" si="13"/>
        <v>#N/A</v>
      </c>
      <c r="O85" s="13" t="e">
        <f t="shared" si="14"/>
        <v>#N/A</v>
      </c>
      <c r="P85" s="14" t="e">
        <f t="shared" si="15"/>
        <v>#N/A</v>
      </c>
      <c r="Q85" s="14" t="str">
        <f t="shared" si="16"/>
        <v/>
      </c>
      <c r="R85" s="16" t="str">
        <f t="shared" si="17"/>
        <v/>
      </c>
      <c r="S85" s="16" t="str">
        <f>R34</f>
        <v/>
      </c>
      <c r="T85" s="16" t="str">
        <f>R35</f>
        <v/>
      </c>
    </row>
    <row r="86" spans="1:20" ht="15" thickBot="1">
      <c r="A86" s="12"/>
      <c r="D86" s="61"/>
      <c r="F86"/>
      <c r="G86" s="14">
        <v>83</v>
      </c>
      <c r="H86" s="14" t="e">
        <f t="shared" si="10"/>
        <v>#N/A</v>
      </c>
      <c r="I86" s="14" t="e">
        <f t="shared" si="1"/>
        <v>#N/A</v>
      </c>
      <c r="J86" s="14" t="e">
        <f t="shared" si="2"/>
        <v>#N/A</v>
      </c>
      <c r="K86" s="12"/>
      <c r="L86" s="15" t="e">
        <f t="shared" si="11"/>
        <v>#N/A</v>
      </c>
      <c r="M86" s="15" t="e">
        <f t="shared" si="12"/>
        <v>#N/A</v>
      </c>
      <c r="N86" s="13" t="e">
        <f t="shared" si="13"/>
        <v>#N/A</v>
      </c>
      <c r="O86" s="13" t="e">
        <f t="shared" si="14"/>
        <v>#N/A</v>
      </c>
      <c r="P86" s="14" t="e">
        <f t="shared" si="15"/>
        <v>#N/A</v>
      </c>
      <c r="Q86" s="14" t="str">
        <f t="shared" si="16"/>
        <v/>
      </c>
      <c r="R86" s="16" t="str">
        <f t="shared" si="17"/>
        <v/>
      </c>
      <c r="S86" s="16" t="str">
        <f>R36</f>
        <v/>
      </c>
      <c r="T86" s="16" t="str">
        <f>R37</f>
        <v/>
      </c>
    </row>
    <row r="87" spans="1:20" ht="15" thickBot="1">
      <c r="A87" s="12"/>
      <c r="D87" s="60"/>
      <c r="F87"/>
      <c r="G87" s="14">
        <v>84</v>
      </c>
      <c r="H87" s="14" t="e">
        <f t="shared" si="10"/>
        <v>#N/A</v>
      </c>
      <c r="I87" s="14" t="e">
        <f t="shared" si="1"/>
        <v>#N/A</v>
      </c>
      <c r="J87" s="14" t="e">
        <f t="shared" si="2"/>
        <v>#N/A</v>
      </c>
      <c r="K87" s="12"/>
      <c r="L87" s="15" t="e">
        <f t="shared" si="11"/>
        <v>#N/A</v>
      </c>
      <c r="M87" s="15" t="e">
        <f t="shared" si="12"/>
        <v>#N/A</v>
      </c>
      <c r="N87" s="13" t="e">
        <f t="shared" si="13"/>
        <v>#N/A</v>
      </c>
      <c r="O87" s="13" t="e">
        <f t="shared" si="14"/>
        <v>#N/A</v>
      </c>
      <c r="P87" s="14" t="e">
        <f t="shared" si="15"/>
        <v>#N/A</v>
      </c>
      <c r="Q87" s="14" t="str">
        <f t="shared" si="16"/>
        <v/>
      </c>
      <c r="R87" s="16" t="str">
        <f t="shared" si="17"/>
        <v/>
      </c>
      <c r="S87" s="16" t="str">
        <f>R38</f>
        <v/>
      </c>
      <c r="T87" s="16" t="str">
        <f>R39</f>
        <v/>
      </c>
    </row>
    <row r="88" spans="1:20" ht="15" thickBot="1">
      <c r="A88" s="12"/>
      <c r="D88" s="60"/>
      <c r="F88"/>
      <c r="G88" s="14">
        <v>85</v>
      </c>
      <c r="H88" s="14" t="e">
        <f t="shared" si="10"/>
        <v>#N/A</v>
      </c>
      <c r="I88" s="14" t="e">
        <f t="shared" si="1"/>
        <v>#N/A</v>
      </c>
      <c r="J88" s="14" t="e">
        <f t="shared" si="2"/>
        <v>#N/A</v>
      </c>
      <c r="K88" s="12"/>
      <c r="L88" s="15" t="e">
        <f t="shared" si="11"/>
        <v>#N/A</v>
      </c>
      <c r="M88" s="15" t="e">
        <f t="shared" si="12"/>
        <v>#N/A</v>
      </c>
      <c r="N88" s="13" t="e">
        <f t="shared" si="13"/>
        <v>#N/A</v>
      </c>
      <c r="O88" s="13" t="e">
        <f t="shared" si="14"/>
        <v>#N/A</v>
      </c>
      <c r="P88" s="14" t="e">
        <f t="shared" si="15"/>
        <v>#N/A</v>
      </c>
      <c r="Q88" s="14" t="str">
        <f t="shared" si="16"/>
        <v/>
      </c>
      <c r="R88" s="16" t="str">
        <f t="shared" si="17"/>
        <v/>
      </c>
      <c r="S88" s="16" t="str">
        <f>R40</f>
        <v/>
      </c>
      <c r="T88" s="16" t="str">
        <f>R41</f>
        <v/>
      </c>
    </row>
    <row r="89" spans="1:20" ht="15" thickBot="1">
      <c r="A89" s="12"/>
      <c r="D89" s="60"/>
      <c r="F89" s="12"/>
      <c r="G89" s="14">
        <v>86</v>
      </c>
      <c r="H89" s="14" t="e">
        <f t="shared" si="10"/>
        <v>#N/A</v>
      </c>
      <c r="I89" s="14" t="e">
        <f t="shared" si="1"/>
        <v>#N/A</v>
      </c>
      <c r="J89" s="14" t="e">
        <f t="shared" si="2"/>
        <v>#N/A</v>
      </c>
      <c r="K89" s="12"/>
      <c r="L89" s="15" t="e">
        <f t="shared" si="11"/>
        <v>#N/A</v>
      </c>
      <c r="M89" s="15" t="e">
        <f t="shared" si="12"/>
        <v>#N/A</v>
      </c>
      <c r="N89" s="13" t="e">
        <f t="shared" si="13"/>
        <v>#N/A</v>
      </c>
      <c r="O89" s="13" t="e">
        <f t="shared" si="14"/>
        <v>#N/A</v>
      </c>
      <c r="P89" s="14" t="e">
        <f t="shared" si="15"/>
        <v>#N/A</v>
      </c>
      <c r="Q89" s="14" t="str">
        <f t="shared" si="16"/>
        <v/>
      </c>
      <c r="R89" s="16" t="str">
        <f t="shared" si="17"/>
        <v/>
      </c>
      <c r="S89" s="16" t="str">
        <f>R42</f>
        <v/>
      </c>
      <c r="T89" s="16" t="str">
        <f>R43</f>
        <v/>
      </c>
    </row>
    <row r="90" spans="1:20" ht="15" thickBot="1">
      <c r="A90" s="12"/>
      <c r="D90" s="60"/>
      <c r="F90"/>
      <c r="G90" s="14">
        <v>87</v>
      </c>
      <c r="H90" s="14" t="e">
        <f t="shared" si="10"/>
        <v>#N/A</v>
      </c>
      <c r="I90" s="14" t="e">
        <f t="shared" si="1"/>
        <v>#N/A</v>
      </c>
      <c r="J90" s="14" t="e">
        <f t="shared" si="2"/>
        <v>#N/A</v>
      </c>
      <c r="K90" s="12"/>
      <c r="L90" s="15" t="e">
        <f t="shared" si="11"/>
        <v>#N/A</v>
      </c>
      <c r="M90" s="15" t="e">
        <f t="shared" si="12"/>
        <v>#N/A</v>
      </c>
      <c r="N90" s="13" t="e">
        <f t="shared" si="13"/>
        <v>#N/A</v>
      </c>
      <c r="O90" s="13" t="e">
        <f t="shared" si="14"/>
        <v>#N/A</v>
      </c>
      <c r="P90" s="14" t="e">
        <f t="shared" si="15"/>
        <v>#N/A</v>
      </c>
      <c r="Q90" s="14" t="str">
        <f t="shared" si="16"/>
        <v/>
      </c>
      <c r="R90" s="16" t="str">
        <f t="shared" si="17"/>
        <v/>
      </c>
      <c r="S90" s="16" t="str">
        <f>R44</f>
        <v/>
      </c>
      <c r="T90" s="16" t="str">
        <f>R45</f>
        <v/>
      </c>
    </row>
    <row r="91" spans="1:20" ht="15" thickBot="1">
      <c r="A91" s="12"/>
      <c r="D91" s="60"/>
      <c r="F91"/>
      <c r="G91" s="14">
        <v>88</v>
      </c>
      <c r="H91" s="14" t="e">
        <f t="shared" si="10"/>
        <v>#N/A</v>
      </c>
      <c r="I91" s="14" t="e">
        <f t="shared" si="1"/>
        <v>#N/A</v>
      </c>
      <c r="J91" s="14" t="e">
        <f t="shared" si="2"/>
        <v>#N/A</v>
      </c>
      <c r="K91" s="12"/>
      <c r="L91" s="15" t="e">
        <f t="shared" si="11"/>
        <v>#N/A</v>
      </c>
      <c r="M91" s="15" t="e">
        <f t="shared" si="12"/>
        <v>#N/A</v>
      </c>
      <c r="N91" s="13" t="e">
        <f t="shared" si="13"/>
        <v>#N/A</v>
      </c>
      <c r="O91" s="13" t="e">
        <f t="shared" si="14"/>
        <v>#N/A</v>
      </c>
      <c r="P91" s="14" t="e">
        <f t="shared" si="15"/>
        <v>#N/A</v>
      </c>
      <c r="Q91" s="14" t="str">
        <f t="shared" si="16"/>
        <v/>
      </c>
      <c r="R91" s="16" t="str">
        <f t="shared" si="17"/>
        <v/>
      </c>
      <c r="S91" s="16" t="str">
        <f>R46</f>
        <v/>
      </c>
      <c r="T91" s="16" t="str">
        <f>R47</f>
        <v/>
      </c>
    </row>
    <row r="92" spans="1:20" ht="15" thickBot="1">
      <c r="A92" s="12"/>
      <c r="D92" s="60"/>
      <c r="F92"/>
      <c r="G92" s="14">
        <v>89</v>
      </c>
      <c r="H92" s="14" t="e">
        <f t="shared" si="10"/>
        <v>#N/A</v>
      </c>
      <c r="I92" s="14" t="e">
        <f t="shared" si="1"/>
        <v>#N/A</v>
      </c>
      <c r="J92" s="14" t="e">
        <f t="shared" si="2"/>
        <v>#N/A</v>
      </c>
      <c r="K92" s="12"/>
      <c r="L92" s="15" t="e">
        <f t="shared" si="11"/>
        <v>#N/A</v>
      </c>
      <c r="M92" s="15" t="e">
        <f t="shared" si="12"/>
        <v>#N/A</v>
      </c>
      <c r="N92" s="13" t="e">
        <f t="shared" si="13"/>
        <v>#N/A</v>
      </c>
      <c r="O92" s="13" t="e">
        <f t="shared" si="14"/>
        <v>#N/A</v>
      </c>
      <c r="P92" s="14" t="e">
        <f t="shared" si="15"/>
        <v>#N/A</v>
      </c>
      <c r="Q92" s="14" t="str">
        <f t="shared" si="16"/>
        <v/>
      </c>
      <c r="R92" s="16" t="str">
        <f t="shared" si="17"/>
        <v/>
      </c>
      <c r="S92" s="16" t="str">
        <f>R48</f>
        <v/>
      </c>
      <c r="T92" s="16" t="str">
        <f>R49</f>
        <v/>
      </c>
    </row>
    <row r="93" spans="1:20" ht="15" thickBot="1">
      <c r="A93" s="12"/>
      <c r="D93" s="60"/>
      <c r="F93"/>
      <c r="G93" s="14">
        <v>90</v>
      </c>
      <c r="H93" s="14" t="e">
        <f t="shared" si="10"/>
        <v>#N/A</v>
      </c>
      <c r="I93" s="14" t="e">
        <f t="shared" si="1"/>
        <v>#N/A</v>
      </c>
      <c r="J93" s="14" t="e">
        <f t="shared" si="2"/>
        <v>#N/A</v>
      </c>
      <c r="K93" s="12"/>
      <c r="L93" s="15" t="e">
        <f t="shared" si="11"/>
        <v>#N/A</v>
      </c>
      <c r="M93" s="15" t="e">
        <f t="shared" si="12"/>
        <v>#N/A</v>
      </c>
      <c r="N93" s="13" t="e">
        <f t="shared" si="13"/>
        <v>#N/A</v>
      </c>
      <c r="O93" s="13" t="e">
        <f t="shared" si="14"/>
        <v>#N/A</v>
      </c>
      <c r="P93" s="14" t="e">
        <f t="shared" si="15"/>
        <v>#N/A</v>
      </c>
      <c r="Q93" s="14" t="str">
        <f t="shared" si="16"/>
        <v/>
      </c>
      <c r="R93" s="16" t="str">
        <f t="shared" si="17"/>
        <v/>
      </c>
      <c r="S93" s="16" t="str">
        <f>R50</f>
        <v/>
      </c>
      <c r="T93" s="16" t="str">
        <f>R51</f>
        <v/>
      </c>
    </row>
    <row r="94" spans="1:20" ht="15" thickBot="1">
      <c r="A94" s="12"/>
      <c r="D94" s="60"/>
      <c r="F94"/>
      <c r="G94" s="14">
        <v>91</v>
      </c>
      <c r="H94" s="14" t="e">
        <f t="shared" si="10"/>
        <v>#N/A</v>
      </c>
      <c r="I94" s="14" t="e">
        <f t="shared" si="1"/>
        <v>#N/A</v>
      </c>
      <c r="J94" s="14" t="e">
        <f t="shared" si="2"/>
        <v>#N/A</v>
      </c>
      <c r="K94" s="12"/>
      <c r="L94" s="15" t="e">
        <f t="shared" si="11"/>
        <v>#N/A</v>
      </c>
      <c r="M94" s="15" t="e">
        <f t="shared" si="12"/>
        <v>#N/A</v>
      </c>
      <c r="N94" s="13" t="e">
        <f t="shared" si="13"/>
        <v>#N/A</v>
      </c>
      <c r="O94" s="13" t="e">
        <f t="shared" si="14"/>
        <v>#N/A</v>
      </c>
      <c r="P94" s="14" t="e">
        <f t="shared" si="15"/>
        <v>#N/A</v>
      </c>
      <c r="Q94" s="14" t="str">
        <f t="shared" si="16"/>
        <v/>
      </c>
      <c r="R94" s="16" t="str">
        <f t="shared" si="17"/>
        <v/>
      </c>
      <c r="S94" s="16" t="str">
        <f>R52</f>
        <v/>
      </c>
      <c r="T94" s="16" t="str">
        <f>R53</f>
        <v/>
      </c>
    </row>
    <row r="95" spans="1:20" ht="15" thickBot="1">
      <c r="A95" s="12"/>
      <c r="D95" s="60"/>
      <c r="F95"/>
      <c r="G95" s="14">
        <v>92</v>
      </c>
      <c r="H95" s="14" t="e">
        <f t="shared" si="10"/>
        <v>#N/A</v>
      </c>
      <c r="I95" s="14" t="e">
        <f t="shared" si="1"/>
        <v>#N/A</v>
      </c>
      <c r="J95" s="14" t="e">
        <f t="shared" si="2"/>
        <v>#N/A</v>
      </c>
      <c r="K95" s="12"/>
      <c r="L95" s="15" t="e">
        <f t="shared" si="11"/>
        <v>#N/A</v>
      </c>
      <c r="M95" s="15" t="e">
        <f t="shared" si="12"/>
        <v>#N/A</v>
      </c>
      <c r="N95" s="13" t="e">
        <f t="shared" si="13"/>
        <v>#N/A</v>
      </c>
      <c r="O95" s="13" t="e">
        <f t="shared" si="14"/>
        <v>#N/A</v>
      </c>
      <c r="P95" s="14" t="e">
        <f t="shared" si="15"/>
        <v>#N/A</v>
      </c>
      <c r="Q95" s="14" t="str">
        <f t="shared" si="16"/>
        <v/>
      </c>
      <c r="R95" s="16" t="str">
        <f t="shared" si="17"/>
        <v/>
      </c>
      <c r="S95" s="16" t="str">
        <f>R54</f>
        <v/>
      </c>
      <c r="T95" s="16" t="str">
        <f>R55</f>
        <v/>
      </c>
    </row>
    <row r="96" spans="1:20" ht="15" thickBot="1">
      <c r="A96" s="12"/>
      <c r="D96" s="60"/>
      <c r="F96" s="12"/>
      <c r="G96" s="14">
        <v>93</v>
      </c>
      <c r="H96" s="14" t="e">
        <f t="shared" si="10"/>
        <v>#N/A</v>
      </c>
      <c r="I96" s="14" t="e">
        <f t="shared" si="1"/>
        <v>#N/A</v>
      </c>
      <c r="J96" s="14" t="e">
        <f t="shared" si="2"/>
        <v>#N/A</v>
      </c>
      <c r="K96" s="12"/>
      <c r="L96" s="15" t="e">
        <f t="shared" si="11"/>
        <v>#N/A</v>
      </c>
      <c r="M96" s="15" t="e">
        <f t="shared" si="12"/>
        <v>#N/A</v>
      </c>
      <c r="N96" s="13" t="e">
        <f t="shared" si="13"/>
        <v>#N/A</v>
      </c>
      <c r="O96" s="13" t="e">
        <f t="shared" si="14"/>
        <v>#N/A</v>
      </c>
      <c r="P96" s="14" t="e">
        <f t="shared" si="15"/>
        <v>#N/A</v>
      </c>
      <c r="Q96" s="14" t="str">
        <f t="shared" si="16"/>
        <v/>
      </c>
      <c r="R96" s="16" t="str">
        <f t="shared" si="17"/>
        <v/>
      </c>
      <c r="S96" s="16" t="str">
        <f>R56</f>
        <v/>
      </c>
      <c r="T96" s="16" t="str">
        <f>R57</f>
        <v/>
      </c>
    </row>
    <row r="97" spans="1:20" ht="15" thickBot="1">
      <c r="A97" s="12"/>
      <c r="D97" s="61"/>
      <c r="F97" s="12"/>
      <c r="G97" s="14">
        <v>94</v>
      </c>
      <c r="H97" s="14" t="e">
        <f t="shared" si="10"/>
        <v>#N/A</v>
      </c>
      <c r="I97" s="14" t="e">
        <f t="shared" si="1"/>
        <v>#N/A</v>
      </c>
      <c r="J97" s="14" t="e">
        <f t="shared" si="2"/>
        <v>#N/A</v>
      </c>
      <c r="K97" s="12"/>
      <c r="L97" s="15" t="e">
        <f t="shared" si="11"/>
        <v>#N/A</v>
      </c>
      <c r="M97" s="15" t="e">
        <f t="shared" si="12"/>
        <v>#N/A</v>
      </c>
      <c r="N97" s="13" t="e">
        <f t="shared" si="13"/>
        <v>#N/A</v>
      </c>
      <c r="O97" s="13" t="e">
        <f t="shared" si="14"/>
        <v>#N/A</v>
      </c>
      <c r="P97" s="14" t="e">
        <f t="shared" si="15"/>
        <v>#N/A</v>
      </c>
      <c r="Q97" s="14" t="str">
        <f t="shared" si="16"/>
        <v/>
      </c>
      <c r="R97" s="16" t="str">
        <f t="shared" si="17"/>
        <v/>
      </c>
      <c r="S97" s="16" t="str">
        <f>R58</f>
        <v/>
      </c>
      <c r="T97" s="16" t="str">
        <f>R59</f>
        <v/>
      </c>
    </row>
    <row r="98" spans="1:20" ht="15" thickBot="1">
      <c r="A98" s="12"/>
      <c r="D98" s="61"/>
      <c r="F98"/>
      <c r="G98" s="14">
        <v>95</v>
      </c>
      <c r="H98" s="14" t="e">
        <f t="shared" si="10"/>
        <v>#N/A</v>
      </c>
      <c r="I98" s="14" t="e">
        <f t="shared" si="1"/>
        <v>#N/A</v>
      </c>
      <c r="J98" s="14" t="e">
        <f t="shared" si="2"/>
        <v>#N/A</v>
      </c>
      <c r="K98" s="12"/>
      <c r="L98" s="15" t="e">
        <f t="shared" si="11"/>
        <v>#N/A</v>
      </c>
      <c r="M98" s="15" t="e">
        <f t="shared" si="12"/>
        <v>#N/A</v>
      </c>
      <c r="N98" s="13" t="e">
        <f t="shared" si="13"/>
        <v>#N/A</v>
      </c>
      <c r="O98" s="13" t="e">
        <f t="shared" si="14"/>
        <v>#N/A</v>
      </c>
      <c r="P98" s="14" t="e">
        <f t="shared" si="15"/>
        <v>#N/A</v>
      </c>
      <c r="Q98" s="14" t="str">
        <f t="shared" si="16"/>
        <v/>
      </c>
      <c r="R98" s="16" t="str">
        <f t="shared" si="17"/>
        <v/>
      </c>
      <c r="S98" s="16" t="str">
        <f>R60</f>
        <v/>
      </c>
      <c r="T98" s="16" t="str">
        <f>R61</f>
        <v/>
      </c>
    </row>
    <row r="99" spans="1:20" ht="15" thickBot="1">
      <c r="A99" s="12"/>
      <c r="D99" s="60"/>
      <c r="F99"/>
      <c r="G99" s="14">
        <v>96</v>
      </c>
      <c r="H99" s="14" t="e">
        <f t="shared" si="10"/>
        <v>#N/A</v>
      </c>
      <c r="I99" s="14" t="e">
        <f t="shared" si="1"/>
        <v>#N/A</v>
      </c>
      <c r="J99" s="14" t="e">
        <f t="shared" si="2"/>
        <v>#N/A</v>
      </c>
      <c r="K99" s="12"/>
      <c r="L99" s="15" t="e">
        <f t="shared" si="11"/>
        <v>#N/A</v>
      </c>
      <c r="M99" s="15" t="e">
        <f t="shared" si="12"/>
        <v>#N/A</v>
      </c>
      <c r="N99" s="13" t="e">
        <f t="shared" si="13"/>
        <v>#N/A</v>
      </c>
      <c r="O99" s="13" t="e">
        <f t="shared" si="14"/>
        <v>#N/A</v>
      </c>
      <c r="P99" s="14" t="e">
        <f t="shared" si="15"/>
        <v>#N/A</v>
      </c>
      <c r="Q99" s="14" t="str">
        <f t="shared" si="16"/>
        <v/>
      </c>
      <c r="R99" s="16" t="str">
        <f t="shared" si="17"/>
        <v/>
      </c>
      <c r="S99" s="16" t="str">
        <f>R62</f>
        <v/>
      </c>
      <c r="T99" s="16" t="str">
        <f>R63</f>
        <v/>
      </c>
    </row>
    <row r="100" spans="1:20" ht="15" thickBot="1">
      <c r="A100" s="12"/>
      <c r="D100" s="61"/>
      <c r="F100"/>
      <c r="G100" s="14">
        <v>97</v>
      </c>
      <c r="H100" s="14" t="e">
        <f t="shared" si="10"/>
        <v>#N/A</v>
      </c>
      <c r="I100" s="14" t="e">
        <f t="shared" si="1"/>
        <v>#N/A</v>
      </c>
      <c r="J100" s="14" t="e">
        <f t="shared" si="2"/>
        <v>#N/A</v>
      </c>
      <c r="K100" s="12"/>
      <c r="L100" s="15" t="e">
        <f t="shared" si="11"/>
        <v>#N/A</v>
      </c>
      <c r="M100" s="15" t="e">
        <f t="shared" si="12"/>
        <v>#N/A</v>
      </c>
      <c r="N100" s="13" t="e">
        <f t="shared" si="13"/>
        <v>#N/A</v>
      </c>
      <c r="O100" s="13" t="e">
        <f t="shared" si="14"/>
        <v>#N/A</v>
      </c>
      <c r="P100" s="14" t="e">
        <f t="shared" si="15"/>
        <v>#N/A</v>
      </c>
      <c r="Q100" s="14" t="str">
        <f t="shared" si="16"/>
        <v/>
      </c>
      <c r="R100" s="16" t="str">
        <f t="shared" si="17"/>
        <v/>
      </c>
      <c r="S100" s="16" t="str">
        <f>R64</f>
        <v/>
      </c>
      <c r="T100" s="16" t="str">
        <f>R65</f>
        <v/>
      </c>
    </row>
    <row r="101" spans="1:20" ht="15" thickBot="1">
      <c r="A101" s="12"/>
      <c r="D101" s="60"/>
      <c r="F101"/>
      <c r="G101" s="14">
        <v>98</v>
      </c>
      <c r="H101" s="14" t="e">
        <f t="shared" si="10"/>
        <v>#N/A</v>
      </c>
      <c r="I101" s="14" t="e">
        <f t="shared" si="1"/>
        <v>#N/A</v>
      </c>
      <c r="J101" s="14" t="e">
        <f t="shared" si="2"/>
        <v>#N/A</v>
      </c>
      <c r="K101" s="12"/>
      <c r="L101" s="15" t="e">
        <f t="shared" si="11"/>
        <v>#N/A</v>
      </c>
      <c r="M101" s="15" t="e">
        <f t="shared" si="12"/>
        <v>#N/A</v>
      </c>
      <c r="N101" s="13" t="e">
        <f t="shared" si="13"/>
        <v>#N/A</v>
      </c>
      <c r="O101" s="13" t="e">
        <f t="shared" si="14"/>
        <v>#N/A</v>
      </c>
      <c r="P101" s="14" t="e">
        <f t="shared" si="15"/>
        <v>#N/A</v>
      </c>
      <c r="Q101" s="14" t="str">
        <f t="shared" si="16"/>
        <v/>
      </c>
      <c r="R101" s="16" t="str">
        <f t="shared" si="17"/>
        <v/>
      </c>
      <c r="S101" s="16" t="str">
        <f>R66</f>
        <v/>
      </c>
      <c r="T101" s="16" t="str">
        <f>R67</f>
        <v/>
      </c>
    </row>
    <row r="102" spans="1:20" ht="15" thickBot="1">
      <c r="A102" s="12"/>
      <c r="D102" s="60"/>
      <c r="F102" s="12"/>
      <c r="G102" s="14">
        <v>99</v>
      </c>
      <c r="H102" s="14" t="e">
        <f t="shared" si="10"/>
        <v>#N/A</v>
      </c>
      <c r="I102" s="14" t="e">
        <f t="shared" si="1"/>
        <v>#N/A</v>
      </c>
      <c r="J102" s="14" t="e">
        <f t="shared" si="2"/>
        <v>#N/A</v>
      </c>
      <c r="K102" s="12"/>
    </row>
    <row r="103" spans="1:20" ht="15" thickBot="1">
      <c r="A103" s="12"/>
      <c r="D103" s="63"/>
      <c r="F103" s="12"/>
      <c r="G103" s="14">
        <v>100</v>
      </c>
      <c r="H103" s="14" t="e">
        <f t="shared" si="10"/>
        <v>#N/A</v>
      </c>
      <c r="I103" s="14" t="e">
        <f t="shared" si="1"/>
        <v>#N/A</v>
      </c>
      <c r="J103" s="14" t="e">
        <f t="shared" si="2"/>
        <v>#N/A</v>
      </c>
      <c r="K103" s="12"/>
      <c r="M103" s="10" t="s">
        <v>64</v>
      </c>
    </row>
    <row r="104" spans="1:20" ht="15" thickBot="1">
      <c r="A104" s="12"/>
      <c r="D104" s="60"/>
      <c r="F104"/>
      <c r="G104" s="14">
        <v>101</v>
      </c>
      <c r="H104" s="14" t="e">
        <f t="shared" si="10"/>
        <v>#N/A</v>
      </c>
      <c r="I104" s="14" t="e">
        <f t="shared" si="1"/>
        <v>#N/A</v>
      </c>
      <c r="J104" s="14" t="e">
        <f t="shared" si="2"/>
        <v>#N/A</v>
      </c>
      <c r="K104" s="12"/>
      <c r="L104" s="15" t="e">
        <f t="shared" ref="L104:L119" si="18">VLOOKUP(S104,$G$150:$J$277,4,0)</f>
        <v>#N/A</v>
      </c>
      <c r="M104" s="15" t="e">
        <f t="shared" ref="M104:M119" si="19">VLOOKUP(T104,$G$150:$J$277,4,0)</f>
        <v>#N/A</v>
      </c>
      <c r="N104" s="13" t="e">
        <f t="shared" ref="N104:N119" si="20">IF(VLOOKUP(S104,$G$150:$J$277,2,0)=0,0,ROUND(SQRT(100*VLOOKUP(T104,$G$150:$J$277,2,0)/VLOOKUP(S104,$G$150:$J$277,2,0)),0))</f>
        <v>#N/A</v>
      </c>
      <c r="O104" s="13" t="e">
        <f t="shared" ref="O104:O119" si="21">IF(VLOOKUP(T104,$G$150:$J$277,2,0)=0,0,ROUND(SQRT(100*VLOOKUP(S104,$G$150:$J$277,2,0)/VLOOKUP(T104,$G$150:$J$277,2,0)),0))</f>
        <v>#N/A</v>
      </c>
      <c r="P104" s="14" t="e">
        <f t="shared" ref="P104:P119" si="22">"[color="&amp;$P$155&amp;"]"&amp;VLOOKUP(S104,$G$150:$J$277,3,0)&amp;" vs "&amp;VLOOKUP(T104,$G$150:$J$277,3,0)&amp;" ("&amp;$N104&amp;"-"&amp;$O104&amp;")[/color]"</f>
        <v>#N/A</v>
      </c>
      <c r="Q104" s="14" t="str">
        <f t="shared" ref="Q104:Q119" si="23">IF(K104&gt;0,IF(K104=1,"[color="&amp;$P$156&amp;"][b]"&amp;VLOOKUP($S104,$G$150:$J$277,3,0)&amp;"[/b] vs "&amp;VLOOKUP($T104,$G$150:$J$277,3,0)&amp;" ([b]"&amp;$N104&amp;"[/b]-"&amp;$O104&amp;")[/color]","[color="&amp;$P$156&amp;"]"&amp;VLOOKUP($S104,$G$150:$J$277,3,0)&amp;" vs [b]"&amp;VLOOKUP($T104,$G$150:$J$277,3,0)&amp;"[/b] ("&amp;$N104&amp;"-[b]"&amp;$O104&amp;"[/b])[/color]"),"")</f>
        <v/>
      </c>
      <c r="R104" s="16" t="str">
        <f t="shared" ref="R104:R119" si="24">IF(K104&gt;0,IF(K104=1,S104,T104),"")</f>
        <v/>
      </c>
      <c r="S104" s="16" t="str">
        <f>R70</f>
        <v/>
      </c>
      <c r="T104" s="16" t="str">
        <f>R71</f>
        <v/>
      </c>
    </row>
    <row r="105" spans="1:20" ht="15" thickBot="1">
      <c r="A105" s="12"/>
      <c r="D105" s="61"/>
      <c r="F105"/>
      <c r="G105" s="14">
        <v>102</v>
      </c>
      <c r="H105" s="14" t="e">
        <f t="shared" si="10"/>
        <v>#N/A</v>
      </c>
      <c r="I105" s="14" t="e">
        <f t="shared" si="1"/>
        <v>#N/A</v>
      </c>
      <c r="J105" s="14" t="e">
        <f t="shared" si="2"/>
        <v>#N/A</v>
      </c>
      <c r="K105" s="12"/>
      <c r="L105" s="15" t="e">
        <f t="shared" si="18"/>
        <v>#N/A</v>
      </c>
      <c r="M105" s="15" t="e">
        <f t="shared" si="19"/>
        <v>#N/A</v>
      </c>
      <c r="N105" s="13" t="e">
        <f t="shared" si="20"/>
        <v>#N/A</v>
      </c>
      <c r="O105" s="13" t="e">
        <f t="shared" si="21"/>
        <v>#N/A</v>
      </c>
      <c r="P105" s="14" t="e">
        <f t="shared" si="22"/>
        <v>#N/A</v>
      </c>
      <c r="Q105" s="14" t="str">
        <f t="shared" si="23"/>
        <v/>
      </c>
      <c r="R105" s="16" t="str">
        <f t="shared" si="24"/>
        <v/>
      </c>
      <c r="S105" s="16" t="str">
        <f>R72</f>
        <v/>
      </c>
      <c r="T105" s="16" t="str">
        <f>R73</f>
        <v/>
      </c>
    </row>
    <row r="106" spans="1:20" ht="15" thickBot="1">
      <c r="A106" s="12"/>
      <c r="D106" s="61"/>
      <c r="F106"/>
      <c r="G106" s="14">
        <v>103</v>
      </c>
      <c r="H106" s="14" t="e">
        <f t="shared" si="10"/>
        <v>#N/A</v>
      </c>
      <c r="I106" s="14" t="e">
        <f t="shared" si="1"/>
        <v>#N/A</v>
      </c>
      <c r="J106" s="14" t="e">
        <f t="shared" si="2"/>
        <v>#N/A</v>
      </c>
      <c r="K106" s="12"/>
      <c r="L106" s="15" t="e">
        <f t="shared" si="18"/>
        <v>#N/A</v>
      </c>
      <c r="M106" s="15" t="e">
        <f t="shared" si="19"/>
        <v>#N/A</v>
      </c>
      <c r="N106" s="13" t="e">
        <f t="shared" si="20"/>
        <v>#N/A</v>
      </c>
      <c r="O106" s="13" t="e">
        <f t="shared" si="21"/>
        <v>#N/A</v>
      </c>
      <c r="P106" s="14" t="e">
        <f t="shared" si="22"/>
        <v>#N/A</v>
      </c>
      <c r="Q106" s="14" t="str">
        <f t="shared" si="23"/>
        <v/>
      </c>
      <c r="R106" s="16" t="str">
        <f t="shared" si="24"/>
        <v/>
      </c>
      <c r="S106" s="16" t="str">
        <f>R74</f>
        <v/>
      </c>
      <c r="T106" s="16" t="str">
        <f>R75</f>
        <v/>
      </c>
    </row>
    <row r="107" spans="1:20" ht="15" thickBot="1">
      <c r="A107" s="12"/>
      <c r="D107" s="61"/>
      <c r="F107"/>
      <c r="G107" s="14">
        <v>104</v>
      </c>
      <c r="H107" s="14" t="e">
        <f t="shared" si="10"/>
        <v>#N/A</v>
      </c>
      <c r="I107" s="14" t="e">
        <f t="shared" si="1"/>
        <v>#N/A</v>
      </c>
      <c r="J107" s="14" t="e">
        <f t="shared" si="2"/>
        <v>#N/A</v>
      </c>
      <c r="K107" s="12"/>
      <c r="L107" s="15" t="e">
        <f t="shared" si="18"/>
        <v>#N/A</v>
      </c>
      <c r="M107" s="15" t="e">
        <f t="shared" si="19"/>
        <v>#N/A</v>
      </c>
      <c r="N107" s="13" t="e">
        <f t="shared" si="20"/>
        <v>#N/A</v>
      </c>
      <c r="O107" s="13" t="e">
        <f t="shared" si="21"/>
        <v>#N/A</v>
      </c>
      <c r="P107" s="14" t="e">
        <f t="shared" si="22"/>
        <v>#N/A</v>
      </c>
      <c r="Q107" s="14" t="str">
        <f t="shared" si="23"/>
        <v/>
      </c>
      <c r="R107" s="16" t="str">
        <f t="shared" si="24"/>
        <v/>
      </c>
      <c r="S107" s="16" t="str">
        <f>R76</f>
        <v/>
      </c>
      <c r="T107" s="16" t="str">
        <f>R77</f>
        <v/>
      </c>
    </row>
    <row r="108" spans="1:20" ht="15" thickBot="1">
      <c r="A108" s="12"/>
      <c r="D108" s="61"/>
      <c r="F108"/>
      <c r="G108" s="14">
        <v>105</v>
      </c>
      <c r="H108" s="14" t="e">
        <f t="shared" si="10"/>
        <v>#N/A</v>
      </c>
      <c r="I108" s="14" t="e">
        <f t="shared" si="1"/>
        <v>#N/A</v>
      </c>
      <c r="J108" s="14" t="e">
        <f t="shared" si="2"/>
        <v>#N/A</v>
      </c>
      <c r="K108" s="12"/>
      <c r="L108" s="15" t="e">
        <f t="shared" si="18"/>
        <v>#N/A</v>
      </c>
      <c r="M108" s="15" t="e">
        <f t="shared" si="19"/>
        <v>#N/A</v>
      </c>
      <c r="N108" s="13" t="e">
        <f t="shared" si="20"/>
        <v>#N/A</v>
      </c>
      <c r="O108" s="13" t="e">
        <f t="shared" si="21"/>
        <v>#N/A</v>
      </c>
      <c r="P108" s="14" t="e">
        <f t="shared" si="22"/>
        <v>#N/A</v>
      </c>
      <c r="Q108" s="14" t="str">
        <f t="shared" si="23"/>
        <v/>
      </c>
      <c r="R108" s="16" t="str">
        <f t="shared" si="24"/>
        <v/>
      </c>
      <c r="S108" s="16" t="str">
        <f>R78</f>
        <v/>
      </c>
      <c r="T108" s="16" t="str">
        <f>R79</f>
        <v/>
      </c>
    </row>
    <row r="109" spans="1:20" ht="15" thickBot="1">
      <c r="A109" s="12"/>
      <c r="D109" s="61"/>
      <c r="F109"/>
      <c r="G109" s="14">
        <v>106</v>
      </c>
      <c r="H109" s="14" t="e">
        <f t="shared" si="10"/>
        <v>#N/A</v>
      </c>
      <c r="I109" s="14" t="e">
        <f t="shared" si="1"/>
        <v>#N/A</v>
      </c>
      <c r="J109" s="14" t="e">
        <f t="shared" si="2"/>
        <v>#N/A</v>
      </c>
      <c r="K109" s="12"/>
      <c r="L109" s="15" t="e">
        <f t="shared" si="18"/>
        <v>#N/A</v>
      </c>
      <c r="M109" s="15" t="e">
        <f t="shared" si="19"/>
        <v>#N/A</v>
      </c>
      <c r="N109" s="13" t="e">
        <f t="shared" si="20"/>
        <v>#N/A</v>
      </c>
      <c r="O109" s="13" t="e">
        <f t="shared" si="21"/>
        <v>#N/A</v>
      </c>
      <c r="P109" s="14" t="e">
        <f t="shared" si="22"/>
        <v>#N/A</v>
      </c>
      <c r="Q109" s="14" t="str">
        <f t="shared" si="23"/>
        <v/>
      </c>
      <c r="R109" s="16" t="str">
        <f t="shared" si="24"/>
        <v/>
      </c>
      <c r="S109" s="16" t="str">
        <f>R80</f>
        <v/>
      </c>
      <c r="T109" s="16" t="str">
        <f>R81</f>
        <v/>
      </c>
    </row>
    <row r="110" spans="1:20" ht="15" thickBot="1">
      <c r="A110" s="12"/>
      <c r="D110" s="61"/>
      <c r="F110"/>
      <c r="G110" s="14">
        <v>107</v>
      </c>
      <c r="H110" s="14" t="e">
        <f t="shared" si="10"/>
        <v>#N/A</v>
      </c>
      <c r="I110" s="14" t="e">
        <f t="shared" si="1"/>
        <v>#N/A</v>
      </c>
      <c r="J110" s="14" t="e">
        <f t="shared" si="2"/>
        <v>#N/A</v>
      </c>
      <c r="K110" s="12"/>
      <c r="L110" s="15" t="e">
        <f t="shared" si="18"/>
        <v>#N/A</v>
      </c>
      <c r="M110" s="15" t="e">
        <f t="shared" si="19"/>
        <v>#N/A</v>
      </c>
      <c r="N110" s="13" t="e">
        <f t="shared" si="20"/>
        <v>#N/A</v>
      </c>
      <c r="O110" s="13" t="e">
        <f t="shared" si="21"/>
        <v>#N/A</v>
      </c>
      <c r="P110" s="14" t="e">
        <f t="shared" si="22"/>
        <v>#N/A</v>
      </c>
      <c r="Q110" s="14" t="str">
        <f t="shared" si="23"/>
        <v/>
      </c>
      <c r="R110" s="16" t="str">
        <f t="shared" si="24"/>
        <v/>
      </c>
      <c r="S110" s="16" t="str">
        <f>R82</f>
        <v/>
      </c>
      <c r="T110" s="16" t="str">
        <f>R83</f>
        <v/>
      </c>
    </row>
    <row r="111" spans="1:20" ht="15" thickBot="1">
      <c r="A111" s="12"/>
      <c r="D111" s="60"/>
      <c r="F111"/>
      <c r="G111" s="14">
        <v>108</v>
      </c>
      <c r="H111" s="14" t="e">
        <f t="shared" si="10"/>
        <v>#N/A</v>
      </c>
      <c r="I111" s="14" t="e">
        <f t="shared" si="1"/>
        <v>#N/A</v>
      </c>
      <c r="J111" s="14" t="e">
        <f t="shared" si="2"/>
        <v>#N/A</v>
      </c>
      <c r="K111" s="12"/>
      <c r="L111" s="15" t="e">
        <f t="shared" si="18"/>
        <v>#N/A</v>
      </c>
      <c r="M111" s="15" t="e">
        <f t="shared" si="19"/>
        <v>#N/A</v>
      </c>
      <c r="N111" s="13" t="e">
        <f t="shared" si="20"/>
        <v>#N/A</v>
      </c>
      <c r="O111" s="13" t="e">
        <f t="shared" si="21"/>
        <v>#N/A</v>
      </c>
      <c r="P111" s="14" t="e">
        <f t="shared" si="22"/>
        <v>#N/A</v>
      </c>
      <c r="Q111" s="14" t="str">
        <f t="shared" si="23"/>
        <v/>
      </c>
      <c r="R111" s="16" t="str">
        <f t="shared" si="24"/>
        <v/>
      </c>
      <c r="S111" s="16" t="str">
        <f>R84</f>
        <v/>
      </c>
      <c r="T111" s="16" t="str">
        <f>R85</f>
        <v/>
      </c>
    </row>
    <row r="112" spans="1:20" ht="15" thickBot="1">
      <c r="A112" s="12"/>
      <c r="D112" s="60"/>
      <c r="F112"/>
      <c r="G112" s="14">
        <v>109</v>
      </c>
      <c r="H112" s="14" t="e">
        <f t="shared" si="10"/>
        <v>#N/A</v>
      </c>
      <c r="I112" s="14" t="e">
        <f t="shared" si="1"/>
        <v>#N/A</v>
      </c>
      <c r="J112" s="14" t="e">
        <f t="shared" si="2"/>
        <v>#N/A</v>
      </c>
      <c r="K112" s="12"/>
      <c r="L112" s="15" t="e">
        <f t="shared" si="18"/>
        <v>#N/A</v>
      </c>
      <c r="M112" s="15" t="e">
        <f t="shared" si="19"/>
        <v>#N/A</v>
      </c>
      <c r="N112" s="13" t="e">
        <f t="shared" si="20"/>
        <v>#N/A</v>
      </c>
      <c r="O112" s="13" t="e">
        <f t="shared" si="21"/>
        <v>#N/A</v>
      </c>
      <c r="P112" s="14" t="e">
        <f t="shared" si="22"/>
        <v>#N/A</v>
      </c>
      <c r="Q112" s="14" t="str">
        <f t="shared" si="23"/>
        <v/>
      </c>
      <c r="R112" s="16" t="str">
        <f t="shared" si="24"/>
        <v/>
      </c>
      <c r="S112" s="16" t="str">
        <f>R86</f>
        <v/>
      </c>
      <c r="T112" s="16" t="str">
        <f>R87</f>
        <v/>
      </c>
    </row>
    <row r="113" spans="1:20" ht="15" thickBot="1">
      <c r="A113" s="12"/>
      <c r="D113" s="60"/>
      <c r="F113"/>
      <c r="G113" s="14">
        <v>110</v>
      </c>
      <c r="H113" s="14" t="e">
        <f t="shared" si="10"/>
        <v>#N/A</v>
      </c>
      <c r="I113" s="14" t="e">
        <f t="shared" si="1"/>
        <v>#N/A</v>
      </c>
      <c r="J113" s="14" t="e">
        <f t="shared" si="2"/>
        <v>#N/A</v>
      </c>
      <c r="K113" s="12"/>
      <c r="L113" s="15" t="e">
        <f t="shared" si="18"/>
        <v>#N/A</v>
      </c>
      <c r="M113" s="15" t="e">
        <f t="shared" si="19"/>
        <v>#N/A</v>
      </c>
      <c r="N113" s="13" t="e">
        <f t="shared" si="20"/>
        <v>#N/A</v>
      </c>
      <c r="O113" s="13" t="e">
        <f t="shared" si="21"/>
        <v>#N/A</v>
      </c>
      <c r="P113" s="14" t="e">
        <f t="shared" si="22"/>
        <v>#N/A</v>
      </c>
      <c r="Q113" s="14" t="str">
        <f t="shared" si="23"/>
        <v/>
      </c>
      <c r="R113" s="16" t="str">
        <f t="shared" si="24"/>
        <v/>
      </c>
      <c r="S113" s="16" t="str">
        <f>R88</f>
        <v/>
      </c>
      <c r="T113" s="16" t="str">
        <f>R89</f>
        <v/>
      </c>
    </row>
    <row r="114" spans="1:20" ht="15" thickBot="1">
      <c r="A114" s="12"/>
      <c r="D114" s="60"/>
      <c r="F114"/>
      <c r="G114" s="14">
        <v>111</v>
      </c>
      <c r="H114" s="14" t="e">
        <f t="shared" si="10"/>
        <v>#N/A</v>
      </c>
      <c r="I114" s="14" t="e">
        <f t="shared" si="1"/>
        <v>#N/A</v>
      </c>
      <c r="J114" s="14" t="e">
        <f t="shared" si="2"/>
        <v>#N/A</v>
      </c>
      <c r="K114" s="12"/>
      <c r="L114" s="15" t="e">
        <f t="shared" si="18"/>
        <v>#N/A</v>
      </c>
      <c r="M114" s="15" t="e">
        <f t="shared" si="19"/>
        <v>#N/A</v>
      </c>
      <c r="N114" s="13" t="e">
        <f t="shared" si="20"/>
        <v>#N/A</v>
      </c>
      <c r="O114" s="13" t="e">
        <f t="shared" si="21"/>
        <v>#N/A</v>
      </c>
      <c r="P114" s="14" t="e">
        <f t="shared" si="22"/>
        <v>#N/A</v>
      </c>
      <c r="Q114" s="14" t="str">
        <f t="shared" si="23"/>
        <v/>
      </c>
      <c r="R114" s="16" t="str">
        <f t="shared" si="24"/>
        <v/>
      </c>
      <c r="S114" s="16" t="str">
        <f>R90</f>
        <v/>
      </c>
      <c r="T114" s="16" t="str">
        <f>R91</f>
        <v/>
      </c>
    </row>
    <row r="115" spans="1:20" ht="15" thickBot="1">
      <c r="A115" s="12"/>
      <c r="D115" s="60"/>
      <c r="F115"/>
      <c r="G115" s="14">
        <v>112</v>
      </c>
      <c r="H115" s="14" t="e">
        <f t="shared" si="10"/>
        <v>#N/A</v>
      </c>
      <c r="I115" s="14" t="e">
        <f t="shared" si="1"/>
        <v>#N/A</v>
      </c>
      <c r="J115" s="14" t="e">
        <f t="shared" si="2"/>
        <v>#N/A</v>
      </c>
      <c r="K115" s="12"/>
      <c r="L115" s="15" t="e">
        <f t="shared" si="18"/>
        <v>#N/A</v>
      </c>
      <c r="M115" s="15" t="e">
        <f t="shared" si="19"/>
        <v>#N/A</v>
      </c>
      <c r="N115" s="13" t="e">
        <f t="shared" si="20"/>
        <v>#N/A</v>
      </c>
      <c r="O115" s="13" t="e">
        <f t="shared" si="21"/>
        <v>#N/A</v>
      </c>
      <c r="P115" s="14" t="e">
        <f t="shared" si="22"/>
        <v>#N/A</v>
      </c>
      <c r="Q115" s="14" t="str">
        <f t="shared" si="23"/>
        <v/>
      </c>
      <c r="R115" s="16" t="str">
        <f t="shared" si="24"/>
        <v/>
      </c>
      <c r="S115" s="16" t="str">
        <f>R92</f>
        <v/>
      </c>
      <c r="T115" s="16" t="str">
        <f>R93</f>
        <v/>
      </c>
    </row>
    <row r="116" spans="1:20" ht="15" thickBot="1">
      <c r="A116" s="12"/>
      <c r="D116" s="61"/>
      <c r="F116"/>
      <c r="G116" s="14">
        <v>113</v>
      </c>
      <c r="H116" s="14" t="e">
        <f t="shared" si="10"/>
        <v>#N/A</v>
      </c>
      <c r="I116" s="14" t="e">
        <f t="shared" si="1"/>
        <v>#N/A</v>
      </c>
      <c r="J116" s="14" t="e">
        <f t="shared" si="2"/>
        <v>#N/A</v>
      </c>
      <c r="K116" s="12"/>
      <c r="L116" s="15" t="e">
        <f t="shared" si="18"/>
        <v>#N/A</v>
      </c>
      <c r="M116" s="15" t="e">
        <f t="shared" si="19"/>
        <v>#N/A</v>
      </c>
      <c r="N116" s="13" t="e">
        <f t="shared" si="20"/>
        <v>#N/A</v>
      </c>
      <c r="O116" s="13" t="e">
        <f t="shared" si="21"/>
        <v>#N/A</v>
      </c>
      <c r="P116" s="14" t="e">
        <f t="shared" si="22"/>
        <v>#N/A</v>
      </c>
      <c r="Q116" s="14" t="str">
        <f t="shared" si="23"/>
        <v/>
      </c>
      <c r="R116" s="16" t="str">
        <f t="shared" si="24"/>
        <v/>
      </c>
      <c r="S116" s="16" t="str">
        <f>R94</f>
        <v/>
      </c>
      <c r="T116" s="16" t="str">
        <f>R95</f>
        <v/>
      </c>
    </row>
    <row r="117" spans="1:20" ht="15" thickBot="1">
      <c r="A117" s="12"/>
      <c r="D117" s="60"/>
      <c r="F117"/>
      <c r="G117" s="14">
        <v>114</v>
      </c>
      <c r="H117" s="14" t="e">
        <f t="shared" si="10"/>
        <v>#N/A</v>
      </c>
      <c r="I117" s="14" t="e">
        <f t="shared" si="1"/>
        <v>#N/A</v>
      </c>
      <c r="J117" s="14" t="e">
        <f t="shared" si="2"/>
        <v>#N/A</v>
      </c>
      <c r="K117" s="12"/>
      <c r="L117" s="15" t="e">
        <f t="shared" si="18"/>
        <v>#N/A</v>
      </c>
      <c r="M117" s="15" t="e">
        <f t="shared" si="19"/>
        <v>#N/A</v>
      </c>
      <c r="N117" s="13" t="e">
        <f t="shared" si="20"/>
        <v>#N/A</v>
      </c>
      <c r="O117" s="13" t="e">
        <f t="shared" si="21"/>
        <v>#N/A</v>
      </c>
      <c r="P117" s="14" t="e">
        <f t="shared" si="22"/>
        <v>#N/A</v>
      </c>
      <c r="Q117" s="14" t="str">
        <f t="shared" si="23"/>
        <v/>
      </c>
      <c r="R117" s="16" t="str">
        <f t="shared" si="24"/>
        <v/>
      </c>
      <c r="S117" s="16" t="str">
        <f>R96</f>
        <v/>
      </c>
      <c r="T117" s="16" t="str">
        <f>R97</f>
        <v/>
      </c>
    </row>
    <row r="118" spans="1:20" ht="15" thickBot="1">
      <c r="A118" s="12"/>
      <c r="D118" s="60"/>
      <c r="F118" s="12"/>
      <c r="G118" s="14">
        <v>115</v>
      </c>
      <c r="H118" s="14" t="e">
        <f t="shared" si="10"/>
        <v>#N/A</v>
      </c>
      <c r="I118" s="14" t="e">
        <f t="shared" si="1"/>
        <v>#N/A</v>
      </c>
      <c r="J118" s="14" t="e">
        <f t="shared" si="2"/>
        <v>#N/A</v>
      </c>
      <c r="K118" s="12"/>
      <c r="L118" s="15" t="e">
        <f t="shared" si="18"/>
        <v>#N/A</v>
      </c>
      <c r="M118" s="15" t="e">
        <f t="shared" si="19"/>
        <v>#N/A</v>
      </c>
      <c r="N118" s="13" t="e">
        <f t="shared" si="20"/>
        <v>#N/A</v>
      </c>
      <c r="O118" s="13" t="e">
        <f t="shared" si="21"/>
        <v>#N/A</v>
      </c>
      <c r="P118" s="14" t="e">
        <f t="shared" si="22"/>
        <v>#N/A</v>
      </c>
      <c r="Q118" s="14" t="str">
        <f t="shared" si="23"/>
        <v/>
      </c>
      <c r="R118" s="16" t="str">
        <f t="shared" si="24"/>
        <v/>
      </c>
      <c r="S118" s="16" t="str">
        <f>R98</f>
        <v/>
      </c>
      <c r="T118" s="16" t="str">
        <f>R99</f>
        <v/>
      </c>
    </row>
    <row r="119" spans="1:20" ht="15" thickBot="1">
      <c r="A119" s="12"/>
      <c r="D119" s="60"/>
      <c r="F119" s="12"/>
      <c r="G119" s="14">
        <v>116</v>
      </c>
      <c r="H119" s="14" t="e">
        <f t="shared" si="10"/>
        <v>#N/A</v>
      </c>
      <c r="I119" s="14" t="e">
        <f t="shared" si="1"/>
        <v>#N/A</v>
      </c>
      <c r="J119" s="14" t="e">
        <f t="shared" si="2"/>
        <v>#N/A</v>
      </c>
      <c r="K119" s="12"/>
      <c r="L119" s="15" t="e">
        <f t="shared" si="18"/>
        <v>#N/A</v>
      </c>
      <c r="M119" s="15" t="e">
        <f t="shared" si="19"/>
        <v>#N/A</v>
      </c>
      <c r="N119" s="13" t="e">
        <f t="shared" si="20"/>
        <v>#N/A</v>
      </c>
      <c r="O119" s="13" t="e">
        <f t="shared" si="21"/>
        <v>#N/A</v>
      </c>
      <c r="P119" s="14" t="e">
        <f t="shared" si="22"/>
        <v>#N/A</v>
      </c>
      <c r="Q119" s="14" t="str">
        <f t="shared" si="23"/>
        <v/>
      </c>
      <c r="R119" s="16" t="str">
        <f t="shared" si="24"/>
        <v/>
      </c>
      <c r="S119" s="16" t="str">
        <f>R100</f>
        <v/>
      </c>
      <c r="T119" s="16" t="str">
        <f>R101</f>
        <v/>
      </c>
    </row>
    <row r="120" spans="1:20" ht="15" thickBot="1">
      <c r="A120" s="12"/>
      <c r="D120" s="60"/>
      <c r="F120"/>
      <c r="G120" s="14">
        <v>117</v>
      </c>
      <c r="H120" s="14" t="e">
        <f t="shared" si="10"/>
        <v>#N/A</v>
      </c>
      <c r="I120" s="14" t="e">
        <f t="shared" si="1"/>
        <v>#N/A</v>
      </c>
      <c r="J120" s="14" t="e">
        <f t="shared" si="2"/>
        <v>#N/A</v>
      </c>
      <c r="K120" s="12"/>
    </row>
    <row r="121" spans="1:20" ht="15" thickBot="1">
      <c r="A121" s="12"/>
      <c r="D121" s="60"/>
      <c r="F121"/>
      <c r="G121" s="14">
        <v>118</v>
      </c>
      <c r="H121" s="14" t="e">
        <f t="shared" si="10"/>
        <v>#N/A</v>
      </c>
      <c r="I121" s="14" t="e">
        <f t="shared" si="1"/>
        <v>#N/A</v>
      </c>
      <c r="J121" s="14" t="e">
        <f t="shared" si="2"/>
        <v>#N/A</v>
      </c>
      <c r="K121" s="12"/>
      <c r="M121" s="10" t="s">
        <v>65</v>
      </c>
    </row>
    <row r="122" spans="1:20" ht="15" thickBot="1">
      <c r="A122" s="12"/>
      <c r="D122" s="60"/>
      <c r="F122"/>
      <c r="G122" s="14">
        <v>119</v>
      </c>
      <c r="H122" s="14" t="e">
        <f t="shared" si="10"/>
        <v>#N/A</v>
      </c>
      <c r="I122" s="14" t="e">
        <f t="shared" si="1"/>
        <v>#N/A</v>
      </c>
      <c r="J122" s="14" t="e">
        <f t="shared" si="2"/>
        <v>#N/A</v>
      </c>
      <c r="K122" s="12"/>
      <c r="L122" s="15" t="e">
        <f t="shared" ref="L122:L129" si="25">VLOOKUP(S122,$G$150:$J$277,4,0)</f>
        <v>#N/A</v>
      </c>
      <c r="M122" s="15" t="e">
        <f t="shared" ref="M122:M129" si="26">VLOOKUP(T122,$G$150:$J$277,4,0)</f>
        <v>#N/A</v>
      </c>
      <c r="N122" s="13" t="e">
        <f t="shared" ref="N122:N129" si="27">IF(VLOOKUP(S122,$G$150:$J$277,2,0)=0,0,ROUND(SQRT(100*VLOOKUP(T122,$G$150:$J$277,2,0)/VLOOKUP(S122,$G$150:$J$277,2,0)),0))</f>
        <v>#N/A</v>
      </c>
      <c r="O122" s="13" t="e">
        <f t="shared" ref="O122:O129" si="28">IF(VLOOKUP(T122,$G$150:$J$277,2,0)=0,0,ROUND(SQRT(100*VLOOKUP(S122,$G$150:$J$277,2,0)/VLOOKUP(T122,$G$150:$J$277,2,0)),0))</f>
        <v>#N/A</v>
      </c>
      <c r="P122" s="14" t="e">
        <f t="shared" ref="P122:P129" si="29">"[color="&amp;$P$155&amp;"]"&amp;VLOOKUP(S122,$G$150:$J$277,3,0)&amp;" vs "&amp;VLOOKUP(T122,$G$150:$J$277,3,0)&amp;" ("&amp;$N122&amp;"-"&amp;$O122&amp;")[/color]"</f>
        <v>#N/A</v>
      </c>
      <c r="Q122" s="14" t="str">
        <f t="shared" ref="Q122:Q129" si="30">IF(K122&gt;0,IF(K122=1,"[color="&amp;$P$156&amp;"][b]"&amp;VLOOKUP($S122,$G$150:$J$277,3,0)&amp;"[/b] vs "&amp;VLOOKUP($T122,$G$150:$J$277,3,0)&amp;" ([b]"&amp;$N122&amp;"[/b]-"&amp;$O122&amp;")[/color]","[color="&amp;$P$156&amp;"]"&amp;VLOOKUP($S122,$G$150:$J$277,3,0)&amp;" vs [b]"&amp;VLOOKUP($T122,$G$150:$J$277,3,0)&amp;"[/b] ("&amp;$N122&amp;"-[b]"&amp;$O122&amp;"[/b])[/color]"),"")</f>
        <v/>
      </c>
      <c r="R122" s="16" t="str">
        <f t="shared" ref="R122:R129" si="31">IF(K122&gt;0,IF(K122=1,S122,T122),"")</f>
        <v/>
      </c>
      <c r="S122" s="16" t="str">
        <f>R104</f>
        <v/>
      </c>
      <c r="T122" s="16" t="str">
        <f>R105</f>
        <v/>
      </c>
    </row>
    <row r="123" spans="1:20" ht="15" thickBot="1">
      <c r="A123" s="12"/>
      <c r="D123" s="61"/>
      <c r="F123"/>
      <c r="G123" s="14">
        <v>120</v>
      </c>
      <c r="H123" s="14" t="e">
        <f t="shared" si="10"/>
        <v>#N/A</v>
      </c>
      <c r="I123" s="14" t="e">
        <f t="shared" si="1"/>
        <v>#N/A</v>
      </c>
      <c r="J123" s="14" t="e">
        <f t="shared" si="2"/>
        <v>#N/A</v>
      </c>
      <c r="K123" s="12"/>
      <c r="L123" s="15" t="e">
        <f t="shared" si="25"/>
        <v>#N/A</v>
      </c>
      <c r="M123" s="15" t="e">
        <f t="shared" si="26"/>
        <v>#N/A</v>
      </c>
      <c r="N123" s="13" t="e">
        <f t="shared" si="27"/>
        <v>#N/A</v>
      </c>
      <c r="O123" s="13" t="e">
        <f t="shared" si="28"/>
        <v>#N/A</v>
      </c>
      <c r="P123" s="14" t="e">
        <f t="shared" si="29"/>
        <v>#N/A</v>
      </c>
      <c r="Q123" s="14" t="str">
        <f t="shared" si="30"/>
        <v/>
      </c>
      <c r="R123" s="16" t="str">
        <f t="shared" si="31"/>
        <v/>
      </c>
      <c r="S123" s="16" t="str">
        <f>R106</f>
        <v/>
      </c>
      <c r="T123" s="16" t="str">
        <f>R107</f>
        <v/>
      </c>
    </row>
    <row r="124" spans="1:20" ht="15" thickBot="1">
      <c r="A124" s="12"/>
      <c r="D124" s="60"/>
      <c r="F124"/>
      <c r="G124" s="14">
        <v>121</v>
      </c>
      <c r="H124" s="14" t="e">
        <f t="shared" si="10"/>
        <v>#N/A</v>
      </c>
      <c r="I124" s="14" t="e">
        <f t="shared" si="1"/>
        <v>#N/A</v>
      </c>
      <c r="J124" s="14" t="e">
        <f t="shared" si="2"/>
        <v>#N/A</v>
      </c>
      <c r="K124" s="12"/>
      <c r="L124" s="15" t="e">
        <f t="shared" si="25"/>
        <v>#N/A</v>
      </c>
      <c r="M124" s="15" t="e">
        <f t="shared" si="26"/>
        <v>#N/A</v>
      </c>
      <c r="N124" s="13" t="e">
        <f t="shared" si="27"/>
        <v>#N/A</v>
      </c>
      <c r="O124" s="13" t="e">
        <f t="shared" si="28"/>
        <v>#N/A</v>
      </c>
      <c r="P124" s="14" t="e">
        <f t="shared" si="29"/>
        <v>#N/A</v>
      </c>
      <c r="Q124" s="14" t="str">
        <f t="shared" si="30"/>
        <v/>
      </c>
      <c r="R124" s="16" t="str">
        <f t="shared" si="31"/>
        <v/>
      </c>
      <c r="S124" s="16" t="str">
        <f>R108</f>
        <v/>
      </c>
      <c r="T124" s="16" t="str">
        <f>R109</f>
        <v/>
      </c>
    </row>
    <row r="125" spans="1:20" ht="15" thickBot="1">
      <c r="A125" s="12"/>
      <c r="D125" s="61"/>
      <c r="F125"/>
      <c r="G125" s="14">
        <v>122</v>
      </c>
      <c r="H125" s="14" t="e">
        <f t="shared" si="10"/>
        <v>#N/A</v>
      </c>
      <c r="I125" s="14" t="e">
        <f t="shared" si="1"/>
        <v>#N/A</v>
      </c>
      <c r="J125" s="14" t="e">
        <f t="shared" si="2"/>
        <v>#N/A</v>
      </c>
      <c r="K125" s="12"/>
      <c r="L125" s="15" t="e">
        <f t="shared" si="25"/>
        <v>#N/A</v>
      </c>
      <c r="M125" s="15" t="e">
        <f t="shared" si="26"/>
        <v>#N/A</v>
      </c>
      <c r="N125" s="13" t="e">
        <f t="shared" si="27"/>
        <v>#N/A</v>
      </c>
      <c r="O125" s="13" t="e">
        <f t="shared" si="28"/>
        <v>#N/A</v>
      </c>
      <c r="P125" s="14" t="e">
        <f t="shared" si="29"/>
        <v>#N/A</v>
      </c>
      <c r="Q125" s="14" t="str">
        <f t="shared" si="30"/>
        <v/>
      </c>
      <c r="R125" s="16" t="str">
        <f t="shared" si="31"/>
        <v/>
      </c>
      <c r="S125" s="16" t="str">
        <f>R110</f>
        <v/>
      </c>
      <c r="T125" s="16" t="str">
        <f>R111</f>
        <v/>
      </c>
    </row>
    <row r="126" spans="1:20" ht="15" thickBot="1">
      <c r="A126" s="12"/>
      <c r="D126" s="63"/>
      <c r="F126"/>
      <c r="G126" s="14">
        <v>123</v>
      </c>
      <c r="H126" s="14" t="e">
        <f t="shared" si="10"/>
        <v>#N/A</v>
      </c>
      <c r="I126" s="14" t="e">
        <f t="shared" si="1"/>
        <v>#N/A</v>
      </c>
      <c r="J126" s="14" t="e">
        <f t="shared" si="2"/>
        <v>#N/A</v>
      </c>
      <c r="K126" s="12"/>
      <c r="L126" s="15" t="e">
        <f t="shared" si="25"/>
        <v>#N/A</v>
      </c>
      <c r="M126" s="15" t="e">
        <f t="shared" si="26"/>
        <v>#N/A</v>
      </c>
      <c r="N126" s="13" t="e">
        <f t="shared" si="27"/>
        <v>#N/A</v>
      </c>
      <c r="O126" s="13" t="e">
        <f t="shared" si="28"/>
        <v>#N/A</v>
      </c>
      <c r="P126" s="14" t="e">
        <f t="shared" si="29"/>
        <v>#N/A</v>
      </c>
      <c r="Q126" s="14" t="str">
        <f t="shared" si="30"/>
        <v/>
      </c>
      <c r="R126" s="16" t="str">
        <f t="shared" si="31"/>
        <v/>
      </c>
      <c r="S126" s="16" t="str">
        <f>R112</f>
        <v/>
      </c>
      <c r="T126" s="16" t="str">
        <f>R113</f>
        <v/>
      </c>
    </row>
    <row r="127" spans="1:20" ht="15" thickBot="1">
      <c r="A127" s="12"/>
      <c r="D127" s="61"/>
      <c r="F127" s="12"/>
      <c r="G127" s="14">
        <v>124</v>
      </c>
      <c r="H127" s="14" t="e">
        <f t="shared" si="10"/>
        <v>#N/A</v>
      </c>
      <c r="I127" s="14" t="e">
        <f t="shared" si="1"/>
        <v>#N/A</v>
      </c>
      <c r="J127" s="14" t="e">
        <f t="shared" si="2"/>
        <v>#N/A</v>
      </c>
      <c r="K127" s="12"/>
      <c r="L127" s="15" t="e">
        <f t="shared" si="25"/>
        <v>#N/A</v>
      </c>
      <c r="M127" s="15" t="e">
        <f t="shared" si="26"/>
        <v>#N/A</v>
      </c>
      <c r="N127" s="13" t="e">
        <f t="shared" si="27"/>
        <v>#N/A</v>
      </c>
      <c r="O127" s="13" t="e">
        <f t="shared" si="28"/>
        <v>#N/A</v>
      </c>
      <c r="P127" s="14" t="e">
        <f t="shared" si="29"/>
        <v>#N/A</v>
      </c>
      <c r="Q127" s="14" t="str">
        <f t="shared" si="30"/>
        <v/>
      </c>
      <c r="R127" s="16" t="str">
        <f t="shared" si="31"/>
        <v/>
      </c>
      <c r="S127" s="16" t="str">
        <f>R114</f>
        <v/>
      </c>
      <c r="T127" s="16" t="str">
        <f>R115</f>
        <v/>
      </c>
    </row>
    <row r="128" spans="1:20" ht="15" thickBot="1">
      <c r="A128" s="12"/>
      <c r="D128" s="61"/>
      <c r="F128"/>
      <c r="G128" s="14">
        <v>125</v>
      </c>
      <c r="H128" s="14" t="e">
        <f t="shared" si="10"/>
        <v>#N/A</v>
      </c>
      <c r="I128" s="14" t="e">
        <f t="shared" si="1"/>
        <v>#N/A</v>
      </c>
      <c r="J128" s="14" t="e">
        <f t="shared" si="2"/>
        <v>#N/A</v>
      </c>
      <c r="K128" s="12"/>
      <c r="L128" s="15" t="e">
        <f t="shared" si="25"/>
        <v>#N/A</v>
      </c>
      <c r="M128" s="15" t="e">
        <f t="shared" si="26"/>
        <v>#N/A</v>
      </c>
      <c r="N128" s="13" t="e">
        <f t="shared" si="27"/>
        <v>#N/A</v>
      </c>
      <c r="O128" s="13" t="e">
        <f t="shared" si="28"/>
        <v>#N/A</v>
      </c>
      <c r="P128" s="14" t="e">
        <f t="shared" si="29"/>
        <v>#N/A</v>
      </c>
      <c r="Q128" s="14" t="str">
        <f t="shared" si="30"/>
        <v/>
      </c>
      <c r="R128" s="16" t="str">
        <f t="shared" si="31"/>
        <v/>
      </c>
      <c r="S128" s="16" t="str">
        <f>R116</f>
        <v/>
      </c>
      <c r="T128" s="16" t="str">
        <f>R117</f>
        <v/>
      </c>
    </row>
    <row r="129" spans="1:20" ht="15" thickBot="1">
      <c r="A129" s="12"/>
      <c r="D129" s="64"/>
      <c r="F129"/>
      <c r="G129" s="14">
        <v>126</v>
      </c>
      <c r="H129" s="14" t="e">
        <f t="shared" si="10"/>
        <v>#N/A</v>
      </c>
      <c r="I129" s="14" t="e">
        <f t="shared" si="1"/>
        <v>#N/A</v>
      </c>
      <c r="J129" s="14" t="e">
        <f t="shared" si="2"/>
        <v>#N/A</v>
      </c>
      <c r="K129" s="12"/>
      <c r="L129" s="15" t="e">
        <f t="shared" si="25"/>
        <v>#N/A</v>
      </c>
      <c r="M129" s="15" t="e">
        <f t="shared" si="26"/>
        <v>#N/A</v>
      </c>
      <c r="N129" s="13" t="e">
        <f t="shared" si="27"/>
        <v>#N/A</v>
      </c>
      <c r="O129" s="13" t="e">
        <f t="shared" si="28"/>
        <v>#N/A</v>
      </c>
      <c r="P129" s="14" t="e">
        <f t="shared" si="29"/>
        <v>#N/A</v>
      </c>
      <c r="Q129" s="14" t="str">
        <f t="shared" si="30"/>
        <v/>
      </c>
      <c r="R129" s="16" t="str">
        <f t="shared" si="31"/>
        <v/>
      </c>
      <c r="S129" s="16" t="str">
        <f>R118</f>
        <v/>
      </c>
      <c r="T129" s="16" t="str">
        <f>R119</f>
        <v/>
      </c>
    </row>
    <row r="130" spans="1:20" ht="15" thickBot="1">
      <c r="A130" s="12"/>
      <c r="D130" s="60"/>
      <c r="F130"/>
      <c r="G130" s="14">
        <v>127</v>
      </c>
      <c r="H130" s="14" t="e">
        <f t="shared" si="10"/>
        <v>#N/A</v>
      </c>
      <c r="I130" s="14" t="e">
        <f t="shared" si="1"/>
        <v>#N/A</v>
      </c>
      <c r="J130" s="14" t="e">
        <f t="shared" si="2"/>
        <v>#N/A</v>
      </c>
      <c r="K130" s="12"/>
    </row>
    <row r="131" spans="1:20" ht="15" thickBot="1">
      <c r="A131" s="12"/>
      <c r="D131" s="61"/>
      <c r="F131"/>
      <c r="G131" s="14">
        <v>128</v>
      </c>
      <c r="H131" s="14" t="e">
        <f t="shared" si="10"/>
        <v>#N/A</v>
      </c>
      <c r="I131" s="14" t="e">
        <f t="shared" si="1"/>
        <v>#N/A</v>
      </c>
      <c r="J131" s="14" t="e">
        <f t="shared" si="2"/>
        <v>#N/A</v>
      </c>
      <c r="K131" s="12"/>
      <c r="M131" s="10" t="s">
        <v>66</v>
      </c>
    </row>
    <row r="132" spans="1:20">
      <c r="A132" s="12"/>
      <c r="B132" s="13"/>
      <c r="C132" s="13"/>
      <c r="D132" s="13"/>
      <c r="E132" s="12"/>
      <c r="F132" s="13"/>
      <c r="K132" s="12"/>
      <c r="L132" s="15" t="e">
        <f t="shared" ref="L132:M135" si="32">VLOOKUP(S132,$G$150:$J$277,4,0)</f>
        <v>#N/A</v>
      </c>
      <c r="M132" s="15" t="e">
        <f t="shared" si="32"/>
        <v>#N/A</v>
      </c>
      <c r="N132" s="13" t="e">
        <f>IF(VLOOKUP(S132,$G$150:$J$277,2,0)=0,0,ROUND(SQRT(100*VLOOKUP(T132,$G$150:$J$277,2,0)/VLOOKUP(S132,$G$150:$J$277,2,0)),0))</f>
        <v>#N/A</v>
      </c>
      <c r="O132" s="13" t="e">
        <f>IF(VLOOKUP(T132,$G$150:$J$277,2,0)=0,0,ROUND(SQRT(100*VLOOKUP(S132,$G$150:$J$277,2,0)/VLOOKUP(T132,$G$150:$J$277,2,0)),0))</f>
        <v>#N/A</v>
      </c>
      <c r="P132" s="14" t="e">
        <f>"[color="&amp;$P$155&amp;"]"&amp;VLOOKUP(S132,$G$150:$J$277,3,0)&amp;" vs "&amp;VLOOKUP(T132,$G$150:$J$277,3,0)&amp;" ("&amp;$N132&amp;"-"&amp;$O132&amp;")[/color]"</f>
        <v>#N/A</v>
      </c>
      <c r="Q132" s="14" t="str">
        <f>IF(K132&gt;0,IF(K132=1,"[color="&amp;$P$156&amp;"][b]"&amp;VLOOKUP($S132,$G$150:$J$277,3,0)&amp;"[/b] vs "&amp;VLOOKUP($T132,$G$150:$J$277,3,0)&amp;" ([b]"&amp;$N132&amp;"[/b]-"&amp;$O132&amp;")[/color]","[color="&amp;$P$156&amp;"]"&amp;VLOOKUP($S132,$G$150:$J$277,3,0)&amp;" vs [b]"&amp;VLOOKUP($T132,$G$150:$J$277,3,0)&amp;"[/b] ("&amp;$N132&amp;"-[b]"&amp;$O132&amp;"[/b])[/color]"),"")</f>
        <v/>
      </c>
      <c r="R132" s="16" t="str">
        <f>IF(K132&gt;0,IF(K132=1,S132,T132),"")</f>
        <v/>
      </c>
      <c r="S132" s="16" t="str">
        <f>R122</f>
        <v/>
      </c>
      <c r="T132" s="16" t="str">
        <f>R123</f>
        <v/>
      </c>
    </row>
    <row r="133" spans="1:20">
      <c r="A133" s="12"/>
      <c r="B133" s="13"/>
      <c r="C133" s="13"/>
      <c r="D133" s="13"/>
      <c r="E133" s="12"/>
      <c r="F133"/>
      <c r="K133" s="12"/>
      <c r="L133" s="15" t="e">
        <f t="shared" si="32"/>
        <v>#N/A</v>
      </c>
      <c r="M133" s="15" t="e">
        <f t="shared" si="32"/>
        <v>#N/A</v>
      </c>
      <c r="N133" s="13" t="e">
        <f>IF(VLOOKUP(S133,$G$150:$J$277,2,0)=0,0,ROUND(SQRT(100*VLOOKUP(T133,$G$150:$J$277,2,0)/VLOOKUP(S133,$G$150:$J$277,2,0)),0))</f>
        <v>#N/A</v>
      </c>
      <c r="O133" s="13" t="e">
        <f>IF(VLOOKUP(T133,$G$150:$J$277,2,0)=0,0,ROUND(SQRT(100*VLOOKUP(S133,$G$150:$J$277,2,0)/VLOOKUP(T133,$G$150:$J$277,2,0)),0))</f>
        <v>#N/A</v>
      </c>
      <c r="P133" s="14" t="e">
        <f>"[color="&amp;$P$155&amp;"]"&amp;VLOOKUP(S133,$G$150:$J$277,3,0)&amp;" vs "&amp;VLOOKUP(T133,$G$150:$J$277,3,0)&amp;" ("&amp;$N133&amp;"-"&amp;$O133&amp;")[/color]"</f>
        <v>#N/A</v>
      </c>
      <c r="Q133" s="14" t="str">
        <f>IF(K133&gt;0,IF(K133=1,"[color="&amp;$P$156&amp;"][b]"&amp;VLOOKUP($S133,$G$150:$J$277,3,0)&amp;"[/b] vs "&amp;VLOOKUP($T133,$G$150:$J$277,3,0)&amp;" ([b]"&amp;$N133&amp;"[/b]-"&amp;$O133&amp;")[/color]","[color="&amp;$P$156&amp;"]"&amp;VLOOKUP($S133,$G$150:$J$277,3,0)&amp;" vs [b]"&amp;VLOOKUP($T133,$G$150:$J$277,3,0)&amp;"[/b] ("&amp;$N133&amp;"-[b]"&amp;$O133&amp;"[/b])[/color]"),"")</f>
        <v/>
      </c>
      <c r="R133" s="16" t="str">
        <f>IF(K133&gt;0,IF(K133=1,S133,T133),"")</f>
        <v/>
      </c>
      <c r="S133" s="16" t="str">
        <f>R124</f>
        <v/>
      </c>
      <c r="T133" s="16" t="str">
        <f>R125</f>
        <v/>
      </c>
    </row>
    <row r="134" spans="1:20">
      <c r="A134" s="12"/>
      <c r="B134" s="13"/>
      <c r="C134" s="13"/>
      <c r="D134" s="13"/>
      <c r="E134" s="12"/>
      <c r="F134"/>
      <c r="K134" s="12"/>
      <c r="L134" s="15" t="e">
        <f t="shared" si="32"/>
        <v>#N/A</v>
      </c>
      <c r="M134" s="15" t="e">
        <f t="shared" si="32"/>
        <v>#N/A</v>
      </c>
      <c r="N134" s="13" t="e">
        <f>IF(VLOOKUP(S134,$G$150:$J$277,2,0)=0,0,ROUND(SQRT(100*VLOOKUP(T134,$G$150:$J$277,2,0)/VLOOKUP(S134,$G$150:$J$277,2,0)),0))</f>
        <v>#N/A</v>
      </c>
      <c r="O134" s="13" t="e">
        <f>IF(VLOOKUP(T134,$G$150:$J$277,2,0)=0,0,ROUND(SQRT(100*VLOOKUP(S134,$G$150:$J$277,2,0)/VLOOKUP(T134,$G$150:$J$277,2,0)),0))</f>
        <v>#N/A</v>
      </c>
      <c r="P134" s="14" t="e">
        <f>"[color="&amp;$P$155&amp;"]"&amp;VLOOKUP(S134,$G$150:$J$277,3,0)&amp;" vs "&amp;VLOOKUP(T134,$G$150:$J$277,3,0)&amp;" ("&amp;$N134&amp;"-"&amp;$O134&amp;")[/color]"</f>
        <v>#N/A</v>
      </c>
      <c r="Q134" s="14" t="str">
        <f>IF(K134&gt;0,IF(K134=1,"[color="&amp;$P$156&amp;"][b]"&amp;VLOOKUP($S134,$G$150:$J$277,3,0)&amp;"[/b] vs "&amp;VLOOKUP($T134,$G$150:$J$277,3,0)&amp;" ([b]"&amp;$N134&amp;"[/b]-"&amp;$O134&amp;")[/color]","[color="&amp;$P$156&amp;"]"&amp;VLOOKUP($S134,$G$150:$J$277,3,0)&amp;" vs [b]"&amp;VLOOKUP($T134,$G$150:$J$277,3,0)&amp;"[/b] ("&amp;$N134&amp;"-[b]"&amp;$O134&amp;"[/b])[/color]"),"")</f>
        <v/>
      </c>
      <c r="R134" s="16" t="str">
        <f>IF(K134&gt;0,IF(K134=1,S134,T134),"")</f>
        <v/>
      </c>
      <c r="S134" s="16" t="str">
        <f>R126</f>
        <v/>
      </c>
      <c r="T134" s="16" t="str">
        <f>R127</f>
        <v/>
      </c>
    </row>
    <row r="135" spans="1:20">
      <c r="A135" s="12"/>
      <c r="B135" s="13"/>
      <c r="C135" s="13"/>
      <c r="D135" s="13"/>
      <c r="E135" s="69"/>
      <c r="F135"/>
      <c r="K135" s="12"/>
      <c r="L135" s="15" t="e">
        <f t="shared" si="32"/>
        <v>#N/A</v>
      </c>
      <c r="M135" s="15" t="e">
        <f t="shared" si="32"/>
        <v>#N/A</v>
      </c>
      <c r="N135" s="13" t="e">
        <f>IF(VLOOKUP(S135,$G$150:$J$277,2,0)=0,0,ROUND(SQRT(100*VLOOKUP(T135,$G$150:$J$277,2,0)/VLOOKUP(S135,$G$150:$J$277,2,0)),0))</f>
        <v>#N/A</v>
      </c>
      <c r="O135" s="13" t="e">
        <f>IF(VLOOKUP(T135,$G$150:$J$277,2,0)=0,0,ROUND(SQRT(100*VLOOKUP(S135,$G$150:$J$277,2,0)/VLOOKUP(T135,$G$150:$J$277,2,0)),0))</f>
        <v>#N/A</v>
      </c>
      <c r="P135" s="14" t="e">
        <f>"[color="&amp;$P$155&amp;"]"&amp;VLOOKUP(S135,$G$150:$J$277,3,0)&amp;" vs "&amp;VLOOKUP(T135,$G$150:$J$277,3,0)&amp;" ("&amp;$N135&amp;"-"&amp;$O135&amp;")[/color]"</f>
        <v>#N/A</v>
      </c>
      <c r="Q135" s="14" t="str">
        <f>IF(K135&gt;0,IF(K135=1,"[color="&amp;$P$156&amp;"][b]"&amp;VLOOKUP($S135,$G$150:$J$277,3,0)&amp;"[/b] vs "&amp;VLOOKUP($T135,$G$150:$J$277,3,0)&amp;" ([b]"&amp;$N135&amp;"[/b]-"&amp;$O135&amp;")[/color]","[color="&amp;$P$156&amp;"]"&amp;VLOOKUP($S135,$G$150:$J$277,3,0)&amp;" vs [b]"&amp;VLOOKUP($T135,$G$150:$J$277,3,0)&amp;"[/b] ("&amp;$N135&amp;"-[b]"&amp;$O135&amp;"[/b])[/color]"),"")</f>
        <v/>
      </c>
      <c r="R135" s="16" t="str">
        <f>IF(K135&gt;0,IF(K135=1,S135,T135),"")</f>
        <v/>
      </c>
      <c r="S135" s="16" t="str">
        <f>R128</f>
        <v/>
      </c>
      <c r="T135" s="16" t="str">
        <f>R129</f>
        <v/>
      </c>
    </row>
    <row r="136" spans="1:20">
      <c r="A136" s="12"/>
      <c r="B136" s="13"/>
      <c r="C136" s="13"/>
      <c r="D136" s="13"/>
      <c r="E136" s="12"/>
      <c r="F136"/>
      <c r="K136" s="12"/>
    </row>
    <row r="137" spans="1:20">
      <c r="A137" s="12"/>
      <c r="B137" s="13"/>
      <c r="C137" s="13"/>
      <c r="D137" s="13"/>
      <c r="E137" s="69"/>
      <c r="F137"/>
      <c r="K137" s="12"/>
      <c r="M137" s="10" t="s">
        <v>67</v>
      </c>
    </row>
    <row r="138" spans="1:20">
      <c r="A138" s="12"/>
      <c r="B138" s="13"/>
      <c r="C138" s="13"/>
      <c r="D138" s="13"/>
      <c r="E138" s="12"/>
      <c r="F138"/>
      <c r="K138" s="12"/>
      <c r="L138" s="15" t="e">
        <f>VLOOKUP(S138,$G$150:$J$277,4,0)</f>
        <v>#N/A</v>
      </c>
      <c r="M138" s="15" t="e">
        <f>VLOOKUP(T138,$G$150:$J$277,4,0)</f>
        <v>#N/A</v>
      </c>
      <c r="N138" s="13" t="e">
        <f>IF(VLOOKUP(S138,$G$150:$J$277,2,0)=0,0,ROUND(SQRT(100*VLOOKUP(T138,$G$150:$J$277,2,0)/VLOOKUP(S138,$G$150:$J$277,2,0)),0))</f>
        <v>#N/A</v>
      </c>
      <c r="O138" s="13" t="e">
        <f>IF(VLOOKUP(T138,$G$150:$J$277,2,0)=0,0,ROUND(SQRT(100*VLOOKUP(S138,$G$150:$J$277,2,0)/VLOOKUP(T138,$G$150:$J$277,2,0)),0))</f>
        <v>#N/A</v>
      </c>
      <c r="P138" s="14" t="e">
        <f>"[color="&amp;$P$155&amp;"]"&amp;VLOOKUP(S138,$G$150:$J$277,3,0)&amp;" vs "&amp;VLOOKUP(T138,$G$150:$J$277,3,0)&amp;" ("&amp;$N138&amp;"-"&amp;$O138&amp;")[/color]"</f>
        <v>#N/A</v>
      </c>
      <c r="Q138" s="14" t="str">
        <f>IF(K138&gt;0,IF(K138=1,"[color="&amp;$P$156&amp;"][b]"&amp;VLOOKUP($S138,$G$150:$J$277,3,0)&amp;"[/b] vs "&amp;VLOOKUP($T138,$G$150:$J$277,3,0)&amp;" ([b]"&amp;$N138&amp;"[/b]-"&amp;$O138&amp;")[/color]","[color="&amp;$P$156&amp;"]"&amp;VLOOKUP($S138,$G$150:$J$277,3,0)&amp;" vs [b]"&amp;VLOOKUP($T138,$G$150:$J$277,3,0)&amp;"[/b] ("&amp;$N138&amp;"-[b]"&amp;$O138&amp;"[/b])[/color]"),"")</f>
        <v/>
      </c>
      <c r="R138" s="16" t="str">
        <f>IF(K138&gt;0,IF(K138=1,S138,T138),"")</f>
        <v/>
      </c>
      <c r="S138" s="16" t="str">
        <f>R132</f>
        <v/>
      </c>
      <c r="T138" s="16" t="str">
        <f>R133</f>
        <v/>
      </c>
    </row>
    <row r="139" spans="1:20">
      <c r="A139" s="12"/>
      <c r="B139" s="13"/>
      <c r="C139" s="13"/>
      <c r="D139" s="13"/>
      <c r="E139" s="12"/>
      <c r="F139"/>
      <c r="K139" s="12"/>
      <c r="L139" s="15" t="e">
        <f>VLOOKUP(S139,$G$150:$J$277,4,0)</f>
        <v>#N/A</v>
      </c>
      <c r="M139" s="15" t="e">
        <f>VLOOKUP(T139,$G$150:$J$277,4,0)</f>
        <v>#N/A</v>
      </c>
      <c r="N139" s="13" t="e">
        <f>IF(VLOOKUP(S139,$G$150:$J$277,2,0)=0,0,ROUND(SQRT(100*VLOOKUP(T139,$G$150:$J$277,2,0)/VLOOKUP(S139,$G$150:$J$277,2,0)),0))</f>
        <v>#N/A</v>
      </c>
      <c r="O139" s="13" t="e">
        <f>IF(VLOOKUP(T139,$G$150:$J$277,2,0)=0,0,ROUND(SQRT(100*VLOOKUP(S139,$G$150:$J$277,2,0)/VLOOKUP(T139,$G$150:$J$277,2,0)),0))</f>
        <v>#N/A</v>
      </c>
      <c r="P139" s="14" t="e">
        <f>"[color="&amp;$P$155&amp;"]"&amp;VLOOKUP(S139,$G$150:$J$277,3,0)&amp;" vs "&amp;VLOOKUP(T139,$G$150:$J$277,3,0)&amp;" ("&amp;$N139&amp;"-"&amp;$O139&amp;")[/color]"</f>
        <v>#N/A</v>
      </c>
      <c r="Q139" s="14" t="str">
        <f>IF(K139&gt;0,IF(K139=1,"[color="&amp;$P$156&amp;"][b]"&amp;VLOOKUP($S139,$G$150:$J$277,3,0)&amp;"[/b] vs "&amp;VLOOKUP($T139,$G$150:$J$277,3,0)&amp;" ([b]"&amp;$N139&amp;"[/b]-"&amp;$O139&amp;")[/color]","[color="&amp;$P$156&amp;"]"&amp;VLOOKUP($S139,$G$150:$J$277,3,0)&amp;" vs [b]"&amp;VLOOKUP($T139,$G$150:$J$277,3,0)&amp;"[/b] ("&amp;$N139&amp;"-[b]"&amp;$O139&amp;"[/b])[/color]"),"")</f>
        <v/>
      </c>
      <c r="R139" s="16" t="str">
        <f>IF(K139&gt;0,IF(K139=1,S139,T139),"")</f>
        <v/>
      </c>
      <c r="S139" s="16" t="str">
        <f>R134</f>
        <v/>
      </c>
      <c r="T139" s="16" t="str">
        <f>R135</f>
        <v/>
      </c>
    </row>
    <row r="140" spans="1:20">
      <c r="A140" s="12"/>
      <c r="B140" s="13"/>
      <c r="C140" s="13"/>
      <c r="D140" s="13"/>
      <c r="E140" s="12"/>
      <c r="F140"/>
      <c r="K140" s="12"/>
    </row>
    <row r="141" spans="1:20">
      <c r="A141" s="12"/>
      <c r="B141" s="13"/>
      <c r="C141" s="13"/>
      <c r="D141" s="13"/>
      <c r="E141" s="12"/>
      <c r="F141"/>
      <c r="K141" s="12"/>
      <c r="M141" s="10" t="s">
        <v>68</v>
      </c>
    </row>
    <row r="142" spans="1:20">
      <c r="A142" s="12"/>
      <c r="B142" s="13"/>
      <c r="C142" s="13"/>
      <c r="D142" s="13"/>
      <c r="E142" s="12"/>
      <c r="F142"/>
      <c r="K142" s="12"/>
      <c r="L142" s="15" t="e">
        <f>VLOOKUP(S142,$G$150:$J$277,4,0)</f>
        <v>#N/A</v>
      </c>
      <c r="M142" s="15" t="e">
        <f>VLOOKUP(T142,$G$150:$J$277,4,0)</f>
        <v>#N/A</v>
      </c>
      <c r="N142" s="13" t="e">
        <f>IF(VLOOKUP(S142,$G$150:$J$277,2,0)=0,0,ROUND(SQRT(100*VLOOKUP(T142,$G$150:$J$277,2,0)/VLOOKUP(S142,$G$150:$J$277,2,0)),0))</f>
        <v>#N/A</v>
      </c>
      <c r="O142" s="13" t="e">
        <f>IF(VLOOKUP(T142,$G$150:$J$277,2,0)=0,0,ROUND(SQRT(100*VLOOKUP(S142,$G$150:$J$277,2,0)/VLOOKUP(T142,$G$150:$J$277,2,0)),0))</f>
        <v>#N/A</v>
      </c>
      <c r="P142" s="14" t="e">
        <f>"[color="&amp;$P$155&amp;"]"&amp;VLOOKUP(S142,$G$150:$J$277,3,0)&amp;" vs "&amp;VLOOKUP(T142,$G$150:$J$277,3,0)&amp;" ("&amp;$N142&amp;"-"&amp;$O142&amp;")[/color]"</f>
        <v>#N/A</v>
      </c>
      <c r="Q142" s="14" t="str">
        <f>IF(K142&gt;0,IF(K142=1,"[color="&amp;$P$156&amp;"][b]"&amp;VLOOKUP($S142,$G$150:$J$277,3,0)&amp;"[/b] vs "&amp;VLOOKUP($T142,$G$150:$J$277,3,0)&amp;" ([b]"&amp;$N142&amp;"[/b]-"&amp;$O142&amp;")[/color]","[color="&amp;$P$156&amp;"]"&amp;VLOOKUP($S142,$G$150:$J$277,3,0)&amp;" vs [b]"&amp;VLOOKUP($T142,$G$150:$J$277,3,0)&amp;"[/b] ("&amp;$N142&amp;"-[b]"&amp;$O142&amp;"[/b])[/color]"),"")</f>
        <v/>
      </c>
      <c r="R142" s="16" t="str">
        <f>IF(K142&gt;0,IF(K142=1,S142,T142),"")</f>
        <v/>
      </c>
      <c r="S142" s="16" t="str">
        <f>R138</f>
        <v/>
      </c>
      <c r="T142" s="16" t="str">
        <f>R139</f>
        <v/>
      </c>
    </row>
    <row r="143" spans="1:20">
      <c r="A143" s="12"/>
      <c r="B143" s="13"/>
      <c r="C143" s="13"/>
      <c r="D143" s="13"/>
      <c r="E143" s="12"/>
      <c r="F143"/>
    </row>
    <row r="144" spans="1:20">
      <c r="A144" s="12"/>
      <c r="B144" s="13"/>
      <c r="C144" s="13"/>
      <c r="D144" s="13"/>
      <c r="E144" s="12"/>
      <c r="F144"/>
    </row>
    <row r="145" spans="1:16">
      <c r="A145" s="12"/>
      <c r="B145" s="13"/>
      <c r="C145" s="13"/>
      <c r="D145" s="13"/>
      <c r="E145" s="12"/>
      <c r="F145"/>
    </row>
    <row r="146" spans="1:16">
      <c r="A146" s="12"/>
      <c r="B146" s="13"/>
      <c r="C146" s="13"/>
      <c r="D146" s="13"/>
      <c r="E146" s="12"/>
      <c r="F146"/>
    </row>
    <row r="147" spans="1:16">
      <c r="A147" s="12"/>
      <c r="B147" s="13"/>
      <c r="C147" s="13"/>
      <c r="D147" s="13"/>
      <c r="E147" s="12"/>
      <c r="F147"/>
    </row>
    <row r="148" spans="1:16">
      <c r="A148" s="12"/>
      <c r="B148" s="13"/>
      <c r="C148" s="13"/>
      <c r="D148" s="13"/>
      <c r="E148" s="12"/>
      <c r="F148"/>
    </row>
    <row r="149" spans="1:16">
      <c r="A149" s="12"/>
      <c r="B149" s="13"/>
      <c r="C149" s="13"/>
      <c r="D149" s="13"/>
      <c r="E149" s="12"/>
      <c r="F149"/>
    </row>
    <row r="150" spans="1:16">
      <c r="A150" s="12"/>
      <c r="B150" s="13"/>
      <c r="C150" s="13"/>
      <c r="D150" s="13"/>
      <c r="E150" s="12"/>
      <c r="F150"/>
      <c r="G150" s="13">
        <v>1</v>
      </c>
      <c r="H150" s="13" t="e">
        <f t="shared" ref="H150:H277" si="33">IF(VLOOKUP(G150,$A$4:$D$1900,4,0)&lt;0,0,MAX(VLOOKUP(G150,$A$4:$D$1900,4,0),$P$153))</f>
        <v>#N/A</v>
      </c>
      <c r="I150" s="13" t="e">
        <f t="shared" ref="I150:I277" si="34">J150&amp;K150&amp;L150&amp;M150&amp;REPT($P$152,$P$151-LEN(J150)-LEN(K150)-LEN(M150)-LEN(L150))</f>
        <v>#N/A</v>
      </c>
      <c r="J150" s="13" t="e">
        <f t="shared" ref="J150:J277" si="35">VLOOKUP(G150,$A$4:$D$1900,2,0)</f>
        <v>#N/A</v>
      </c>
      <c r="K150" s="13" t="str">
        <f t="shared" ref="K150:K277" si="36">IF($P$157&gt;0," "&amp;N150,"")</f>
        <v/>
      </c>
      <c r="L150" s="13" t="e">
        <f t="shared" ref="L150:L277" si="37">IF(AND(LEN(VLOOKUP(G150,$A$4:$E$1900,5,0))&gt;0,LEN(VLOOKUP(G150,$A$4:$E$1900,5,0))&lt;3),IF($P$157&gt;0,", "&amp;VLOOKUP(G150,$A$4:$E$1900,5,0)," "&amp;VLOOKUP(G150,$A$4:$E$1900,5,0)),"")</f>
        <v>#N/A</v>
      </c>
      <c r="M150" s="13" t="e">
        <f t="shared" ref="M150:M277" si="38">IF(LEN(VLOOKUP(G150,$A$4:$F$1900,6,0))&gt;0," ("&amp;VLOOKUP(G150,$A$4:$F$1900,6,0)&amp;")","")</f>
        <v>#N/A</v>
      </c>
      <c r="N150" s="13" t="e">
        <f t="shared" ref="N150:N277" si="39">VLOOKUP(G150,$A$4:$D$1900,3,0)</f>
        <v>#N/A</v>
      </c>
      <c r="P150" s="16">
        <f>Instructions!I17</f>
        <v>40</v>
      </c>
    </row>
    <row r="151" spans="1:16">
      <c r="A151" s="12"/>
      <c r="C151" s="1"/>
      <c r="D151" s="1"/>
      <c r="E151" s="12"/>
      <c r="F151"/>
      <c r="G151" s="13">
        <v>2</v>
      </c>
      <c r="H151" s="13" t="e">
        <f t="shared" si="33"/>
        <v>#N/A</v>
      </c>
      <c r="I151" s="13" t="e">
        <f t="shared" si="34"/>
        <v>#N/A</v>
      </c>
      <c r="J151" s="13" t="e">
        <f t="shared" si="35"/>
        <v>#N/A</v>
      </c>
      <c r="K151" s="13" t="str">
        <f t="shared" si="36"/>
        <v/>
      </c>
      <c r="L151" s="13" t="e">
        <f t="shared" si="37"/>
        <v>#N/A</v>
      </c>
      <c r="M151" s="13" t="e">
        <f t="shared" si="38"/>
        <v>#N/A</v>
      </c>
      <c r="N151" s="13" t="e">
        <f t="shared" si="39"/>
        <v>#N/A</v>
      </c>
      <c r="P151" s="16">
        <f>Instructions!I6</f>
        <v>28</v>
      </c>
    </row>
    <row r="152" spans="1:16">
      <c r="A152" s="12"/>
      <c r="C152" s="1"/>
      <c r="D152" s="1"/>
      <c r="E152" s="12"/>
      <c r="F152"/>
      <c r="G152" s="13">
        <v>3</v>
      </c>
      <c r="H152" s="13" t="e">
        <f t="shared" si="33"/>
        <v>#N/A</v>
      </c>
      <c r="I152" s="13" t="e">
        <f t="shared" si="34"/>
        <v>#N/A</v>
      </c>
      <c r="J152" s="13" t="e">
        <f t="shared" si="35"/>
        <v>#N/A</v>
      </c>
      <c r="K152" s="13" t="str">
        <f t="shared" si="36"/>
        <v/>
      </c>
      <c r="L152" s="13" t="e">
        <f t="shared" si="37"/>
        <v>#N/A</v>
      </c>
      <c r="M152" s="13" t="e">
        <f t="shared" si="38"/>
        <v>#N/A</v>
      </c>
      <c r="N152" s="13" t="e">
        <f t="shared" si="39"/>
        <v>#N/A</v>
      </c>
      <c r="P152" s="16" t="str">
        <f>Instructions!I7</f>
        <v>.</v>
      </c>
    </row>
    <row r="153" spans="1:16">
      <c r="A153" s="12"/>
      <c r="C153" s="1"/>
      <c r="D153" s="1"/>
      <c r="E153" s="12"/>
      <c r="F153"/>
      <c r="G153" s="13">
        <v>4</v>
      </c>
      <c r="H153" s="13" t="e">
        <f t="shared" si="33"/>
        <v>#N/A</v>
      </c>
      <c r="I153" s="13" t="e">
        <f t="shared" si="34"/>
        <v>#N/A</v>
      </c>
      <c r="J153" s="13" t="e">
        <f t="shared" si="35"/>
        <v>#N/A</v>
      </c>
      <c r="K153" s="13" t="str">
        <f t="shared" si="36"/>
        <v/>
      </c>
      <c r="L153" s="13" t="e">
        <f t="shared" si="37"/>
        <v>#N/A</v>
      </c>
      <c r="M153" s="13" t="e">
        <f t="shared" si="38"/>
        <v>#N/A</v>
      </c>
      <c r="N153" s="13" t="e">
        <f t="shared" si="39"/>
        <v>#N/A</v>
      </c>
      <c r="P153" s="16">
        <f>Instructions!I5</f>
        <v>40</v>
      </c>
    </row>
    <row r="154" spans="1:16">
      <c r="A154" s="12"/>
      <c r="C154" s="1"/>
      <c r="D154" s="1"/>
      <c r="E154" s="12"/>
      <c r="F154"/>
      <c r="G154" s="13">
        <v>5</v>
      </c>
      <c r="H154" s="13" t="e">
        <f t="shared" si="33"/>
        <v>#N/A</v>
      </c>
      <c r="I154" s="13" t="e">
        <f t="shared" si="34"/>
        <v>#N/A</v>
      </c>
      <c r="J154" s="13" t="e">
        <f t="shared" si="35"/>
        <v>#N/A</v>
      </c>
      <c r="K154" s="13" t="str">
        <f t="shared" si="36"/>
        <v/>
      </c>
      <c r="L154" s="13" t="e">
        <f t="shared" si="37"/>
        <v>#N/A</v>
      </c>
      <c r="M154" s="13" t="e">
        <f t="shared" si="38"/>
        <v>#N/A</v>
      </c>
      <c r="N154" s="13" t="e">
        <f t="shared" si="39"/>
        <v>#N/A</v>
      </c>
      <c r="P154" s="16">
        <f>Instructions!I14</f>
        <v>60</v>
      </c>
    </row>
    <row r="155" spans="1:16">
      <c r="A155" s="12"/>
      <c r="C155" s="1"/>
      <c r="D155" s="1"/>
      <c r="E155" s="12"/>
      <c r="F155"/>
      <c r="G155" s="13">
        <v>6</v>
      </c>
      <c r="H155" s="13" t="e">
        <f t="shared" si="33"/>
        <v>#N/A</v>
      </c>
      <c r="I155" s="13" t="e">
        <f t="shared" si="34"/>
        <v>#N/A</v>
      </c>
      <c r="J155" s="13" t="e">
        <f t="shared" si="35"/>
        <v>#N/A</v>
      </c>
      <c r="K155" s="13" t="str">
        <f t="shared" si="36"/>
        <v/>
      </c>
      <c r="L155" s="13" t="e">
        <f t="shared" si="37"/>
        <v>#N/A</v>
      </c>
      <c r="M155" s="13" t="e">
        <f t="shared" si="38"/>
        <v>#N/A</v>
      </c>
      <c r="N155" s="13" t="e">
        <f t="shared" si="39"/>
        <v>#N/A</v>
      </c>
      <c r="P155" s="16" t="str">
        <f>Instructions!I19</f>
        <v>Black</v>
      </c>
    </row>
    <row r="156" spans="1:16">
      <c r="A156" s="12"/>
      <c r="C156" s="1"/>
      <c r="D156" s="1"/>
      <c r="E156" s="12"/>
      <c r="G156" s="13">
        <v>7</v>
      </c>
      <c r="H156" s="13" t="e">
        <f t="shared" si="33"/>
        <v>#N/A</v>
      </c>
      <c r="I156" s="13" t="e">
        <f t="shared" si="34"/>
        <v>#N/A</v>
      </c>
      <c r="J156" s="13" t="e">
        <f t="shared" si="35"/>
        <v>#N/A</v>
      </c>
      <c r="K156" s="13" t="str">
        <f t="shared" si="36"/>
        <v/>
      </c>
      <c r="L156" s="13" t="e">
        <f t="shared" si="37"/>
        <v>#N/A</v>
      </c>
      <c r="M156" s="13" t="e">
        <f t="shared" si="38"/>
        <v>#N/A</v>
      </c>
      <c r="N156" s="13" t="e">
        <f t="shared" si="39"/>
        <v>#N/A</v>
      </c>
      <c r="P156" s="16" t="str">
        <f>Instructions!I20</f>
        <v>Red</v>
      </c>
    </row>
    <row r="157" spans="1:16">
      <c r="A157" s="12"/>
      <c r="C157" s="1"/>
      <c r="D157" s="1"/>
      <c r="E157" s="12"/>
      <c r="G157" s="13">
        <v>8</v>
      </c>
      <c r="H157" s="13" t="e">
        <f t="shared" si="33"/>
        <v>#N/A</v>
      </c>
      <c r="I157" s="13" t="e">
        <f t="shared" si="34"/>
        <v>#N/A</v>
      </c>
      <c r="J157" s="13" t="e">
        <f t="shared" si="35"/>
        <v>#N/A</v>
      </c>
      <c r="K157" s="13" t="str">
        <f t="shared" si="36"/>
        <v/>
      </c>
      <c r="L157" s="13" t="e">
        <f t="shared" si="37"/>
        <v>#N/A</v>
      </c>
      <c r="M157" s="13" t="e">
        <f t="shared" si="38"/>
        <v>#N/A</v>
      </c>
      <c r="N157" s="13" t="e">
        <f t="shared" si="39"/>
        <v>#N/A</v>
      </c>
      <c r="P157" s="16">
        <f>Instructions!I18</f>
        <v>0</v>
      </c>
    </row>
    <row r="158" spans="1:16">
      <c r="A158" s="12"/>
      <c r="C158" s="1"/>
      <c r="D158" s="1"/>
      <c r="E158" s="12"/>
      <c r="G158" s="13">
        <v>9</v>
      </c>
      <c r="H158" s="13" t="e">
        <f t="shared" si="33"/>
        <v>#N/A</v>
      </c>
      <c r="I158" s="13" t="e">
        <f t="shared" si="34"/>
        <v>#N/A</v>
      </c>
      <c r="J158" s="13" t="e">
        <f t="shared" si="35"/>
        <v>#N/A</v>
      </c>
      <c r="K158" s="13" t="str">
        <f t="shared" si="36"/>
        <v/>
      </c>
      <c r="L158" s="13" t="e">
        <f t="shared" si="37"/>
        <v>#N/A</v>
      </c>
      <c r="M158" s="13" t="e">
        <f t="shared" si="38"/>
        <v>#N/A</v>
      </c>
      <c r="N158" s="13" t="e">
        <f t="shared" si="39"/>
        <v>#N/A</v>
      </c>
      <c r="P158" s="16" t="str">
        <f>Instructions!I12</f>
        <v>No pick yet</v>
      </c>
    </row>
    <row r="159" spans="1:16">
      <c r="A159" s="12"/>
      <c r="C159" s="1"/>
      <c r="D159" s="1"/>
      <c r="E159" s="12"/>
      <c r="G159" s="13">
        <v>10</v>
      </c>
      <c r="H159" s="13" t="e">
        <f t="shared" si="33"/>
        <v>#N/A</v>
      </c>
      <c r="I159" s="13" t="e">
        <f t="shared" si="34"/>
        <v>#N/A</v>
      </c>
      <c r="J159" s="13" t="e">
        <f t="shared" si="35"/>
        <v>#N/A</v>
      </c>
      <c r="K159" s="13" t="str">
        <f t="shared" si="36"/>
        <v/>
      </c>
      <c r="L159" s="13" t="e">
        <f t="shared" si="37"/>
        <v>#N/A</v>
      </c>
      <c r="M159" s="13" t="e">
        <f t="shared" si="38"/>
        <v>#N/A</v>
      </c>
      <c r="N159" s="13" t="e">
        <f t="shared" si="39"/>
        <v>#N/A</v>
      </c>
    </row>
    <row r="160" spans="1:16">
      <c r="A160" s="12"/>
      <c r="C160" s="1"/>
      <c r="D160" s="1"/>
      <c r="E160" s="12"/>
      <c r="G160" s="13">
        <v>11</v>
      </c>
      <c r="H160" s="13" t="e">
        <f t="shared" si="33"/>
        <v>#N/A</v>
      </c>
      <c r="I160" s="13" t="e">
        <f t="shared" si="34"/>
        <v>#N/A</v>
      </c>
      <c r="J160" s="13" t="e">
        <f t="shared" si="35"/>
        <v>#N/A</v>
      </c>
      <c r="K160" s="13" t="str">
        <f t="shared" si="36"/>
        <v/>
      </c>
      <c r="L160" s="13" t="e">
        <f t="shared" si="37"/>
        <v>#N/A</v>
      </c>
      <c r="M160" s="13" t="e">
        <f t="shared" si="38"/>
        <v>#N/A</v>
      </c>
      <c r="N160" s="13" t="e">
        <f t="shared" si="39"/>
        <v>#N/A</v>
      </c>
    </row>
    <row r="161" spans="1:14">
      <c r="A161" s="12"/>
      <c r="C161" s="1"/>
      <c r="D161" s="1"/>
      <c r="E161" s="12"/>
      <c r="G161" s="13">
        <v>12</v>
      </c>
      <c r="H161" s="13" t="e">
        <f t="shared" si="33"/>
        <v>#N/A</v>
      </c>
      <c r="I161" s="13" t="e">
        <f t="shared" si="34"/>
        <v>#N/A</v>
      </c>
      <c r="J161" s="13" t="e">
        <f t="shared" si="35"/>
        <v>#N/A</v>
      </c>
      <c r="K161" s="13" t="str">
        <f t="shared" si="36"/>
        <v/>
      </c>
      <c r="L161" s="13" t="e">
        <f t="shared" si="37"/>
        <v>#N/A</v>
      </c>
      <c r="M161" s="13" t="e">
        <f t="shared" si="38"/>
        <v>#N/A</v>
      </c>
      <c r="N161" s="13" t="e">
        <f t="shared" si="39"/>
        <v>#N/A</v>
      </c>
    </row>
    <row r="162" spans="1:14">
      <c r="A162" s="12"/>
      <c r="C162" s="1"/>
      <c r="D162" s="1"/>
      <c r="E162" s="12"/>
      <c r="G162" s="13">
        <v>13</v>
      </c>
      <c r="H162" s="13" t="e">
        <f t="shared" si="33"/>
        <v>#N/A</v>
      </c>
      <c r="I162" s="13" t="e">
        <f t="shared" si="34"/>
        <v>#N/A</v>
      </c>
      <c r="J162" s="13" t="e">
        <f t="shared" si="35"/>
        <v>#N/A</v>
      </c>
      <c r="K162" s="13" t="str">
        <f t="shared" si="36"/>
        <v/>
      </c>
      <c r="L162" s="13" t="e">
        <f t="shared" si="37"/>
        <v>#N/A</v>
      </c>
      <c r="M162" s="13" t="e">
        <f t="shared" si="38"/>
        <v>#N/A</v>
      </c>
      <c r="N162" s="13" t="e">
        <f t="shared" si="39"/>
        <v>#N/A</v>
      </c>
    </row>
    <row r="163" spans="1:14">
      <c r="A163" s="12"/>
      <c r="C163" s="1"/>
      <c r="D163" s="1"/>
      <c r="E163" s="12"/>
      <c r="G163" s="13">
        <v>14</v>
      </c>
      <c r="H163" s="13" t="e">
        <f t="shared" si="33"/>
        <v>#N/A</v>
      </c>
      <c r="I163" s="13" t="e">
        <f t="shared" si="34"/>
        <v>#N/A</v>
      </c>
      <c r="J163" s="13" t="e">
        <f t="shared" si="35"/>
        <v>#N/A</v>
      </c>
      <c r="K163" s="13" t="str">
        <f t="shared" si="36"/>
        <v/>
      </c>
      <c r="L163" s="13" t="e">
        <f t="shared" si="37"/>
        <v>#N/A</v>
      </c>
      <c r="M163" s="13" t="e">
        <f t="shared" si="38"/>
        <v>#N/A</v>
      </c>
      <c r="N163" s="13" t="e">
        <f t="shared" si="39"/>
        <v>#N/A</v>
      </c>
    </row>
    <row r="164" spans="1:14">
      <c r="A164" s="12"/>
      <c r="C164" s="1"/>
      <c r="D164" s="1"/>
      <c r="E164" s="12"/>
      <c r="G164" s="13">
        <v>15</v>
      </c>
      <c r="H164" s="13" t="e">
        <f t="shared" si="33"/>
        <v>#N/A</v>
      </c>
      <c r="I164" s="13" t="e">
        <f t="shared" si="34"/>
        <v>#N/A</v>
      </c>
      <c r="J164" s="13" t="e">
        <f t="shared" si="35"/>
        <v>#N/A</v>
      </c>
      <c r="K164" s="13" t="str">
        <f t="shared" si="36"/>
        <v/>
      </c>
      <c r="L164" s="13" t="e">
        <f t="shared" si="37"/>
        <v>#N/A</v>
      </c>
      <c r="M164" s="13" t="e">
        <f t="shared" si="38"/>
        <v>#N/A</v>
      </c>
      <c r="N164" s="13" t="e">
        <f t="shared" si="39"/>
        <v>#N/A</v>
      </c>
    </row>
    <row r="165" spans="1:14">
      <c r="A165" s="12"/>
      <c r="C165" s="1"/>
      <c r="D165" s="1"/>
      <c r="E165" s="12"/>
      <c r="G165" s="13">
        <v>16</v>
      </c>
      <c r="H165" s="13" t="e">
        <f t="shared" si="33"/>
        <v>#N/A</v>
      </c>
      <c r="I165" s="13" t="e">
        <f t="shared" si="34"/>
        <v>#N/A</v>
      </c>
      <c r="J165" s="13" t="e">
        <f t="shared" si="35"/>
        <v>#N/A</v>
      </c>
      <c r="K165" s="13" t="str">
        <f t="shared" si="36"/>
        <v/>
      </c>
      <c r="L165" s="13" t="e">
        <f t="shared" si="37"/>
        <v>#N/A</v>
      </c>
      <c r="M165" s="13" t="e">
        <f t="shared" si="38"/>
        <v>#N/A</v>
      </c>
      <c r="N165" s="13" t="e">
        <f t="shared" si="39"/>
        <v>#N/A</v>
      </c>
    </row>
    <row r="166" spans="1:14">
      <c r="A166" s="12"/>
      <c r="C166" s="1"/>
      <c r="D166" s="1"/>
      <c r="E166" s="12"/>
      <c r="G166" s="13">
        <v>17</v>
      </c>
      <c r="H166" s="13" t="e">
        <f t="shared" si="33"/>
        <v>#N/A</v>
      </c>
      <c r="I166" s="13" t="e">
        <f t="shared" si="34"/>
        <v>#N/A</v>
      </c>
      <c r="J166" s="13" t="e">
        <f t="shared" si="35"/>
        <v>#N/A</v>
      </c>
      <c r="K166" s="13" t="str">
        <f t="shared" si="36"/>
        <v/>
      </c>
      <c r="L166" s="13" t="e">
        <f t="shared" si="37"/>
        <v>#N/A</v>
      </c>
      <c r="M166" s="13" t="e">
        <f t="shared" si="38"/>
        <v>#N/A</v>
      </c>
      <c r="N166" s="13" t="e">
        <f t="shared" si="39"/>
        <v>#N/A</v>
      </c>
    </row>
    <row r="167" spans="1:14">
      <c r="A167" s="12"/>
      <c r="C167" s="1"/>
      <c r="D167" s="1"/>
      <c r="E167" s="12"/>
      <c r="G167" s="13">
        <v>18</v>
      </c>
      <c r="H167" s="13" t="e">
        <f t="shared" si="33"/>
        <v>#N/A</v>
      </c>
      <c r="I167" s="13" t="e">
        <f t="shared" si="34"/>
        <v>#N/A</v>
      </c>
      <c r="J167" s="13" t="e">
        <f t="shared" si="35"/>
        <v>#N/A</v>
      </c>
      <c r="K167" s="13" t="str">
        <f t="shared" si="36"/>
        <v/>
      </c>
      <c r="L167" s="13" t="e">
        <f t="shared" si="37"/>
        <v>#N/A</v>
      </c>
      <c r="M167" s="13" t="e">
        <f t="shared" si="38"/>
        <v>#N/A</v>
      </c>
      <c r="N167" s="13" t="e">
        <f t="shared" si="39"/>
        <v>#N/A</v>
      </c>
    </row>
    <row r="168" spans="1:14">
      <c r="A168" s="12"/>
      <c r="C168" s="1"/>
      <c r="D168" s="1"/>
      <c r="E168" s="12"/>
      <c r="G168" s="13">
        <v>19</v>
      </c>
      <c r="H168" s="13" t="e">
        <f t="shared" si="33"/>
        <v>#N/A</v>
      </c>
      <c r="I168" s="13" t="e">
        <f t="shared" si="34"/>
        <v>#N/A</v>
      </c>
      <c r="J168" s="13" t="e">
        <f t="shared" si="35"/>
        <v>#N/A</v>
      </c>
      <c r="K168" s="13" t="str">
        <f t="shared" si="36"/>
        <v/>
      </c>
      <c r="L168" s="13" t="e">
        <f t="shared" si="37"/>
        <v>#N/A</v>
      </c>
      <c r="M168" s="13" t="e">
        <f t="shared" si="38"/>
        <v>#N/A</v>
      </c>
      <c r="N168" s="13" t="e">
        <f t="shared" si="39"/>
        <v>#N/A</v>
      </c>
    </row>
    <row r="169" spans="1:14">
      <c r="A169" s="12"/>
      <c r="C169" s="1"/>
      <c r="D169" s="1"/>
      <c r="E169" s="12"/>
      <c r="G169" s="13">
        <v>20</v>
      </c>
      <c r="H169" s="13" t="e">
        <f t="shared" si="33"/>
        <v>#N/A</v>
      </c>
      <c r="I169" s="13" t="e">
        <f t="shared" si="34"/>
        <v>#N/A</v>
      </c>
      <c r="J169" s="13" t="e">
        <f t="shared" si="35"/>
        <v>#N/A</v>
      </c>
      <c r="K169" s="13" t="str">
        <f t="shared" si="36"/>
        <v/>
      </c>
      <c r="L169" s="13" t="e">
        <f t="shared" si="37"/>
        <v>#N/A</v>
      </c>
      <c r="M169" s="13" t="e">
        <f t="shared" si="38"/>
        <v>#N/A</v>
      </c>
      <c r="N169" s="13" t="e">
        <f t="shared" si="39"/>
        <v>#N/A</v>
      </c>
    </row>
    <row r="170" spans="1:14">
      <c r="A170" s="12"/>
      <c r="C170" s="1"/>
      <c r="D170" s="1"/>
      <c r="E170" s="12"/>
      <c r="G170" s="13">
        <v>21</v>
      </c>
      <c r="H170" s="13" t="e">
        <f t="shared" si="33"/>
        <v>#N/A</v>
      </c>
      <c r="I170" s="13" t="e">
        <f t="shared" si="34"/>
        <v>#N/A</v>
      </c>
      <c r="J170" s="13" t="e">
        <f t="shared" si="35"/>
        <v>#N/A</v>
      </c>
      <c r="K170" s="13" t="str">
        <f t="shared" si="36"/>
        <v/>
      </c>
      <c r="L170" s="13" t="e">
        <f t="shared" si="37"/>
        <v>#N/A</v>
      </c>
      <c r="M170" s="13" t="e">
        <f t="shared" si="38"/>
        <v>#N/A</v>
      </c>
      <c r="N170" s="13" t="e">
        <f t="shared" si="39"/>
        <v>#N/A</v>
      </c>
    </row>
    <row r="171" spans="1:14">
      <c r="A171" s="12"/>
      <c r="C171" s="1"/>
      <c r="D171" s="1"/>
      <c r="E171" s="12"/>
      <c r="G171" s="13">
        <v>22</v>
      </c>
      <c r="H171" s="13" t="e">
        <f t="shared" si="33"/>
        <v>#N/A</v>
      </c>
      <c r="I171" s="13" t="e">
        <f t="shared" si="34"/>
        <v>#N/A</v>
      </c>
      <c r="J171" s="13" t="e">
        <f t="shared" si="35"/>
        <v>#N/A</v>
      </c>
      <c r="K171" s="13" t="str">
        <f t="shared" si="36"/>
        <v/>
      </c>
      <c r="L171" s="13" t="e">
        <f t="shared" si="37"/>
        <v>#N/A</v>
      </c>
      <c r="M171" s="13" t="e">
        <f t="shared" si="38"/>
        <v>#N/A</v>
      </c>
      <c r="N171" s="13" t="e">
        <f t="shared" si="39"/>
        <v>#N/A</v>
      </c>
    </row>
    <row r="172" spans="1:14">
      <c r="A172" s="12"/>
      <c r="C172" s="1"/>
      <c r="D172" s="1"/>
      <c r="E172" s="12"/>
      <c r="F172" s="17"/>
      <c r="G172" s="13">
        <v>23</v>
      </c>
      <c r="H172" s="13" t="e">
        <f t="shared" si="33"/>
        <v>#N/A</v>
      </c>
      <c r="I172" s="13" t="e">
        <f t="shared" si="34"/>
        <v>#N/A</v>
      </c>
      <c r="J172" s="13" t="e">
        <f t="shared" si="35"/>
        <v>#N/A</v>
      </c>
      <c r="K172" s="13" t="str">
        <f t="shared" si="36"/>
        <v/>
      </c>
      <c r="L172" s="13" t="e">
        <f t="shared" si="37"/>
        <v>#N/A</v>
      </c>
      <c r="M172" s="13" t="e">
        <f t="shared" si="38"/>
        <v>#N/A</v>
      </c>
      <c r="N172" s="13" t="e">
        <f t="shared" si="39"/>
        <v>#N/A</v>
      </c>
    </row>
    <row r="173" spans="1:14">
      <c r="A173" s="12"/>
      <c r="C173" s="1"/>
      <c r="D173" s="1"/>
      <c r="E173" s="12"/>
      <c r="F173" s="17"/>
      <c r="G173" s="13">
        <v>24</v>
      </c>
      <c r="H173" s="13" t="e">
        <f t="shared" si="33"/>
        <v>#N/A</v>
      </c>
      <c r="I173" s="13" t="e">
        <f t="shared" si="34"/>
        <v>#N/A</v>
      </c>
      <c r="J173" s="13" t="e">
        <f t="shared" si="35"/>
        <v>#N/A</v>
      </c>
      <c r="K173" s="13" t="str">
        <f t="shared" si="36"/>
        <v/>
      </c>
      <c r="L173" s="13" t="e">
        <f t="shared" si="37"/>
        <v>#N/A</v>
      </c>
      <c r="M173" s="13" t="e">
        <f t="shared" si="38"/>
        <v>#N/A</v>
      </c>
      <c r="N173" s="13" t="e">
        <f t="shared" si="39"/>
        <v>#N/A</v>
      </c>
    </row>
    <row r="174" spans="1:14">
      <c r="A174" s="12"/>
      <c r="C174" s="1"/>
      <c r="D174" s="1"/>
      <c r="E174" s="12"/>
      <c r="F174" s="17"/>
      <c r="G174" s="13">
        <v>25</v>
      </c>
      <c r="H174" s="13" t="e">
        <f t="shared" si="33"/>
        <v>#N/A</v>
      </c>
      <c r="I174" s="13" t="e">
        <f t="shared" si="34"/>
        <v>#N/A</v>
      </c>
      <c r="J174" s="13" t="e">
        <f t="shared" si="35"/>
        <v>#N/A</v>
      </c>
      <c r="K174" s="13" t="str">
        <f t="shared" si="36"/>
        <v/>
      </c>
      <c r="L174" s="13" t="e">
        <f t="shared" si="37"/>
        <v>#N/A</v>
      </c>
      <c r="M174" s="13" t="e">
        <f t="shared" si="38"/>
        <v>#N/A</v>
      </c>
      <c r="N174" s="13" t="e">
        <f t="shared" si="39"/>
        <v>#N/A</v>
      </c>
    </row>
    <row r="175" spans="1:14">
      <c r="A175" s="12"/>
      <c r="C175" s="1"/>
      <c r="D175" s="1"/>
      <c r="E175" s="12"/>
      <c r="F175" s="17"/>
      <c r="G175" s="13">
        <v>26</v>
      </c>
      <c r="H175" s="13" t="e">
        <f t="shared" si="33"/>
        <v>#N/A</v>
      </c>
      <c r="I175" s="13" t="e">
        <f t="shared" si="34"/>
        <v>#N/A</v>
      </c>
      <c r="J175" s="13" t="e">
        <f t="shared" si="35"/>
        <v>#N/A</v>
      </c>
      <c r="K175" s="13" t="str">
        <f t="shared" si="36"/>
        <v/>
      </c>
      <c r="L175" s="13" t="e">
        <f t="shared" si="37"/>
        <v>#N/A</v>
      </c>
      <c r="M175" s="13" t="e">
        <f t="shared" si="38"/>
        <v>#N/A</v>
      </c>
      <c r="N175" s="13" t="e">
        <f t="shared" si="39"/>
        <v>#N/A</v>
      </c>
    </row>
    <row r="176" spans="1:14">
      <c r="A176" s="12"/>
      <c r="C176" s="1"/>
      <c r="D176" s="1"/>
      <c r="E176" s="12"/>
      <c r="F176" s="17"/>
      <c r="G176" s="13">
        <v>27</v>
      </c>
      <c r="H176" s="13" t="e">
        <f t="shared" si="33"/>
        <v>#N/A</v>
      </c>
      <c r="I176" s="13" t="e">
        <f t="shared" si="34"/>
        <v>#N/A</v>
      </c>
      <c r="J176" s="13" t="e">
        <f t="shared" si="35"/>
        <v>#N/A</v>
      </c>
      <c r="K176" s="13" t="str">
        <f t="shared" si="36"/>
        <v/>
      </c>
      <c r="L176" s="13" t="e">
        <f t="shared" si="37"/>
        <v>#N/A</v>
      </c>
      <c r="M176" s="13" t="e">
        <f t="shared" si="38"/>
        <v>#N/A</v>
      </c>
      <c r="N176" s="13" t="e">
        <f t="shared" si="39"/>
        <v>#N/A</v>
      </c>
    </row>
    <row r="177" spans="1:14">
      <c r="A177" s="12"/>
      <c r="C177" s="1"/>
      <c r="D177" s="1"/>
      <c r="E177" s="12"/>
      <c r="F177" s="17"/>
      <c r="G177" s="13">
        <v>28</v>
      </c>
      <c r="H177" s="13" t="e">
        <f t="shared" si="33"/>
        <v>#N/A</v>
      </c>
      <c r="I177" s="13" t="e">
        <f t="shared" si="34"/>
        <v>#N/A</v>
      </c>
      <c r="J177" s="13" t="e">
        <f t="shared" si="35"/>
        <v>#N/A</v>
      </c>
      <c r="K177" s="13" t="str">
        <f t="shared" si="36"/>
        <v/>
      </c>
      <c r="L177" s="13" t="e">
        <f t="shared" si="37"/>
        <v>#N/A</v>
      </c>
      <c r="M177" s="13" t="e">
        <f t="shared" si="38"/>
        <v>#N/A</v>
      </c>
      <c r="N177" s="13" t="e">
        <f t="shared" si="39"/>
        <v>#N/A</v>
      </c>
    </row>
    <row r="178" spans="1:14">
      <c r="A178" s="12"/>
      <c r="C178" s="1"/>
      <c r="D178" s="1"/>
      <c r="E178" s="12"/>
      <c r="F178" s="17"/>
      <c r="G178" s="13">
        <v>29</v>
      </c>
      <c r="H178" s="13" t="e">
        <f t="shared" si="33"/>
        <v>#N/A</v>
      </c>
      <c r="I178" s="13" t="e">
        <f t="shared" si="34"/>
        <v>#N/A</v>
      </c>
      <c r="J178" s="13" t="e">
        <f t="shared" si="35"/>
        <v>#N/A</v>
      </c>
      <c r="K178" s="13" t="str">
        <f t="shared" si="36"/>
        <v/>
      </c>
      <c r="L178" s="13" t="e">
        <f t="shared" si="37"/>
        <v>#N/A</v>
      </c>
      <c r="M178" s="13" t="e">
        <f t="shared" si="38"/>
        <v>#N/A</v>
      </c>
      <c r="N178" s="13" t="e">
        <f t="shared" si="39"/>
        <v>#N/A</v>
      </c>
    </row>
    <row r="179" spans="1:14">
      <c r="A179" s="12"/>
      <c r="C179" s="1"/>
      <c r="D179" s="1"/>
      <c r="E179" s="12"/>
      <c r="F179" s="17"/>
      <c r="G179" s="13">
        <v>30</v>
      </c>
      <c r="H179" s="13" t="e">
        <f t="shared" si="33"/>
        <v>#N/A</v>
      </c>
      <c r="I179" s="13" t="e">
        <f t="shared" si="34"/>
        <v>#N/A</v>
      </c>
      <c r="J179" s="13" t="e">
        <f t="shared" si="35"/>
        <v>#N/A</v>
      </c>
      <c r="K179" s="13" t="str">
        <f t="shared" si="36"/>
        <v/>
      </c>
      <c r="L179" s="13" t="e">
        <f t="shared" si="37"/>
        <v>#N/A</v>
      </c>
      <c r="M179" s="13" t="e">
        <f t="shared" si="38"/>
        <v>#N/A</v>
      </c>
      <c r="N179" s="13" t="e">
        <f t="shared" si="39"/>
        <v>#N/A</v>
      </c>
    </row>
    <row r="180" spans="1:14">
      <c r="A180" s="12"/>
      <c r="C180" s="1"/>
      <c r="D180" s="1"/>
      <c r="E180" s="12"/>
      <c r="F180" s="17"/>
      <c r="G180" s="13">
        <v>31</v>
      </c>
      <c r="H180" s="13" t="e">
        <f t="shared" si="33"/>
        <v>#N/A</v>
      </c>
      <c r="I180" s="13" t="e">
        <f t="shared" si="34"/>
        <v>#N/A</v>
      </c>
      <c r="J180" s="13" t="e">
        <f t="shared" si="35"/>
        <v>#N/A</v>
      </c>
      <c r="K180" s="13" t="str">
        <f t="shared" si="36"/>
        <v/>
      </c>
      <c r="L180" s="13" t="e">
        <f t="shared" si="37"/>
        <v>#N/A</v>
      </c>
      <c r="M180" s="13" t="e">
        <f t="shared" si="38"/>
        <v>#N/A</v>
      </c>
      <c r="N180" s="13" t="e">
        <f t="shared" si="39"/>
        <v>#N/A</v>
      </c>
    </row>
    <row r="181" spans="1:14">
      <c r="A181" s="12"/>
      <c r="C181" s="1"/>
      <c r="D181" s="1"/>
      <c r="E181" s="12"/>
      <c r="F181" s="17"/>
      <c r="G181" s="13">
        <v>32</v>
      </c>
      <c r="H181" s="13" t="e">
        <f t="shared" si="33"/>
        <v>#N/A</v>
      </c>
      <c r="I181" s="13" t="e">
        <f t="shared" si="34"/>
        <v>#N/A</v>
      </c>
      <c r="J181" s="13" t="e">
        <f t="shared" si="35"/>
        <v>#N/A</v>
      </c>
      <c r="K181" s="13" t="str">
        <f t="shared" si="36"/>
        <v/>
      </c>
      <c r="L181" s="13" t="e">
        <f t="shared" si="37"/>
        <v>#N/A</v>
      </c>
      <c r="M181" s="13" t="e">
        <f t="shared" si="38"/>
        <v>#N/A</v>
      </c>
      <c r="N181" s="13" t="e">
        <f t="shared" si="39"/>
        <v>#N/A</v>
      </c>
    </row>
    <row r="182" spans="1:14">
      <c r="A182" s="12"/>
      <c r="C182" s="1"/>
      <c r="D182" s="1"/>
      <c r="E182" s="12"/>
      <c r="F182" s="17"/>
      <c r="G182" s="13">
        <v>33</v>
      </c>
      <c r="H182" s="13" t="e">
        <f t="shared" si="33"/>
        <v>#N/A</v>
      </c>
      <c r="I182" s="13" t="e">
        <f t="shared" si="34"/>
        <v>#N/A</v>
      </c>
      <c r="J182" s="13" t="e">
        <f t="shared" si="35"/>
        <v>#N/A</v>
      </c>
      <c r="K182" s="13" t="str">
        <f t="shared" si="36"/>
        <v/>
      </c>
      <c r="L182" s="13" t="e">
        <f t="shared" si="37"/>
        <v>#N/A</v>
      </c>
      <c r="M182" s="13" t="e">
        <f t="shared" si="38"/>
        <v>#N/A</v>
      </c>
      <c r="N182" s="13" t="e">
        <f t="shared" si="39"/>
        <v>#N/A</v>
      </c>
    </row>
    <row r="183" spans="1:14">
      <c r="A183" s="12"/>
      <c r="B183" s="12"/>
      <c r="C183" s="12"/>
      <c r="D183" s="12"/>
      <c r="E183" s="12"/>
      <c r="F183" s="17"/>
      <c r="G183" s="13">
        <v>34</v>
      </c>
      <c r="H183" s="13" t="e">
        <f t="shared" si="33"/>
        <v>#N/A</v>
      </c>
      <c r="I183" s="13" t="e">
        <f t="shared" si="34"/>
        <v>#N/A</v>
      </c>
      <c r="J183" s="13" t="e">
        <f t="shared" si="35"/>
        <v>#N/A</v>
      </c>
      <c r="K183" s="13" t="str">
        <f t="shared" si="36"/>
        <v/>
      </c>
      <c r="L183" s="13" t="e">
        <f t="shared" si="37"/>
        <v>#N/A</v>
      </c>
      <c r="M183" s="13" t="e">
        <f t="shared" si="38"/>
        <v>#N/A</v>
      </c>
      <c r="N183" s="13" t="e">
        <f t="shared" si="39"/>
        <v>#N/A</v>
      </c>
    </row>
    <row r="184" spans="1:14">
      <c r="A184" s="12"/>
      <c r="B184" s="12"/>
      <c r="C184" s="12"/>
      <c r="D184" s="12"/>
      <c r="E184" s="12"/>
      <c r="F184" s="17"/>
      <c r="G184" s="13">
        <v>35</v>
      </c>
      <c r="H184" s="13" t="e">
        <f t="shared" si="33"/>
        <v>#N/A</v>
      </c>
      <c r="I184" s="13" t="e">
        <f t="shared" si="34"/>
        <v>#N/A</v>
      </c>
      <c r="J184" s="13" t="e">
        <f t="shared" si="35"/>
        <v>#N/A</v>
      </c>
      <c r="K184" s="13" t="str">
        <f t="shared" si="36"/>
        <v/>
      </c>
      <c r="L184" s="13" t="e">
        <f t="shared" si="37"/>
        <v>#N/A</v>
      </c>
      <c r="M184" s="13" t="e">
        <f t="shared" si="38"/>
        <v>#N/A</v>
      </c>
      <c r="N184" s="13" t="e">
        <f t="shared" si="39"/>
        <v>#N/A</v>
      </c>
    </row>
    <row r="185" spans="1:14">
      <c r="A185" s="12"/>
      <c r="B185" s="12"/>
      <c r="C185" s="12"/>
      <c r="D185" s="12"/>
      <c r="E185" s="12"/>
      <c r="F185" s="17"/>
      <c r="G185" s="13">
        <v>36</v>
      </c>
      <c r="H185" s="13" t="e">
        <f t="shared" si="33"/>
        <v>#N/A</v>
      </c>
      <c r="I185" s="13" t="e">
        <f t="shared" si="34"/>
        <v>#N/A</v>
      </c>
      <c r="J185" s="13" t="e">
        <f t="shared" si="35"/>
        <v>#N/A</v>
      </c>
      <c r="K185" s="13" t="str">
        <f t="shared" si="36"/>
        <v/>
      </c>
      <c r="L185" s="13" t="e">
        <f t="shared" si="37"/>
        <v>#N/A</v>
      </c>
      <c r="M185" s="13" t="e">
        <f t="shared" si="38"/>
        <v>#N/A</v>
      </c>
      <c r="N185" s="13" t="e">
        <f t="shared" si="39"/>
        <v>#N/A</v>
      </c>
    </row>
    <row r="186" spans="1:14">
      <c r="A186" s="12"/>
      <c r="B186" s="12"/>
      <c r="C186" s="12"/>
      <c r="D186" s="12"/>
      <c r="E186" s="12"/>
      <c r="F186" s="17"/>
      <c r="G186" s="13">
        <v>37</v>
      </c>
      <c r="H186" s="13" t="e">
        <f t="shared" si="33"/>
        <v>#N/A</v>
      </c>
      <c r="I186" s="13" t="e">
        <f t="shared" si="34"/>
        <v>#N/A</v>
      </c>
      <c r="J186" s="13" t="e">
        <f t="shared" si="35"/>
        <v>#N/A</v>
      </c>
      <c r="K186" s="13" t="str">
        <f t="shared" si="36"/>
        <v/>
      </c>
      <c r="L186" s="13" t="e">
        <f t="shared" si="37"/>
        <v>#N/A</v>
      </c>
      <c r="M186" s="13" t="e">
        <f t="shared" si="38"/>
        <v>#N/A</v>
      </c>
      <c r="N186" s="13" t="e">
        <f t="shared" si="39"/>
        <v>#N/A</v>
      </c>
    </row>
    <row r="187" spans="1:14">
      <c r="A187" s="12"/>
      <c r="B187" s="12"/>
      <c r="C187" s="12"/>
      <c r="D187" s="12"/>
      <c r="E187" s="12"/>
      <c r="F187" s="17"/>
      <c r="G187" s="13">
        <v>38</v>
      </c>
      <c r="H187" s="13" t="e">
        <f t="shared" si="33"/>
        <v>#N/A</v>
      </c>
      <c r="I187" s="13" t="e">
        <f t="shared" si="34"/>
        <v>#N/A</v>
      </c>
      <c r="J187" s="13" t="e">
        <f t="shared" si="35"/>
        <v>#N/A</v>
      </c>
      <c r="K187" s="13" t="str">
        <f t="shared" si="36"/>
        <v/>
      </c>
      <c r="L187" s="13" t="e">
        <f t="shared" si="37"/>
        <v>#N/A</v>
      </c>
      <c r="M187" s="13" t="e">
        <f t="shared" si="38"/>
        <v>#N/A</v>
      </c>
      <c r="N187" s="13" t="e">
        <f t="shared" si="39"/>
        <v>#N/A</v>
      </c>
    </row>
    <row r="188" spans="1:14">
      <c r="A188" s="12"/>
      <c r="B188" s="12"/>
      <c r="C188" s="12"/>
      <c r="D188" s="12"/>
      <c r="E188" s="12"/>
      <c r="F188" s="17"/>
      <c r="G188" s="13">
        <v>39</v>
      </c>
      <c r="H188" s="13" t="e">
        <f t="shared" si="33"/>
        <v>#N/A</v>
      </c>
      <c r="I188" s="13" t="e">
        <f t="shared" si="34"/>
        <v>#N/A</v>
      </c>
      <c r="J188" s="13" t="e">
        <f t="shared" si="35"/>
        <v>#N/A</v>
      </c>
      <c r="K188" s="13" t="str">
        <f t="shared" si="36"/>
        <v/>
      </c>
      <c r="L188" s="13" t="e">
        <f t="shared" si="37"/>
        <v>#N/A</v>
      </c>
      <c r="M188" s="13" t="e">
        <f t="shared" si="38"/>
        <v>#N/A</v>
      </c>
      <c r="N188" s="13" t="e">
        <f t="shared" si="39"/>
        <v>#N/A</v>
      </c>
    </row>
    <row r="189" spans="1:14">
      <c r="A189" s="12"/>
      <c r="B189" s="12"/>
      <c r="C189" s="12"/>
      <c r="D189" s="12"/>
      <c r="E189" s="12"/>
      <c r="F189" s="17"/>
      <c r="G189" s="13">
        <v>40</v>
      </c>
      <c r="H189" s="13" t="e">
        <f t="shared" si="33"/>
        <v>#N/A</v>
      </c>
      <c r="I189" s="13" t="e">
        <f t="shared" si="34"/>
        <v>#N/A</v>
      </c>
      <c r="J189" s="13" t="e">
        <f t="shared" si="35"/>
        <v>#N/A</v>
      </c>
      <c r="K189" s="13" t="str">
        <f t="shared" si="36"/>
        <v/>
      </c>
      <c r="L189" s="13" t="e">
        <f t="shared" si="37"/>
        <v>#N/A</v>
      </c>
      <c r="M189" s="13" t="e">
        <f t="shared" si="38"/>
        <v>#N/A</v>
      </c>
      <c r="N189" s="13" t="e">
        <f t="shared" si="39"/>
        <v>#N/A</v>
      </c>
    </row>
    <row r="190" spans="1:14">
      <c r="A190" s="12"/>
      <c r="B190" s="12"/>
      <c r="C190" s="12"/>
      <c r="D190" s="12"/>
      <c r="E190" s="12"/>
      <c r="F190" s="17"/>
      <c r="G190" s="13">
        <v>41</v>
      </c>
      <c r="H190" s="13" t="e">
        <f t="shared" si="33"/>
        <v>#N/A</v>
      </c>
      <c r="I190" s="13" t="e">
        <f t="shared" si="34"/>
        <v>#N/A</v>
      </c>
      <c r="J190" s="13" t="e">
        <f t="shared" si="35"/>
        <v>#N/A</v>
      </c>
      <c r="K190" s="13" t="str">
        <f t="shared" si="36"/>
        <v/>
      </c>
      <c r="L190" s="13" t="e">
        <f t="shared" si="37"/>
        <v>#N/A</v>
      </c>
      <c r="M190" s="13" t="e">
        <f t="shared" si="38"/>
        <v>#N/A</v>
      </c>
      <c r="N190" s="13" t="e">
        <f t="shared" si="39"/>
        <v>#N/A</v>
      </c>
    </row>
    <row r="191" spans="1:14">
      <c r="A191" s="12"/>
      <c r="B191" s="12"/>
      <c r="C191" s="12"/>
      <c r="D191" s="12"/>
      <c r="E191" s="12"/>
      <c r="F191" s="17"/>
      <c r="G191" s="13">
        <v>42</v>
      </c>
      <c r="H191" s="13" t="e">
        <f t="shared" si="33"/>
        <v>#N/A</v>
      </c>
      <c r="I191" s="13" t="e">
        <f t="shared" si="34"/>
        <v>#N/A</v>
      </c>
      <c r="J191" s="13" t="e">
        <f t="shared" si="35"/>
        <v>#N/A</v>
      </c>
      <c r="K191" s="13" t="str">
        <f t="shared" si="36"/>
        <v/>
      </c>
      <c r="L191" s="13" t="e">
        <f t="shared" si="37"/>
        <v>#N/A</v>
      </c>
      <c r="M191" s="13" t="e">
        <f t="shared" si="38"/>
        <v>#N/A</v>
      </c>
      <c r="N191" s="13" t="e">
        <f t="shared" si="39"/>
        <v>#N/A</v>
      </c>
    </row>
    <row r="192" spans="1:14">
      <c r="A192" s="12"/>
      <c r="B192" s="12"/>
      <c r="C192" s="12"/>
      <c r="D192" s="12"/>
      <c r="E192" s="12"/>
      <c r="F192" s="17"/>
      <c r="G192" s="13">
        <v>43</v>
      </c>
      <c r="H192" s="13" t="e">
        <f t="shared" si="33"/>
        <v>#N/A</v>
      </c>
      <c r="I192" s="13" t="e">
        <f t="shared" si="34"/>
        <v>#N/A</v>
      </c>
      <c r="J192" s="13" t="e">
        <f t="shared" si="35"/>
        <v>#N/A</v>
      </c>
      <c r="K192" s="13" t="str">
        <f t="shared" si="36"/>
        <v/>
      </c>
      <c r="L192" s="13" t="e">
        <f t="shared" si="37"/>
        <v>#N/A</v>
      </c>
      <c r="M192" s="13" t="e">
        <f t="shared" si="38"/>
        <v>#N/A</v>
      </c>
      <c r="N192" s="13" t="e">
        <f t="shared" si="39"/>
        <v>#N/A</v>
      </c>
    </row>
    <row r="193" spans="1:14">
      <c r="A193" s="12"/>
      <c r="B193" s="12"/>
      <c r="C193" s="12"/>
      <c r="D193" s="12"/>
      <c r="E193" s="12"/>
      <c r="F193" s="17"/>
      <c r="G193" s="13">
        <v>44</v>
      </c>
      <c r="H193" s="13" t="e">
        <f t="shared" si="33"/>
        <v>#N/A</v>
      </c>
      <c r="I193" s="13" t="e">
        <f t="shared" si="34"/>
        <v>#N/A</v>
      </c>
      <c r="J193" s="13" t="e">
        <f t="shared" si="35"/>
        <v>#N/A</v>
      </c>
      <c r="K193" s="13" t="str">
        <f t="shared" si="36"/>
        <v/>
      </c>
      <c r="L193" s="13" t="e">
        <f t="shared" si="37"/>
        <v>#N/A</v>
      </c>
      <c r="M193" s="13" t="e">
        <f t="shared" si="38"/>
        <v>#N/A</v>
      </c>
      <c r="N193" s="13" t="e">
        <f t="shared" si="39"/>
        <v>#N/A</v>
      </c>
    </row>
    <row r="194" spans="1:14">
      <c r="A194" s="12"/>
      <c r="B194" s="12"/>
      <c r="C194" s="12"/>
      <c r="D194" s="12"/>
      <c r="E194" s="12"/>
      <c r="F194" s="17"/>
      <c r="G194" s="13">
        <v>45</v>
      </c>
      <c r="H194" s="13" t="e">
        <f t="shared" si="33"/>
        <v>#N/A</v>
      </c>
      <c r="I194" s="13" t="e">
        <f t="shared" si="34"/>
        <v>#N/A</v>
      </c>
      <c r="J194" s="13" t="e">
        <f t="shared" si="35"/>
        <v>#N/A</v>
      </c>
      <c r="K194" s="13" t="str">
        <f t="shared" si="36"/>
        <v/>
      </c>
      <c r="L194" s="13" t="e">
        <f t="shared" si="37"/>
        <v>#N/A</v>
      </c>
      <c r="M194" s="13" t="e">
        <f t="shared" si="38"/>
        <v>#N/A</v>
      </c>
      <c r="N194" s="13" t="e">
        <f t="shared" si="39"/>
        <v>#N/A</v>
      </c>
    </row>
    <row r="195" spans="1:14">
      <c r="A195" s="12"/>
      <c r="B195" s="12"/>
      <c r="C195" s="12"/>
      <c r="D195" s="12"/>
      <c r="E195" s="12"/>
      <c r="F195" s="17"/>
      <c r="G195" s="13">
        <v>46</v>
      </c>
      <c r="H195" s="13" t="e">
        <f t="shared" si="33"/>
        <v>#N/A</v>
      </c>
      <c r="I195" s="13" t="e">
        <f t="shared" si="34"/>
        <v>#N/A</v>
      </c>
      <c r="J195" s="13" t="e">
        <f t="shared" si="35"/>
        <v>#N/A</v>
      </c>
      <c r="K195" s="13" t="str">
        <f t="shared" si="36"/>
        <v/>
      </c>
      <c r="L195" s="13" t="e">
        <f t="shared" si="37"/>
        <v>#N/A</v>
      </c>
      <c r="M195" s="13" t="e">
        <f t="shared" si="38"/>
        <v>#N/A</v>
      </c>
      <c r="N195" s="13" t="e">
        <f t="shared" si="39"/>
        <v>#N/A</v>
      </c>
    </row>
    <row r="196" spans="1:14">
      <c r="A196" s="12"/>
      <c r="B196" s="12"/>
      <c r="C196" s="12"/>
      <c r="D196" s="12"/>
      <c r="E196" s="12"/>
      <c r="F196" s="17"/>
      <c r="G196" s="13">
        <v>47</v>
      </c>
      <c r="H196" s="13" t="e">
        <f t="shared" si="33"/>
        <v>#N/A</v>
      </c>
      <c r="I196" s="13" t="e">
        <f t="shared" si="34"/>
        <v>#N/A</v>
      </c>
      <c r="J196" s="13" t="e">
        <f t="shared" si="35"/>
        <v>#N/A</v>
      </c>
      <c r="K196" s="13" t="str">
        <f t="shared" si="36"/>
        <v/>
      </c>
      <c r="L196" s="13" t="e">
        <f t="shared" si="37"/>
        <v>#N/A</v>
      </c>
      <c r="M196" s="13" t="e">
        <f t="shared" si="38"/>
        <v>#N/A</v>
      </c>
      <c r="N196" s="13" t="e">
        <f t="shared" si="39"/>
        <v>#N/A</v>
      </c>
    </row>
    <row r="197" spans="1:14">
      <c r="A197" s="12"/>
      <c r="B197" s="12"/>
      <c r="C197" s="12"/>
      <c r="D197" s="12"/>
      <c r="E197" s="12"/>
      <c r="F197" s="17"/>
      <c r="G197" s="13">
        <v>48</v>
      </c>
      <c r="H197" s="13" t="e">
        <f t="shared" si="33"/>
        <v>#N/A</v>
      </c>
      <c r="I197" s="13" t="e">
        <f t="shared" si="34"/>
        <v>#N/A</v>
      </c>
      <c r="J197" s="13" t="e">
        <f t="shared" si="35"/>
        <v>#N/A</v>
      </c>
      <c r="K197" s="13" t="str">
        <f t="shared" si="36"/>
        <v/>
      </c>
      <c r="L197" s="13" t="e">
        <f t="shared" si="37"/>
        <v>#N/A</v>
      </c>
      <c r="M197" s="13" t="e">
        <f t="shared" si="38"/>
        <v>#N/A</v>
      </c>
      <c r="N197" s="13" t="e">
        <f t="shared" si="39"/>
        <v>#N/A</v>
      </c>
    </row>
    <row r="198" spans="1:14">
      <c r="A198" s="12"/>
      <c r="B198" s="12"/>
      <c r="C198" s="12"/>
      <c r="D198" s="12"/>
      <c r="E198" s="12"/>
      <c r="F198" s="17"/>
      <c r="G198" s="13">
        <v>49</v>
      </c>
      <c r="H198" s="13" t="e">
        <f t="shared" si="33"/>
        <v>#N/A</v>
      </c>
      <c r="I198" s="13" t="e">
        <f t="shared" si="34"/>
        <v>#N/A</v>
      </c>
      <c r="J198" s="13" t="e">
        <f t="shared" si="35"/>
        <v>#N/A</v>
      </c>
      <c r="K198" s="13" t="str">
        <f t="shared" si="36"/>
        <v/>
      </c>
      <c r="L198" s="13" t="e">
        <f t="shared" si="37"/>
        <v>#N/A</v>
      </c>
      <c r="M198" s="13" t="e">
        <f t="shared" si="38"/>
        <v>#N/A</v>
      </c>
      <c r="N198" s="13" t="e">
        <f t="shared" si="39"/>
        <v>#N/A</v>
      </c>
    </row>
    <row r="199" spans="1:14">
      <c r="A199" s="12"/>
      <c r="B199" s="12"/>
      <c r="C199" s="12"/>
      <c r="D199" s="12"/>
      <c r="E199" s="12"/>
      <c r="F199" s="17"/>
      <c r="G199" s="13">
        <v>50</v>
      </c>
      <c r="H199" s="13" t="e">
        <f t="shared" si="33"/>
        <v>#N/A</v>
      </c>
      <c r="I199" s="13" t="e">
        <f t="shared" si="34"/>
        <v>#N/A</v>
      </c>
      <c r="J199" s="13" t="e">
        <f t="shared" si="35"/>
        <v>#N/A</v>
      </c>
      <c r="K199" s="13" t="str">
        <f t="shared" si="36"/>
        <v/>
      </c>
      <c r="L199" s="13" t="e">
        <f t="shared" si="37"/>
        <v>#N/A</v>
      </c>
      <c r="M199" s="13" t="e">
        <f t="shared" si="38"/>
        <v>#N/A</v>
      </c>
      <c r="N199" s="13" t="e">
        <f t="shared" si="39"/>
        <v>#N/A</v>
      </c>
    </row>
    <row r="200" spans="1:14">
      <c r="A200" s="12"/>
      <c r="B200" s="12"/>
      <c r="C200" s="12"/>
      <c r="D200" s="12"/>
      <c r="E200" s="12"/>
      <c r="F200" s="17"/>
      <c r="G200" s="13">
        <v>51</v>
      </c>
      <c r="H200" s="13" t="e">
        <f t="shared" si="33"/>
        <v>#N/A</v>
      </c>
      <c r="I200" s="13" t="e">
        <f t="shared" si="34"/>
        <v>#N/A</v>
      </c>
      <c r="J200" s="13" t="e">
        <f t="shared" si="35"/>
        <v>#N/A</v>
      </c>
      <c r="K200" s="13" t="str">
        <f t="shared" si="36"/>
        <v/>
      </c>
      <c r="L200" s="13" t="e">
        <f t="shared" si="37"/>
        <v>#N/A</v>
      </c>
      <c r="M200" s="13" t="e">
        <f t="shared" si="38"/>
        <v>#N/A</v>
      </c>
      <c r="N200" s="13" t="e">
        <f t="shared" si="39"/>
        <v>#N/A</v>
      </c>
    </row>
    <row r="201" spans="1:14">
      <c r="A201" s="12"/>
      <c r="B201" s="12"/>
      <c r="C201" s="12"/>
      <c r="D201" s="12"/>
      <c r="E201" s="12"/>
      <c r="F201" s="17"/>
      <c r="G201" s="13">
        <v>52</v>
      </c>
      <c r="H201" s="13" t="e">
        <f t="shared" si="33"/>
        <v>#N/A</v>
      </c>
      <c r="I201" s="13" t="e">
        <f t="shared" si="34"/>
        <v>#N/A</v>
      </c>
      <c r="J201" s="13" t="e">
        <f t="shared" si="35"/>
        <v>#N/A</v>
      </c>
      <c r="K201" s="13" t="str">
        <f t="shared" si="36"/>
        <v/>
      </c>
      <c r="L201" s="13" t="e">
        <f t="shared" si="37"/>
        <v>#N/A</v>
      </c>
      <c r="M201" s="13" t="e">
        <f t="shared" si="38"/>
        <v>#N/A</v>
      </c>
      <c r="N201" s="13" t="e">
        <f t="shared" si="39"/>
        <v>#N/A</v>
      </c>
    </row>
    <row r="202" spans="1:14">
      <c r="A202" s="12"/>
      <c r="B202" s="12"/>
      <c r="C202" s="12"/>
      <c r="D202" s="12"/>
      <c r="E202" s="12"/>
      <c r="F202" s="17"/>
      <c r="G202" s="13">
        <v>53</v>
      </c>
      <c r="H202" s="13" t="e">
        <f t="shared" si="33"/>
        <v>#N/A</v>
      </c>
      <c r="I202" s="13" t="e">
        <f t="shared" si="34"/>
        <v>#N/A</v>
      </c>
      <c r="J202" s="13" t="e">
        <f t="shared" si="35"/>
        <v>#N/A</v>
      </c>
      <c r="K202" s="13" t="str">
        <f t="shared" si="36"/>
        <v/>
      </c>
      <c r="L202" s="13" t="e">
        <f t="shared" si="37"/>
        <v>#N/A</v>
      </c>
      <c r="M202" s="13" t="e">
        <f t="shared" si="38"/>
        <v>#N/A</v>
      </c>
      <c r="N202" s="13" t="e">
        <f t="shared" si="39"/>
        <v>#N/A</v>
      </c>
    </row>
    <row r="203" spans="1:14">
      <c r="A203" s="12"/>
      <c r="B203" s="12"/>
      <c r="C203" s="12"/>
      <c r="D203" s="12"/>
      <c r="E203" s="12"/>
      <c r="F203" s="17"/>
      <c r="G203" s="13">
        <v>54</v>
      </c>
      <c r="H203" s="13" t="e">
        <f t="shared" si="33"/>
        <v>#N/A</v>
      </c>
      <c r="I203" s="13" t="e">
        <f t="shared" si="34"/>
        <v>#N/A</v>
      </c>
      <c r="J203" s="13" t="e">
        <f t="shared" si="35"/>
        <v>#N/A</v>
      </c>
      <c r="K203" s="13" t="str">
        <f t="shared" si="36"/>
        <v/>
      </c>
      <c r="L203" s="13" t="e">
        <f t="shared" si="37"/>
        <v>#N/A</v>
      </c>
      <c r="M203" s="13" t="e">
        <f t="shared" si="38"/>
        <v>#N/A</v>
      </c>
      <c r="N203" s="13" t="e">
        <f t="shared" si="39"/>
        <v>#N/A</v>
      </c>
    </row>
    <row r="204" spans="1:14">
      <c r="A204" s="12"/>
      <c r="B204" s="12"/>
      <c r="C204" s="12"/>
      <c r="D204" s="12"/>
      <c r="E204" s="12"/>
      <c r="F204" s="17"/>
      <c r="G204" s="13">
        <v>55</v>
      </c>
      <c r="H204" s="13" t="e">
        <f t="shared" si="33"/>
        <v>#N/A</v>
      </c>
      <c r="I204" s="13" t="e">
        <f t="shared" si="34"/>
        <v>#N/A</v>
      </c>
      <c r="J204" s="13" t="e">
        <f t="shared" si="35"/>
        <v>#N/A</v>
      </c>
      <c r="K204" s="13" t="str">
        <f t="shared" si="36"/>
        <v/>
      </c>
      <c r="L204" s="13" t="e">
        <f t="shared" si="37"/>
        <v>#N/A</v>
      </c>
      <c r="M204" s="13" t="e">
        <f t="shared" si="38"/>
        <v>#N/A</v>
      </c>
      <c r="N204" s="13" t="e">
        <f t="shared" si="39"/>
        <v>#N/A</v>
      </c>
    </row>
    <row r="205" spans="1:14">
      <c r="A205" s="12"/>
      <c r="B205" s="12"/>
      <c r="C205" s="12"/>
      <c r="D205" s="12"/>
      <c r="E205" s="12"/>
      <c r="F205" s="17"/>
      <c r="G205" s="13">
        <v>56</v>
      </c>
      <c r="H205" s="13" t="e">
        <f t="shared" si="33"/>
        <v>#N/A</v>
      </c>
      <c r="I205" s="13" t="e">
        <f t="shared" si="34"/>
        <v>#N/A</v>
      </c>
      <c r="J205" s="13" t="e">
        <f t="shared" si="35"/>
        <v>#N/A</v>
      </c>
      <c r="K205" s="13" t="str">
        <f t="shared" si="36"/>
        <v/>
      </c>
      <c r="L205" s="13" t="e">
        <f t="shared" si="37"/>
        <v>#N/A</v>
      </c>
      <c r="M205" s="13" t="e">
        <f t="shared" si="38"/>
        <v>#N/A</v>
      </c>
      <c r="N205" s="13" t="e">
        <f t="shared" si="39"/>
        <v>#N/A</v>
      </c>
    </row>
    <row r="206" spans="1:14">
      <c r="A206" s="12"/>
      <c r="B206" s="12"/>
      <c r="C206" s="12"/>
      <c r="D206" s="12"/>
      <c r="E206" s="12"/>
      <c r="F206" s="17"/>
      <c r="G206" s="13">
        <v>57</v>
      </c>
      <c r="H206" s="13" t="e">
        <f t="shared" si="33"/>
        <v>#N/A</v>
      </c>
      <c r="I206" s="13" t="e">
        <f t="shared" si="34"/>
        <v>#N/A</v>
      </c>
      <c r="J206" s="13" t="e">
        <f t="shared" si="35"/>
        <v>#N/A</v>
      </c>
      <c r="K206" s="13" t="str">
        <f t="shared" si="36"/>
        <v/>
      </c>
      <c r="L206" s="13" t="e">
        <f t="shared" si="37"/>
        <v>#N/A</v>
      </c>
      <c r="M206" s="13" t="e">
        <f t="shared" si="38"/>
        <v>#N/A</v>
      </c>
      <c r="N206" s="13" t="e">
        <f t="shared" si="39"/>
        <v>#N/A</v>
      </c>
    </row>
    <row r="207" spans="1:14">
      <c r="A207" s="12"/>
      <c r="B207" s="12"/>
      <c r="C207" s="12"/>
      <c r="D207" s="12"/>
      <c r="E207" s="12"/>
      <c r="F207" s="17"/>
      <c r="G207" s="13">
        <v>58</v>
      </c>
      <c r="H207" s="13" t="e">
        <f t="shared" si="33"/>
        <v>#N/A</v>
      </c>
      <c r="I207" s="13" t="e">
        <f t="shared" si="34"/>
        <v>#N/A</v>
      </c>
      <c r="J207" s="13" t="e">
        <f t="shared" si="35"/>
        <v>#N/A</v>
      </c>
      <c r="K207" s="13" t="str">
        <f t="shared" si="36"/>
        <v/>
      </c>
      <c r="L207" s="13" t="e">
        <f t="shared" si="37"/>
        <v>#N/A</v>
      </c>
      <c r="M207" s="13" t="e">
        <f t="shared" si="38"/>
        <v>#N/A</v>
      </c>
      <c r="N207" s="13" t="e">
        <f t="shared" si="39"/>
        <v>#N/A</v>
      </c>
    </row>
    <row r="208" spans="1:14">
      <c r="A208" s="12"/>
      <c r="B208" s="12"/>
      <c r="C208" s="12"/>
      <c r="D208" s="12"/>
      <c r="E208" s="12"/>
      <c r="F208" s="17"/>
      <c r="G208" s="13">
        <v>59</v>
      </c>
      <c r="H208" s="13" t="e">
        <f t="shared" si="33"/>
        <v>#N/A</v>
      </c>
      <c r="I208" s="13" t="e">
        <f t="shared" si="34"/>
        <v>#N/A</v>
      </c>
      <c r="J208" s="13" t="e">
        <f t="shared" si="35"/>
        <v>#N/A</v>
      </c>
      <c r="K208" s="13" t="str">
        <f t="shared" si="36"/>
        <v/>
      </c>
      <c r="L208" s="13" t="e">
        <f t="shared" si="37"/>
        <v>#N/A</v>
      </c>
      <c r="M208" s="13" t="e">
        <f t="shared" si="38"/>
        <v>#N/A</v>
      </c>
      <c r="N208" s="13" t="e">
        <f t="shared" si="39"/>
        <v>#N/A</v>
      </c>
    </row>
    <row r="209" spans="1:14">
      <c r="A209" s="12"/>
      <c r="B209" s="12"/>
      <c r="C209" s="12"/>
      <c r="D209" s="12"/>
      <c r="E209" s="12"/>
      <c r="F209" s="17"/>
      <c r="G209" s="13">
        <v>60</v>
      </c>
      <c r="H209" s="13" t="e">
        <f t="shared" si="33"/>
        <v>#N/A</v>
      </c>
      <c r="I209" s="13" t="e">
        <f t="shared" si="34"/>
        <v>#N/A</v>
      </c>
      <c r="J209" s="13" t="e">
        <f t="shared" si="35"/>
        <v>#N/A</v>
      </c>
      <c r="K209" s="13" t="str">
        <f t="shared" si="36"/>
        <v/>
      </c>
      <c r="L209" s="13" t="e">
        <f t="shared" si="37"/>
        <v>#N/A</v>
      </c>
      <c r="M209" s="13" t="e">
        <f t="shared" si="38"/>
        <v>#N/A</v>
      </c>
      <c r="N209" s="13" t="e">
        <f t="shared" si="39"/>
        <v>#N/A</v>
      </c>
    </row>
    <row r="210" spans="1:14">
      <c r="A210" s="12"/>
      <c r="B210" s="12"/>
      <c r="C210" s="12"/>
      <c r="D210" s="12"/>
      <c r="E210" s="12"/>
      <c r="F210" s="17"/>
      <c r="G210" s="13">
        <v>61</v>
      </c>
      <c r="H210" s="13" t="e">
        <f t="shared" si="33"/>
        <v>#N/A</v>
      </c>
      <c r="I210" s="13" t="e">
        <f t="shared" si="34"/>
        <v>#N/A</v>
      </c>
      <c r="J210" s="13" t="e">
        <f t="shared" si="35"/>
        <v>#N/A</v>
      </c>
      <c r="K210" s="13" t="str">
        <f t="shared" si="36"/>
        <v/>
      </c>
      <c r="L210" s="13" t="e">
        <f t="shared" si="37"/>
        <v>#N/A</v>
      </c>
      <c r="M210" s="13" t="e">
        <f t="shared" si="38"/>
        <v>#N/A</v>
      </c>
      <c r="N210" s="13" t="e">
        <f t="shared" si="39"/>
        <v>#N/A</v>
      </c>
    </row>
    <row r="211" spans="1:14">
      <c r="A211" s="12"/>
      <c r="B211" s="12"/>
      <c r="C211" s="12"/>
      <c r="D211" s="12"/>
      <c r="E211" s="12"/>
      <c r="F211" s="17"/>
      <c r="G211" s="13">
        <v>62</v>
      </c>
      <c r="H211" s="13" t="e">
        <f t="shared" si="33"/>
        <v>#N/A</v>
      </c>
      <c r="I211" s="13" t="e">
        <f t="shared" si="34"/>
        <v>#N/A</v>
      </c>
      <c r="J211" s="13" t="e">
        <f t="shared" si="35"/>
        <v>#N/A</v>
      </c>
      <c r="K211" s="13" t="str">
        <f t="shared" si="36"/>
        <v/>
      </c>
      <c r="L211" s="13" t="e">
        <f t="shared" si="37"/>
        <v>#N/A</v>
      </c>
      <c r="M211" s="13" t="e">
        <f t="shared" si="38"/>
        <v>#N/A</v>
      </c>
      <c r="N211" s="13" t="e">
        <f t="shared" si="39"/>
        <v>#N/A</v>
      </c>
    </row>
    <row r="212" spans="1:14">
      <c r="A212" s="12"/>
      <c r="B212" s="12"/>
      <c r="C212" s="12"/>
      <c r="D212" s="12"/>
      <c r="E212" s="12"/>
      <c r="F212" s="17"/>
      <c r="G212" s="13">
        <v>63</v>
      </c>
      <c r="H212" s="13" t="e">
        <f t="shared" si="33"/>
        <v>#N/A</v>
      </c>
      <c r="I212" s="13" t="e">
        <f t="shared" si="34"/>
        <v>#N/A</v>
      </c>
      <c r="J212" s="13" t="e">
        <f t="shared" si="35"/>
        <v>#N/A</v>
      </c>
      <c r="K212" s="13" t="str">
        <f t="shared" si="36"/>
        <v/>
      </c>
      <c r="L212" s="13" t="e">
        <f t="shared" si="37"/>
        <v>#N/A</v>
      </c>
      <c r="M212" s="13" t="e">
        <f t="shared" si="38"/>
        <v>#N/A</v>
      </c>
      <c r="N212" s="13" t="e">
        <f t="shared" si="39"/>
        <v>#N/A</v>
      </c>
    </row>
    <row r="213" spans="1:14">
      <c r="A213" s="12"/>
      <c r="B213" s="12"/>
      <c r="C213" s="12"/>
      <c r="D213" s="12"/>
      <c r="E213" s="12"/>
      <c r="F213" s="17"/>
      <c r="G213" s="13">
        <v>64</v>
      </c>
      <c r="H213" s="13" t="e">
        <f t="shared" si="33"/>
        <v>#N/A</v>
      </c>
      <c r="I213" s="13" t="e">
        <f t="shared" si="34"/>
        <v>#N/A</v>
      </c>
      <c r="J213" s="13" t="e">
        <f t="shared" si="35"/>
        <v>#N/A</v>
      </c>
      <c r="K213" s="13" t="str">
        <f t="shared" si="36"/>
        <v/>
      </c>
      <c r="L213" s="13" t="e">
        <f t="shared" si="37"/>
        <v>#N/A</v>
      </c>
      <c r="M213" s="13" t="e">
        <f t="shared" si="38"/>
        <v>#N/A</v>
      </c>
      <c r="N213" s="13" t="e">
        <f t="shared" si="39"/>
        <v>#N/A</v>
      </c>
    </row>
    <row r="214" spans="1:14">
      <c r="A214" s="12"/>
      <c r="B214" s="12"/>
      <c r="C214" s="12"/>
      <c r="D214" s="12"/>
      <c r="E214" s="12"/>
      <c r="F214" s="17"/>
      <c r="G214" s="13">
        <v>65</v>
      </c>
      <c r="H214" s="13" t="e">
        <f t="shared" si="33"/>
        <v>#N/A</v>
      </c>
      <c r="I214" s="13" t="e">
        <f t="shared" si="34"/>
        <v>#N/A</v>
      </c>
      <c r="J214" s="13" t="e">
        <f t="shared" si="35"/>
        <v>#N/A</v>
      </c>
      <c r="K214" s="13" t="str">
        <f t="shared" si="36"/>
        <v/>
      </c>
      <c r="L214" s="13" t="e">
        <f t="shared" si="37"/>
        <v>#N/A</v>
      </c>
      <c r="M214" s="13" t="e">
        <f t="shared" si="38"/>
        <v>#N/A</v>
      </c>
      <c r="N214" s="13" t="e">
        <f t="shared" si="39"/>
        <v>#N/A</v>
      </c>
    </row>
    <row r="215" spans="1:14">
      <c r="A215" s="12"/>
      <c r="B215" s="12"/>
      <c r="C215" s="12"/>
      <c r="D215" s="12"/>
      <c r="E215" s="12"/>
      <c r="F215" s="17"/>
      <c r="G215" s="13">
        <v>66</v>
      </c>
      <c r="H215" s="13" t="e">
        <f t="shared" si="33"/>
        <v>#N/A</v>
      </c>
      <c r="I215" s="13" t="e">
        <f t="shared" si="34"/>
        <v>#N/A</v>
      </c>
      <c r="J215" s="13" t="e">
        <f t="shared" si="35"/>
        <v>#N/A</v>
      </c>
      <c r="K215" s="13" t="str">
        <f t="shared" si="36"/>
        <v/>
      </c>
      <c r="L215" s="13" t="e">
        <f t="shared" si="37"/>
        <v>#N/A</v>
      </c>
      <c r="M215" s="13" t="e">
        <f t="shared" si="38"/>
        <v>#N/A</v>
      </c>
      <c r="N215" s="13" t="e">
        <f t="shared" si="39"/>
        <v>#N/A</v>
      </c>
    </row>
    <row r="216" spans="1:14">
      <c r="A216" s="12"/>
      <c r="B216" s="12"/>
      <c r="C216" s="12"/>
      <c r="D216" s="12"/>
      <c r="E216" s="12"/>
      <c r="F216" s="17"/>
      <c r="G216" s="13">
        <v>67</v>
      </c>
      <c r="H216" s="13" t="e">
        <f t="shared" si="33"/>
        <v>#N/A</v>
      </c>
      <c r="I216" s="13" t="e">
        <f t="shared" si="34"/>
        <v>#N/A</v>
      </c>
      <c r="J216" s="13" t="e">
        <f t="shared" si="35"/>
        <v>#N/A</v>
      </c>
      <c r="K216" s="13" t="str">
        <f t="shared" si="36"/>
        <v/>
      </c>
      <c r="L216" s="13" t="e">
        <f t="shared" si="37"/>
        <v>#N/A</v>
      </c>
      <c r="M216" s="13" t="e">
        <f t="shared" si="38"/>
        <v>#N/A</v>
      </c>
      <c r="N216" s="13" t="e">
        <f t="shared" si="39"/>
        <v>#N/A</v>
      </c>
    </row>
    <row r="217" spans="1:14">
      <c r="A217" s="12"/>
      <c r="B217" s="12"/>
      <c r="C217" s="12"/>
      <c r="D217" s="12"/>
      <c r="E217" s="12"/>
      <c r="F217" s="17"/>
      <c r="G217" s="13">
        <v>68</v>
      </c>
      <c r="H217" s="13" t="e">
        <f t="shared" si="33"/>
        <v>#N/A</v>
      </c>
      <c r="I217" s="13" t="e">
        <f t="shared" si="34"/>
        <v>#N/A</v>
      </c>
      <c r="J217" s="13" t="e">
        <f t="shared" si="35"/>
        <v>#N/A</v>
      </c>
      <c r="K217" s="13" t="str">
        <f t="shared" si="36"/>
        <v/>
      </c>
      <c r="L217" s="13" t="e">
        <f t="shared" si="37"/>
        <v>#N/A</v>
      </c>
      <c r="M217" s="13" t="e">
        <f t="shared" si="38"/>
        <v>#N/A</v>
      </c>
      <c r="N217" s="13" t="e">
        <f t="shared" si="39"/>
        <v>#N/A</v>
      </c>
    </row>
    <row r="218" spans="1:14">
      <c r="A218" s="12"/>
      <c r="B218" s="12"/>
      <c r="C218" s="12"/>
      <c r="D218" s="12"/>
      <c r="E218" s="12"/>
      <c r="F218" s="17"/>
      <c r="G218" s="13">
        <v>69</v>
      </c>
      <c r="H218" s="13" t="e">
        <f t="shared" si="33"/>
        <v>#N/A</v>
      </c>
      <c r="I218" s="13" t="e">
        <f t="shared" si="34"/>
        <v>#N/A</v>
      </c>
      <c r="J218" s="13" t="e">
        <f t="shared" si="35"/>
        <v>#N/A</v>
      </c>
      <c r="K218" s="13" t="str">
        <f t="shared" si="36"/>
        <v/>
      </c>
      <c r="L218" s="13" t="e">
        <f t="shared" si="37"/>
        <v>#N/A</v>
      </c>
      <c r="M218" s="13" t="e">
        <f t="shared" si="38"/>
        <v>#N/A</v>
      </c>
      <c r="N218" s="13" t="e">
        <f t="shared" si="39"/>
        <v>#N/A</v>
      </c>
    </row>
    <row r="219" spans="1:14">
      <c r="A219" s="12"/>
      <c r="B219" s="12"/>
      <c r="C219" s="12"/>
      <c r="D219" s="12"/>
      <c r="E219" s="12"/>
      <c r="F219" s="17"/>
      <c r="G219" s="13">
        <v>70</v>
      </c>
      <c r="H219" s="13" t="e">
        <f t="shared" si="33"/>
        <v>#N/A</v>
      </c>
      <c r="I219" s="13" t="e">
        <f t="shared" si="34"/>
        <v>#N/A</v>
      </c>
      <c r="J219" s="13" t="e">
        <f t="shared" si="35"/>
        <v>#N/A</v>
      </c>
      <c r="K219" s="13" t="str">
        <f t="shared" si="36"/>
        <v/>
      </c>
      <c r="L219" s="13" t="e">
        <f t="shared" si="37"/>
        <v>#N/A</v>
      </c>
      <c r="M219" s="13" t="e">
        <f t="shared" si="38"/>
        <v>#N/A</v>
      </c>
      <c r="N219" s="13" t="e">
        <f t="shared" si="39"/>
        <v>#N/A</v>
      </c>
    </row>
    <row r="220" spans="1:14">
      <c r="A220" s="12"/>
      <c r="B220" s="12"/>
      <c r="C220" s="12"/>
      <c r="D220" s="12"/>
      <c r="E220" s="12"/>
      <c r="F220" s="17"/>
      <c r="G220" s="13">
        <v>71</v>
      </c>
      <c r="H220" s="13" t="e">
        <f t="shared" si="33"/>
        <v>#N/A</v>
      </c>
      <c r="I220" s="13" t="e">
        <f t="shared" si="34"/>
        <v>#N/A</v>
      </c>
      <c r="J220" s="13" t="e">
        <f t="shared" si="35"/>
        <v>#N/A</v>
      </c>
      <c r="K220" s="13" t="str">
        <f t="shared" si="36"/>
        <v/>
      </c>
      <c r="L220" s="13" t="e">
        <f t="shared" si="37"/>
        <v>#N/A</v>
      </c>
      <c r="M220" s="13" t="e">
        <f t="shared" si="38"/>
        <v>#N/A</v>
      </c>
      <c r="N220" s="13" t="e">
        <f t="shared" si="39"/>
        <v>#N/A</v>
      </c>
    </row>
    <row r="221" spans="1:14">
      <c r="A221" s="12"/>
      <c r="B221" s="12"/>
      <c r="C221" s="12"/>
      <c r="D221" s="12"/>
      <c r="E221" s="12"/>
      <c r="F221" s="17"/>
      <c r="G221" s="13">
        <v>72</v>
      </c>
      <c r="H221" s="13" t="e">
        <f t="shared" si="33"/>
        <v>#N/A</v>
      </c>
      <c r="I221" s="13" t="e">
        <f t="shared" si="34"/>
        <v>#N/A</v>
      </c>
      <c r="J221" s="13" t="e">
        <f t="shared" si="35"/>
        <v>#N/A</v>
      </c>
      <c r="K221" s="13" t="str">
        <f t="shared" si="36"/>
        <v/>
      </c>
      <c r="L221" s="13" t="e">
        <f t="shared" si="37"/>
        <v>#N/A</v>
      </c>
      <c r="M221" s="13" t="e">
        <f t="shared" si="38"/>
        <v>#N/A</v>
      </c>
      <c r="N221" s="13" t="e">
        <f t="shared" si="39"/>
        <v>#N/A</v>
      </c>
    </row>
    <row r="222" spans="1:14">
      <c r="A222" s="12"/>
      <c r="B222" s="12"/>
      <c r="C222" s="12"/>
      <c r="D222" s="12"/>
      <c r="E222" s="12"/>
      <c r="F222" s="17"/>
      <c r="G222" s="13">
        <v>73</v>
      </c>
      <c r="H222" s="13" t="e">
        <f t="shared" si="33"/>
        <v>#N/A</v>
      </c>
      <c r="I222" s="13" t="e">
        <f t="shared" si="34"/>
        <v>#N/A</v>
      </c>
      <c r="J222" s="13" t="e">
        <f t="shared" si="35"/>
        <v>#N/A</v>
      </c>
      <c r="K222" s="13" t="str">
        <f t="shared" si="36"/>
        <v/>
      </c>
      <c r="L222" s="13" t="e">
        <f t="shared" si="37"/>
        <v>#N/A</v>
      </c>
      <c r="M222" s="13" t="e">
        <f t="shared" si="38"/>
        <v>#N/A</v>
      </c>
      <c r="N222" s="13" t="e">
        <f t="shared" si="39"/>
        <v>#N/A</v>
      </c>
    </row>
    <row r="223" spans="1:14">
      <c r="A223" s="12"/>
      <c r="B223" s="12"/>
      <c r="C223" s="12"/>
      <c r="D223" s="12"/>
      <c r="E223" s="12"/>
      <c r="F223" s="17"/>
      <c r="G223" s="13">
        <v>74</v>
      </c>
      <c r="H223" s="13" t="e">
        <f t="shared" si="33"/>
        <v>#N/A</v>
      </c>
      <c r="I223" s="13" t="e">
        <f t="shared" si="34"/>
        <v>#N/A</v>
      </c>
      <c r="J223" s="13" t="e">
        <f t="shared" si="35"/>
        <v>#N/A</v>
      </c>
      <c r="K223" s="13" t="str">
        <f t="shared" si="36"/>
        <v/>
      </c>
      <c r="L223" s="13" t="e">
        <f t="shared" si="37"/>
        <v>#N/A</v>
      </c>
      <c r="M223" s="13" t="e">
        <f t="shared" si="38"/>
        <v>#N/A</v>
      </c>
      <c r="N223" s="13" t="e">
        <f t="shared" si="39"/>
        <v>#N/A</v>
      </c>
    </row>
    <row r="224" spans="1:14">
      <c r="A224" s="12"/>
      <c r="B224" s="12"/>
      <c r="C224" s="12"/>
      <c r="D224" s="12"/>
      <c r="E224" s="12"/>
      <c r="F224" s="17"/>
      <c r="G224" s="13">
        <v>75</v>
      </c>
      <c r="H224" s="13" t="e">
        <f t="shared" si="33"/>
        <v>#N/A</v>
      </c>
      <c r="I224" s="13" t="e">
        <f t="shared" si="34"/>
        <v>#N/A</v>
      </c>
      <c r="J224" s="13" t="e">
        <f t="shared" si="35"/>
        <v>#N/A</v>
      </c>
      <c r="K224" s="13" t="str">
        <f t="shared" si="36"/>
        <v/>
      </c>
      <c r="L224" s="13" t="e">
        <f t="shared" si="37"/>
        <v>#N/A</v>
      </c>
      <c r="M224" s="13" t="e">
        <f t="shared" si="38"/>
        <v>#N/A</v>
      </c>
      <c r="N224" s="13" t="e">
        <f t="shared" si="39"/>
        <v>#N/A</v>
      </c>
    </row>
    <row r="225" spans="1:14">
      <c r="A225" s="12"/>
      <c r="B225" s="12"/>
      <c r="C225" s="12"/>
      <c r="D225" s="12"/>
      <c r="E225" s="12"/>
      <c r="F225" s="17"/>
      <c r="G225" s="13">
        <v>76</v>
      </c>
      <c r="H225" s="13" t="e">
        <f t="shared" si="33"/>
        <v>#N/A</v>
      </c>
      <c r="I225" s="13" t="e">
        <f t="shared" si="34"/>
        <v>#N/A</v>
      </c>
      <c r="J225" s="13" t="e">
        <f t="shared" si="35"/>
        <v>#N/A</v>
      </c>
      <c r="K225" s="13" t="str">
        <f t="shared" si="36"/>
        <v/>
      </c>
      <c r="L225" s="13" t="e">
        <f t="shared" si="37"/>
        <v>#N/A</v>
      </c>
      <c r="M225" s="13" t="e">
        <f t="shared" si="38"/>
        <v>#N/A</v>
      </c>
      <c r="N225" s="13" t="e">
        <f t="shared" si="39"/>
        <v>#N/A</v>
      </c>
    </row>
    <row r="226" spans="1:14">
      <c r="A226" s="12"/>
      <c r="B226" s="12"/>
      <c r="C226" s="12"/>
      <c r="D226" s="12"/>
      <c r="E226" s="12"/>
      <c r="F226" s="17"/>
      <c r="G226" s="13">
        <v>77</v>
      </c>
      <c r="H226" s="13" t="e">
        <f t="shared" si="33"/>
        <v>#N/A</v>
      </c>
      <c r="I226" s="13" t="e">
        <f t="shared" si="34"/>
        <v>#N/A</v>
      </c>
      <c r="J226" s="13" t="e">
        <f t="shared" si="35"/>
        <v>#N/A</v>
      </c>
      <c r="K226" s="13" t="str">
        <f t="shared" si="36"/>
        <v/>
      </c>
      <c r="L226" s="13" t="e">
        <f t="shared" si="37"/>
        <v>#N/A</v>
      </c>
      <c r="M226" s="13" t="e">
        <f t="shared" si="38"/>
        <v>#N/A</v>
      </c>
      <c r="N226" s="13" t="e">
        <f t="shared" si="39"/>
        <v>#N/A</v>
      </c>
    </row>
    <row r="227" spans="1:14">
      <c r="A227" s="12"/>
      <c r="B227" s="12"/>
      <c r="C227" s="12"/>
      <c r="D227" s="12"/>
      <c r="E227" s="12"/>
      <c r="F227" s="17"/>
      <c r="G227" s="13">
        <v>78</v>
      </c>
      <c r="H227" s="13" t="e">
        <f t="shared" si="33"/>
        <v>#N/A</v>
      </c>
      <c r="I227" s="13" t="e">
        <f t="shared" si="34"/>
        <v>#N/A</v>
      </c>
      <c r="J227" s="13" t="e">
        <f t="shared" si="35"/>
        <v>#N/A</v>
      </c>
      <c r="K227" s="13" t="str">
        <f t="shared" si="36"/>
        <v/>
      </c>
      <c r="L227" s="13" t="e">
        <f t="shared" si="37"/>
        <v>#N/A</v>
      </c>
      <c r="M227" s="13" t="e">
        <f t="shared" si="38"/>
        <v>#N/A</v>
      </c>
      <c r="N227" s="13" t="e">
        <f t="shared" si="39"/>
        <v>#N/A</v>
      </c>
    </row>
    <row r="228" spans="1:14">
      <c r="A228" s="12"/>
      <c r="B228" s="12"/>
      <c r="C228" s="12"/>
      <c r="D228" s="12"/>
      <c r="E228" s="12"/>
      <c r="F228" s="17"/>
      <c r="G228" s="13">
        <v>79</v>
      </c>
      <c r="H228" s="13" t="e">
        <f t="shared" si="33"/>
        <v>#N/A</v>
      </c>
      <c r="I228" s="13" t="e">
        <f t="shared" si="34"/>
        <v>#N/A</v>
      </c>
      <c r="J228" s="13" t="e">
        <f t="shared" si="35"/>
        <v>#N/A</v>
      </c>
      <c r="K228" s="13" t="str">
        <f t="shared" si="36"/>
        <v/>
      </c>
      <c r="L228" s="13" t="e">
        <f t="shared" si="37"/>
        <v>#N/A</v>
      </c>
      <c r="M228" s="13" t="e">
        <f t="shared" si="38"/>
        <v>#N/A</v>
      </c>
      <c r="N228" s="13" t="e">
        <f t="shared" si="39"/>
        <v>#N/A</v>
      </c>
    </row>
    <row r="229" spans="1:14">
      <c r="A229" s="12"/>
      <c r="B229" s="12"/>
      <c r="C229" s="12"/>
      <c r="D229" s="12"/>
      <c r="E229" s="12"/>
      <c r="F229" s="17"/>
      <c r="G229" s="13">
        <v>80</v>
      </c>
      <c r="H229" s="13" t="e">
        <f t="shared" si="33"/>
        <v>#N/A</v>
      </c>
      <c r="I229" s="13" t="e">
        <f t="shared" si="34"/>
        <v>#N/A</v>
      </c>
      <c r="J229" s="13" t="e">
        <f t="shared" si="35"/>
        <v>#N/A</v>
      </c>
      <c r="K229" s="13" t="str">
        <f t="shared" si="36"/>
        <v/>
      </c>
      <c r="L229" s="13" t="e">
        <f t="shared" si="37"/>
        <v>#N/A</v>
      </c>
      <c r="M229" s="13" t="e">
        <f t="shared" si="38"/>
        <v>#N/A</v>
      </c>
      <c r="N229" s="13" t="e">
        <f t="shared" si="39"/>
        <v>#N/A</v>
      </c>
    </row>
    <row r="230" spans="1:14">
      <c r="A230" s="12"/>
      <c r="B230" s="12"/>
      <c r="C230" s="12"/>
      <c r="D230" s="12"/>
      <c r="E230" s="12"/>
      <c r="F230" s="17"/>
      <c r="G230" s="13">
        <v>81</v>
      </c>
      <c r="H230" s="13" t="e">
        <f t="shared" si="33"/>
        <v>#N/A</v>
      </c>
      <c r="I230" s="13" t="e">
        <f t="shared" si="34"/>
        <v>#N/A</v>
      </c>
      <c r="J230" s="13" t="e">
        <f t="shared" si="35"/>
        <v>#N/A</v>
      </c>
      <c r="K230" s="13" t="str">
        <f t="shared" si="36"/>
        <v/>
      </c>
      <c r="L230" s="13" t="e">
        <f t="shared" si="37"/>
        <v>#N/A</v>
      </c>
      <c r="M230" s="13" t="e">
        <f t="shared" si="38"/>
        <v>#N/A</v>
      </c>
      <c r="N230" s="13" t="e">
        <f t="shared" si="39"/>
        <v>#N/A</v>
      </c>
    </row>
    <row r="231" spans="1:14">
      <c r="A231" s="12"/>
      <c r="B231" s="12"/>
      <c r="C231" s="12"/>
      <c r="D231" s="12"/>
      <c r="E231" s="12"/>
      <c r="F231" s="17"/>
      <c r="G231" s="13">
        <v>82</v>
      </c>
      <c r="H231" s="13" t="e">
        <f t="shared" si="33"/>
        <v>#N/A</v>
      </c>
      <c r="I231" s="13" t="e">
        <f t="shared" si="34"/>
        <v>#N/A</v>
      </c>
      <c r="J231" s="13" t="e">
        <f t="shared" si="35"/>
        <v>#N/A</v>
      </c>
      <c r="K231" s="13" t="str">
        <f t="shared" si="36"/>
        <v/>
      </c>
      <c r="L231" s="13" t="e">
        <f t="shared" si="37"/>
        <v>#N/A</v>
      </c>
      <c r="M231" s="13" t="e">
        <f t="shared" si="38"/>
        <v>#N/A</v>
      </c>
      <c r="N231" s="13" t="e">
        <f t="shared" si="39"/>
        <v>#N/A</v>
      </c>
    </row>
    <row r="232" spans="1:14">
      <c r="A232" s="12"/>
      <c r="B232" s="12"/>
      <c r="C232" s="12"/>
      <c r="D232" s="12"/>
      <c r="E232" s="12"/>
      <c r="F232" s="17"/>
      <c r="G232" s="13">
        <v>83</v>
      </c>
      <c r="H232" s="13" t="e">
        <f t="shared" si="33"/>
        <v>#N/A</v>
      </c>
      <c r="I232" s="13" t="e">
        <f t="shared" si="34"/>
        <v>#N/A</v>
      </c>
      <c r="J232" s="13" t="e">
        <f t="shared" si="35"/>
        <v>#N/A</v>
      </c>
      <c r="K232" s="13" t="str">
        <f t="shared" si="36"/>
        <v/>
      </c>
      <c r="L232" s="13" t="e">
        <f t="shared" si="37"/>
        <v>#N/A</v>
      </c>
      <c r="M232" s="13" t="e">
        <f t="shared" si="38"/>
        <v>#N/A</v>
      </c>
      <c r="N232" s="13" t="e">
        <f t="shared" si="39"/>
        <v>#N/A</v>
      </c>
    </row>
    <row r="233" spans="1:14">
      <c r="A233" s="12"/>
      <c r="B233" s="12"/>
      <c r="C233" s="12"/>
      <c r="D233" s="12"/>
      <c r="E233" s="12"/>
      <c r="F233" s="17"/>
      <c r="G233" s="13">
        <v>84</v>
      </c>
      <c r="H233" s="13" t="e">
        <f t="shared" si="33"/>
        <v>#N/A</v>
      </c>
      <c r="I233" s="13" t="e">
        <f t="shared" si="34"/>
        <v>#N/A</v>
      </c>
      <c r="J233" s="13" t="e">
        <f t="shared" si="35"/>
        <v>#N/A</v>
      </c>
      <c r="K233" s="13" t="str">
        <f t="shared" si="36"/>
        <v/>
      </c>
      <c r="L233" s="13" t="e">
        <f t="shared" si="37"/>
        <v>#N/A</v>
      </c>
      <c r="M233" s="13" t="e">
        <f t="shared" si="38"/>
        <v>#N/A</v>
      </c>
      <c r="N233" s="13" t="e">
        <f t="shared" si="39"/>
        <v>#N/A</v>
      </c>
    </row>
    <row r="234" spans="1:14">
      <c r="A234" s="12"/>
      <c r="B234" s="12"/>
      <c r="C234" s="12"/>
      <c r="D234" s="12"/>
      <c r="E234" s="12"/>
      <c r="F234" s="17"/>
      <c r="G234" s="13">
        <v>85</v>
      </c>
      <c r="H234" s="13" t="e">
        <f t="shared" si="33"/>
        <v>#N/A</v>
      </c>
      <c r="I234" s="13" t="e">
        <f t="shared" si="34"/>
        <v>#N/A</v>
      </c>
      <c r="J234" s="13" t="e">
        <f t="shared" si="35"/>
        <v>#N/A</v>
      </c>
      <c r="K234" s="13" t="str">
        <f t="shared" si="36"/>
        <v/>
      </c>
      <c r="L234" s="13" t="e">
        <f t="shared" si="37"/>
        <v>#N/A</v>
      </c>
      <c r="M234" s="13" t="e">
        <f t="shared" si="38"/>
        <v>#N/A</v>
      </c>
      <c r="N234" s="13" t="e">
        <f t="shared" si="39"/>
        <v>#N/A</v>
      </c>
    </row>
    <row r="235" spans="1:14">
      <c r="A235" s="12"/>
      <c r="B235" s="12"/>
      <c r="C235" s="12"/>
      <c r="D235" s="12"/>
      <c r="E235" s="12"/>
      <c r="F235" s="17"/>
      <c r="G235" s="13">
        <v>86</v>
      </c>
      <c r="H235" s="13" t="e">
        <f t="shared" si="33"/>
        <v>#N/A</v>
      </c>
      <c r="I235" s="13" t="e">
        <f t="shared" si="34"/>
        <v>#N/A</v>
      </c>
      <c r="J235" s="13" t="e">
        <f t="shared" si="35"/>
        <v>#N/A</v>
      </c>
      <c r="K235" s="13" t="str">
        <f t="shared" si="36"/>
        <v/>
      </c>
      <c r="L235" s="13" t="e">
        <f t="shared" si="37"/>
        <v>#N/A</v>
      </c>
      <c r="M235" s="13" t="e">
        <f t="shared" si="38"/>
        <v>#N/A</v>
      </c>
      <c r="N235" s="13" t="e">
        <f t="shared" si="39"/>
        <v>#N/A</v>
      </c>
    </row>
    <row r="236" spans="1:14">
      <c r="A236" s="12"/>
      <c r="B236" s="12"/>
      <c r="C236" s="12"/>
      <c r="D236" s="12"/>
      <c r="E236" s="12"/>
      <c r="F236" s="17"/>
      <c r="G236" s="13">
        <v>87</v>
      </c>
      <c r="H236" s="13" t="e">
        <f t="shared" si="33"/>
        <v>#N/A</v>
      </c>
      <c r="I236" s="13" t="e">
        <f t="shared" si="34"/>
        <v>#N/A</v>
      </c>
      <c r="J236" s="13" t="e">
        <f t="shared" si="35"/>
        <v>#N/A</v>
      </c>
      <c r="K236" s="13" t="str">
        <f t="shared" si="36"/>
        <v/>
      </c>
      <c r="L236" s="13" t="e">
        <f t="shared" si="37"/>
        <v>#N/A</v>
      </c>
      <c r="M236" s="13" t="e">
        <f t="shared" si="38"/>
        <v>#N/A</v>
      </c>
      <c r="N236" s="13" t="e">
        <f t="shared" si="39"/>
        <v>#N/A</v>
      </c>
    </row>
    <row r="237" spans="1:14">
      <c r="A237" s="12"/>
      <c r="B237" s="12"/>
      <c r="C237" s="12"/>
      <c r="D237" s="12"/>
      <c r="E237" s="12"/>
      <c r="F237" s="17"/>
      <c r="G237" s="13">
        <v>88</v>
      </c>
      <c r="H237" s="13" t="e">
        <f t="shared" si="33"/>
        <v>#N/A</v>
      </c>
      <c r="I237" s="13" t="e">
        <f t="shared" si="34"/>
        <v>#N/A</v>
      </c>
      <c r="J237" s="13" t="e">
        <f t="shared" si="35"/>
        <v>#N/A</v>
      </c>
      <c r="K237" s="13" t="str">
        <f t="shared" si="36"/>
        <v/>
      </c>
      <c r="L237" s="13" t="e">
        <f t="shared" si="37"/>
        <v>#N/A</v>
      </c>
      <c r="M237" s="13" t="e">
        <f t="shared" si="38"/>
        <v>#N/A</v>
      </c>
      <c r="N237" s="13" t="e">
        <f t="shared" si="39"/>
        <v>#N/A</v>
      </c>
    </row>
    <row r="238" spans="1:14">
      <c r="A238" s="12"/>
      <c r="B238" s="12"/>
      <c r="C238" s="12"/>
      <c r="D238" s="12"/>
      <c r="E238" s="12"/>
      <c r="F238" s="17"/>
      <c r="G238" s="13">
        <v>89</v>
      </c>
      <c r="H238" s="13" t="e">
        <f t="shared" si="33"/>
        <v>#N/A</v>
      </c>
      <c r="I238" s="13" t="e">
        <f t="shared" si="34"/>
        <v>#N/A</v>
      </c>
      <c r="J238" s="13" t="e">
        <f t="shared" si="35"/>
        <v>#N/A</v>
      </c>
      <c r="K238" s="13" t="str">
        <f t="shared" si="36"/>
        <v/>
      </c>
      <c r="L238" s="13" t="e">
        <f t="shared" si="37"/>
        <v>#N/A</v>
      </c>
      <c r="M238" s="13" t="e">
        <f t="shared" si="38"/>
        <v>#N/A</v>
      </c>
      <c r="N238" s="13" t="e">
        <f t="shared" si="39"/>
        <v>#N/A</v>
      </c>
    </row>
    <row r="239" spans="1:14">
      <c r="A239" s="12"/>
      <c r="B239" s="12"/>
      <c r="C239" s="12"/>
      <c r="D239" s="12"/>
      <c r="E239" s="12"/>
      <c r="F239" s="17"/>
      <c r="G239" s="13">
        <v>90</v>
      </c>
      <c r="H239" s="13" t="e">
        <f t="shared" si="33"/>
        <v>#N/A</v>
      </c>
      <c r="I239" s="13" t="e">
        <f t="shared" si="34"/>
        <v>#N/A</v>
      </c>
      <c r="J239" s="13" t="e">
        <f t="shared" si="35"/>
        <v>#N/A</v>
      </c>
      <c r="K239" s="13" t="str">
        <f t="shared" si="36"/>
        <v/>
      </c>
      <c r="L239" s="13" t="e">
        <f t="shared" si="37"/>
        <v>#N/A</v>
      </c>
      <c r="M239" s="13" t="e">
        <f t="shared" si="38"/>
        <v>#N/A</v>
      </c>
      <c r="N239" s="13" t="e">
        <f t="shared" si="39"/>
        <v>#N/A</v>
      </c>
    </row>
    <row r="240" spans="1:14">
      <c r="A240" s="12"/>
      <c r="B240" s="12"/>
      <c r="C240" s="12"/>
      <c r="D240" s="12"/>
      <c r="E240" s="12"/>
      <c r="F240" s="17"/>
      <c r="G240" s="13">
        <v>91</v>
      </c>
      <c r="H240" s="13" t="e">
        <f t="shared" si="33"/>
        <v>#N/A</v>
      </c>
      <c r="I240" s="13" t="e">
        <f t="shared" si="34"/>
        <v>#N/A</v>
      </c>
      <c r="J240" s="13" t="e">
        <f t="shared" si="35"/>
        <v>#N/A</v>
      </c>
      <c r="K240" s="13" t="str">
        <f t="shared" si="36"/>
        <v/>
      </c>
      <c r="L240" s="13" t="e">
        <f t="shared" si="37"/>
        <v>#N/A</v>
      </c>
      <c r="M240" s="13" t="e">
        <f t="shared" si="38"/>
        <v>#N/A</v>
      </c>
      <c r="N240" s="13" t="e">
        <f t="shared" si="39"/>
        <v>#N/A</v>
      </c>
    </row>
    <row r="241" spans="1:14">
      <c r="A241" s="12"/>
      <c r="B241" s="12"/>
      <c r="C241" s="12"/>
      <c r="D241" s="12"/>
      <c r="E241" s="12"/>
      <c r="F241" s="17"/>
      <c r="G241" s="13">
        <v>92</v>
      </c>
      <c r="H241" s="13" t="e">
        <f t="shared" si="33"/>
        <v>#N/A</v>
      </c>
      <c r="I241" s="13" t="e">
        <f t="shared" si="34"/>
        <v>#N/A</v>
      </c>
      <c r="J241" s="13" t="e">
        <f t="shared" si="35"/>
        <v>#N/A</v>
      </c>
      <c r="K241" s="13" t="str">
        <f t="shared" si="36"/>
        <v/>
      </c>
      <c r="L241" s="13" t="e">
        <f t="shared" si="37"/>
        <v>#N/A</v>
      </c>
      <c r="M241" s="13" t="e">
        <f t="shared" si="38"/>
        <v>#N/A</v>
      </c>
      <c r="N241" s="13" t="e">
        <f t="shared" si="39"/>
        <v>#N/A</v>
      </c>
    </row>
    <row r="242" spans="1:14">
      <c r="A242" s="12"/>
      <c r="B242" s="12"/>
      <c r="C242" s="12"/>
      <c r="D242" s="12"/>
      <c r="E242" s="12"/>
      <c r="F242" s="17"/>
      <c r="G242" s="13">
        <v>93</v>
      </c>
      <c r="H242" s="13" t="e">
        <f t="shared" si="33"/>
        <v>#N/A</v>
      </c>
      <c r="I242" s="13" t="e">
        <f t="shared" si="34"/>
        <v>#N/A</v>
      </c>
      <c r="J242" s="13" t="e">
        <f t="shared" si="35"/>
        <v>#N/A</v>
      </c>
      <c r="K242" s="13" t="str">
        <f t="shared" si="36"/>
        <v/>
      </c>
      <c r="L242" s="13" t="e">
        <f t="shared" si="37"/>
        <v>#N/A</v>
      </c>
      <c r="M242" s="13" t="e">
        <f t="shared" si="38"/>
        <v>#N/A</v>
      </c>
      <c r="N242" s="13" t="e">
        <f t="shared" si="39"/>
        <v>#N/A</v>
      </c>
    </row>
    <row r="243" spans="1:14">
      <c r="A243" s="12"/>
      <c r="B243" s="12"/>
      <c r="C243" s="12"/>
      <c r="D243" s="12"/>
      <c r="E243" s="12"/>
      <c r="F243" s="17"/>
      <c r="G243" s="13">
        <v>94</v>
      </c>
      <c r="H243" s="13" t="e">
        <f t="shared" si="33"/>
        <v>#N/A</v>
      </c>
      <c r="I243" s="13" t="e">
        <f t="shared" si="34"/>
        <v>#N/A</v>
      </c>
      <c r="J243" s="13" t="e">
        <f t="shared" si="35"/>
        <v>#N/A</v>
      </c>
      <c r="K243" s="13" t="str">
        <f t="shared" si="36"/>
        <v/>
      </c>
      <c r="L243" s="13" t="e">
        <f t="shared" si="37"/>
        <v>#N/A</v>
      </c>
      <c r="M243" s="13" t="e">
        <f t="shared" si="38"/>
        <v>#N/A</v>
      </c>
      <c r="N243" s="13" t="e">
        <f t="shared" si="39"/>
        <v>#N/A</v>
      </c>
    </row>
    <row r="244" spans="1:14">
      <c r="A244" s="12"/>
      <c r="B244" s="12"/>
      <c r="C244" s="12"/>
      <c r="D244" s="12"/>
      <c r="E244" s="12"/>
      <c r="F244" s="17"/>
      <c r="G244" s="13">
        <v>95</v>
      </c>
      <c r="H244" s="13" t="e">
        <f t="shared" si="33"/>
        <v>#N/A</v>
      </c>
      <c r="I244" s="13" t="e">
        <f t="shared" si="34"/>
        <v>#N/A</v>
      </c>
      <c r="J244" s="13" t="e">
        <f t="shared" si="35"/>
        <v>#N/A</v>
      </c>
      <c r="K244" s="13" t="str">
        <f t="shared" si="36"/>
        <v/>
      </c>
      <c r="L244" s="13" t="e">
        <f t="shared" si="37"/>
        <v>#N/A</v>
      </c>
      <c r="M244" s="13" t="e">
        <f t="shared" si="38"/>
        <v>#N/A</v>
      </c>
      <c r="N244" s="13" t="e">
        <f t="shared" si="39"/>
        <v>#N/A</v>
      </c>
    </row>
    <row r="245" spans="1:14">
      <c r="A245" s="12"/>
      <c r="B245" s="12"/>
      <c r="C245" s="12"/>
      <c r="D245" s="12"/>
      <c r="E245" s="12"/>
      <c r="F245" s="17"/>
      <c r="G245" s="13">
        <v>96</v>
      </c>
      <c r="H245" s="13" t="e">
        <f t="shared" si="33"/>
        <v>#N/A</v>
      </c>
      <c r="I245" s="13" t="e">
        <f t="shared" si="34"/>
        <v>#N/A</v>
      </c>
      <c r="J245" s="13" t="e">
        <f t="shared" si="35"/>
        <v>#N/A</v>
      </c>
      <c r="K245" s="13" t="str">
        <f t="shared" si="36"/>
        <v/>
      </c>
      <c r="L245" s="13" t="e">
        <f t="shared" si="37"/>
        <v>#N/A</v>
      </c>
      <c r="M245" s="13" t="e">
        <f t="shared" si="38"/>
        <v>#N/A</v>
      </c>
      <c r="N245" s="13" t="e">
        <f t="shared" si="39"/>
        <v>#N/A</v>
      </c>
    </row>
    <row r="246" spans="1:14">
      <c r="A246" s="12"/>
      <c r="B246" s="12"/>
      <c r="C246" s="12"/>
      <c r="D246" s="12"/>
      <c r="E246" s="12"/>
      <c r="F246" s="17"/>
      <c r="G246" s="13">
        <v>97</v>
      </c>
      <c r="H246" s="13" t="e">
        <f t="shared" si="33"/>
        <v>#N/A</v>
      </c>
      <c r="I246" s="13" t="e">
        <f t="shared" si="34"/>
        <v>#N/A</v>
      </c>
      <c r="J246" s="13" t="e">
        <f t="shared" si="35"/>
        <v>#N/A</v>
      </c>
      <c r="K246" s="13" t="str">
        <f t="shared" si="36"/>
        <v/>
      </c>
      <c r="L246" s="13" t="e">
        <f t="shared" si="37"/>
        <v>#N/A</v>
      </c>
      <c r="M246" s="13" t="e">
        <f t="shared" si="38"/>
        <v>#N/A</v>
      </c>
      <c r="N246" s="13" t="e">
        <f t="shared" si="39"/>
        <v>#N/A</v>
      </c>
    </row>
    <row r="247" spans="1:14">
      <c r="A247" s="12"/>
      <c r="B247" s="12"/>
      <c r="C247" s="12"/>
      <c r="D247" s="12"/>
      <c r="E247" s="12"/>
      <c r="F247" s="17"/>
      <c r="G247" s="13">
        <v>98</v>
      </c>
      <c r="H247" s="13" t="e">
        <f t="shared" si="33"/>
        <v>#N/A</v>
      </c>
      <c r="I247" s="13" t="e">
        <f t="shared" si="34"/>
        <v>#N/A</v>
      </c>
      <c r="J247" s="13" t="e">
        <f t="shared" si="35"/>
        <v>#N/A</v>
      </c>
      <c r="K247" s="13" t="str">
        <f t="shared" si="36"/>
        <v/>
      </c>
      <c r="L247" s="13" t="e">
        <f t="shared" si="37"/>
        <v>#N/A</v>
      </c>
      <c r="M247" s="13" t="e">
        <f t="shared" si="38"/>
        <v>#N/A</v>
      </c>
      <c r="N247" s="13" t="e">
        <f t="shared" si="39"/>
        <v>#N/A</v>
      </c>
    </row>
    <row r="248" spans="1:14">
      <c r="A248" s="12"/>
      <c r="B248" s="12"/>
      <c r="C248" s="12"/>
      <c r="D248" s="12"/>
      <c r="E248" s="12"/>
      <c r="F248" s="17"/>
      <c r="G248" s="13">
        <v>99</v>
      </c>
      <c r="H248" s="13" t="e">
        <f t="shared" si="33"/>
        <v>#N/A</v>
      </c>
      <c r="I248" s="13" t="e">
        <f t="shared" si="34"/>
        <v>#N/A</v>
      </c>
      <c r="J248" s="13" t="e">
        <f t="shared" si="35"/>
        <v>#N/A</v>
      </c>
      <c r="K248" s="13" t="str">
        <f t="shared" si="36"/>
        <v/>
      </c>
      <c r="L248" s="13" t="e">
        <f t="shared" si="37"/>
        <v>#N/A</v>
      </c>
      <c r="M248" s="13" t="e">
        <f t="shared" si="38"/>
        <v>#N/A</v>
      </c>
      <c r="N248" s="13" t="e">
        <f t="shared" si="39"/>
        <v>#N/A</v>
      </c>
    </row>
    <row r="249" spans="1:14">
      <c r="A249" s="12"/>
      <c r="B249" s="12"/>
      <c r="C249" s="12"/>
      <c r="D249" s="12"/>
      <c r="E249" s="12"/>
      <c r="F249" s="17"/>
      <c r="G249" s="13">
        <v>100</v>
      </c>
      <c r="H249" s="13" t="e">
        <f t="shared" si="33"/>
        <v>#N/A</v>
      </c>
      <c r="I249" s="13" t="e">
        <f t="shared" si="34"/>
        <v>#N/A</v>
      </c>
      <c r="J249" s="13" t="e">
        <f t="shared" si="35"/>
        <v>#N/A</v>
      </c>
      <c r="K249" s="13" t="str">
        <f t="shared" si="36"/>
        <v/>
      </c>
      <c r="L249" s="13" t="e">
        <f t="shared" si="37"/>
        <v>#N/A</v>
      </c>
      <c r="M249" s="13" t="e">
        <f t="shared" si="38"/>
        <v>#N/A</v>
      </c>
      <c r="N249" s="13" t="e">
        <f t="shared" si="39"/>
        <v>#N/A</v>
      </c>
    </row>
    <row r="250" spans="1:14">
      <c r="A250" s="12"/>
      <c r="B250" s="12"/>
      <c r="C250" s="12"/>
      <c r="D250" s="12"/>
      <c r="E250" s="12"/>
      <c r="F250" s="17"/>
      <c r="G250" s="13">
        <v>101</v>
      </c>
      <c r="H250" s="13" t="e">
        <f t="shared" si="33"/>
        <v>#N/A</v>
      </c>
      <c r="I250" s="13" t="e">
        <f t="shared" si="34"/>
        <v>#N/A</v>
      </c>
      <c r="J250" s="13" t="e">
        <f t="shared" si="35"/>
        <v>#N/A</v>
      </c>
      <c r="K250" s="13" t="str">
        <f t="shared" si="36"/>
        <v/>
      </c>
      <c r="L250" s="13" t="e">
        <f t="shared" si="37"/>
        <v>#N/A</v>
      </c>
      <c r="M250" s="13" t="e">
        <f t="shared" si="38"/>
        <v>#N/A</v>
      </c>
      <c r="N250" s="13" t="e">
        <f t="shared" si="39"/>
        <v>#N/A</v>
      </c>
    </row>
    <row r="251" spans="1:14">
      <c r="A251" s="12"/>
      <c r="B251" s="12"/>
      <c r="C251" s="12"/>
      <c r="D251" s="12"/>
      <c r="E251" s="12"/>
      <c r="F251" s="17"/>
      <c r="G251" s="13">
        <v>102</v>
      </c>
      <c r="H251" s="13" t="e">
        <f t="shared" si="33"/>
        <v>#N/A</v>
      </c>
      <c r="I251" s="13" t="e">
        <f t="shared" si="34"/>
        <v>#N/A</v>
      </c>
      <c r="J251" s="13" t="e">
        <f t="shared" si="35"/>
        <v>#N/A</v>
      </c>
      <c r="K251" s="13" t="str">
        <f t="shared" si="36"/>
        <v/>
      </c>
      <c r="L251" s="13" t="e">
        <f t="shared" si="37"/>
        <v>#N/A</v>
      </c>
      <c r="M251" s="13" t="e">
        <f t="shared" si="38"/>
        <v>#N/A</v>
      </c>
      <c r="N251" s="13" t="e">
        <f t="shared" si="39"/>
        <v>#N/A</v>
      </c>
    </row>
    <row r="252" spans="1:14">
      <c r="A252" s="12"/>
      <c r="B252" s="12"/>
      <c r="C252" s="12"/>
      <c r="D252" s="12"/>
      <c r="E252" s="12"/>
      <c r="F252" s="17"/>
      <c r="G252" s="13">
        <v>103</v>
      </c>
      <c r="H252" s="13" t="e">
        <f t="shared" si="33"/>
        <v>#N/A</v>
      </c>
      <c r="I252" s="13" t="e">
        <f t="shared" si="34"/>
        <v>#N/A</v>
      </c>
      <c r="J252" s="13" t="e">
        <f t="shared" si="35"/>
        <v>#N/A</v>
      </c>
      <c r="K252" s="13" t="str">
        <f t="shared" si="36"/>
        <v/>
      </c>
      <c r="L252" s="13" t="e">
        <f t="shared" si="37"/>
        <v>#N/A</v>
      </c>
      <c r="M252" s="13" t="e">
        <f t="shared" si="38"/>
        <v>#N/A</v>
      </c>
      <c r="N252" s="13" t="e">
        <f t="shared" si="39"/>
        <v>#N/A</v>
      </c>
    </row>
    <row r="253" spans="1:14">
      <c r="A253" s="12"/>
      <c r="B253" s="12"/>
      <c r="C253" s="12"/>
      <c r="D253" s="12"/>
      <c r="E253" s="12"/>
      <c r="F253" s="17"/>
      <c r="G253" s="13">
        <v>104</v>
      </c>
      <c r="H253" s="13" t="e">
        <f t="shared" si="33"/>
        <v>#N/A</v>
      </c>
      <c r="I253" s="13" t="e">
        <f t="shared" si="34"/>
        <v>#N/A</v>
      </c>
      <c r="J253" s="13" t="e">
        <f t="shared" si="35"/>
        <v>#N/A</v>
      </c>
      <c r="K253" s="13" t="str">
        <f t="shared" si="36"/>
        <v/>
      </c>
      <c r="L253" s="13" t="e">
        <f t="shared" si="37"/>
        <v>#N/A</v>
      </c>
      <c r="M253" s="13" t="e">
        <f t="shared" si="38"/>
        <v>#N/A</v>
      </c>
      <c r="N253" s="13" t="e">
        <f t="shared" si="39"/>
        <v>#N/A</v>
      </c>
    </row>
    <row r="254" spans="1:14">
      <c r="A254" s="12"/>
      <c r="B254" s="12"/>
      <c r="C254" s="12"/>
      <c r="D254" s="12"/>
      <c r="E254" s="12"/>
      <c r="F254" s="17"/>
      <c r="G254" s="13">
        <v>105</v>
      </c>
      <c r="H254" s="13" t="e">
        <f t="shared" si="33"/>
        <v>#N/A</v>
      </c>
      <c r="I254" s="13" t="e">
        <f t="shared" si="34"/>
        <v>#N/A</v>
      </c>
      <c r="J254" s="13" t="e">
        <f t="shared" si="35"/>
        <v>#N/A</v>
      </c>
      <c r="K254" s="13" t="str">
        <f t="shared" si="36"/>
        <v/>
      </c>
      <c r="L254" s="13" t="e">
        <f t="shared" si="37"/>
        <v>#N/A</v>
      </c>
      <c r="M254" s="13" t="e">
        <f t="shared" si="38"/>
        <v>#N/A</v>
      </c>
      <c r="N254" s="13" t="e">
        <f t="shared" si="39"/>
        <v>#N/A</v>
      </c>
    </row>
    <row r="255" spans="1:14">
      <c r="A255" s="12"/>
      <c r="B255" s="12"/>
      <c r="C255" s="12"/>
      <c r="D255" s="12"/>
      <c r="E255" s="12"/>
      <c r="F255" s="17"/>
      <c r="G255" s="13">
        <v>106</v>
      </c>
      <c r="H255" s="13" t="e">
        <f t="shared" si="33"/>
        <v>#N/A</v>
      </c>
      <c r="I255" s="13" t="e">
        <f t="shared" si="34"/>
        <v>#N/A</v>
      </c>
      <c r="J255" s="13" t="e">
        <f t="shared" si="35"/>
        <v>#N/A</v>
      </c>
      <c r="K255" s="13" t="str">
        <f t="shared" si="36"/>
        <v/>
      </c>
      <c r="L255" s="13" t="e">
        <f t="shared" si="37"/>
        <v>#N/A</v>
      </c>
      <c r="M255" s="13" t="e">
        <f t="shared" si="38"/>
        <v>#N/A</v>
      </c>
      <c r="N255" s="13" t="e">
        <f t="shared" si="39"/>
        <v>#N/A</v>
      </c>
    </row>
    <row r="256" spans="1:14">
      <c r="A256" s="12"/>
      <c r="B256" s="12"/>
      <c r="C256" s="12"/>
      <c r="D256" s="12"/>
      <c r="E256" s="12"/>
      <c r="F256" s="17"/>
      <c r="G256" s="13">
        <v>107</v>
      </c>
      <c r="H256" s="13" t="e">
        <f t="shared" si="33"/>
        <v>#N/A</v>
      </c>
      <c r="I256" s="13" t="e">
        <f t="shared" si="34"/>
        <v>#N/A</v>
      </c>
      <c r="J256" s="13" t="e">
        <f t="shared" si="35"/>
        <v>#N/A</v>
      </c>
      <c r="K256" s="13" t="str">
        <f t="shared" si="36"/>
        <v/>
      </c>
      <c r="L256" s="13" t="e">
        <f t="shared" si="37"/>
        <v>#N/A</v>
      </c>
      <c r="M256" s="13" t="e">
        <f t="shared" si="38"/>
        <v>#N/A</v>
      </c>
      <c r="N256" s="13" t="e">
        <f t="shared" si="39"/>
        <v>#N/A</v>
      </c>
    </row>
    <row r="257" spans="1:14">
      <c r="A257" s="12"/>
      <c r="B257" s="12"/>
      <c r="C257" s="12"/>
      <c r="D257" s="12"/>
      <c r="E257" s="12"/>
      <c r="F257" s="17"/>
      <c r="G257" s="13">
        <v>108</v>
      </c>
      <c r="H257" s="13" t="e">
        <f t="shared" si="33"/>
        <v>#N/A</v>
      </c>
      <c r="I257" s="13" t="e">
        <f t="shared" si="34"/>
        <v>#N/A</v>
      </c>
      <c r="J257" s="13" t="e">
        <f t="shared" si="35"/>
        <v>#N/A</v>
      </c>
      <c r="K257" s="13" t="str">
        <f t="shared" si="36"/>
        <v/>
      </c>
      <c r="L257" s="13" t="e">
        <f t="shared" si="37"/>
        <v>#N/A</v>
      </c>
      <c r="M257" s="13" t="e">
        <f t="shared" si="38"/>
        <v>#N/A</v>
      </c>
      <c r="N257" s="13" t="e">
        <f t="shared" si="39"/>
        <v>#N/A</v>
      </c>
    </row>
    <row r="258" spans="1:14">
      <c r="A258" s="12"/>
      <c r="B258" s="12"/>
      <c r="C258" s="12"/>
      <c r="D258" s="12"/>
      <c r="E258" s="12"/>
      <c r="F258" s="17"/>
      <c r="G258" s="13">
        <v>109</v>
      </c>
      <c r="H258" s="13" t="e">
        <f t="shared" si="33"/>
        <v>#N/A</v>
      </c>
      <c r="I258" s="13" t="e">
        <f t="shared" si="34"/>
        <v>#N/A</v>
      </c>
      <c r="J258" s="13" t="e">
        <f t="shared" si="35"/>
        <v>#N/A</v>
      </c>
      <c r="K258" s="13" t="str">
        <f t="shared" si="36"/>
        <v/>
      </c>
      <c r="L258" s="13" t="e">
        <f t="shared" si="37"/>
        <v>#N/A</v>
      </c>
      <c r="M258" s="13" t="e">
        <f t="shared" si="38"/>
        <v>#N/A</v>
      </c>
      <c r="N258" s="13" t="e">
        <f t="shared" si="39"/>
        <v>#N/A</v>
      </c>
    </row>
    <row r="259" spans="1:14">
      <c r="A259" s="12"/>
      <c r="B259" s="12"/>
      <c r="C259" s="12"/>
      <c r="D259" s="12"/>
      <c r="E259" s="12"/>
      <c r="F259" s="17"/>
      <c r="G259" s="13">
        <v>110</v>
      </c>
      <c r="H259" s="13" t="e">
        <f t="shared" si="33"/>
        <v>#N/A</v>
      </c>
      <c r="I259" s="13" t="e">
        <f t="shared" si="34"/>
        <v>#N/A</v>
      </c>
      <c r="J259" s="13" t="e">
        <f t="shared" si="35"/>
        <v>#N/A</v>
      </c>
      <c r="K259" s="13" t="str">
        <f t="shared" si="36"/>
        <v/>
      </c>
      <c r="L259" s="13" t="e">
        <f t="shared" si="37"/>
        <v>#N/A</v>
      </c>
      <c r="M259" s="13" t="e">
        <f t="shared" si="38"/>
        <v>#N/A</v>
      </c>
      <c r="N259" s="13" t="e">
        <f t="shared" si="39"/>
        <v>#N/A</v>
      </c>
    </row>
    <row r="260" spans="1:14">
      <c r="A260" s="12"/>
      <c r="B260" s="12"/>
      <c r="C260" s="12"/>
      <c r="D260" s="12"/>
      <c r="E260" s="12"/>
      <c r="F260" s="17"/>
      <c r="G260" s="13">
        <v>111</v>
      </c>
      <c r="H260" s="13" t="e">
        <f t="shared" si="33"/>
        <v>#N/A</v>
      </c>
      <c r="I260" s="13" t="e">
        <f t="shared" si="34"/>
        <v>#N/A</v>
      </c>
      <c r="J260" s="13" t="e">
        <f t="shared" si="35"/>
        <v>#N/A</v>
      </c>
      <c r="K260" s="13" t="str">
        <f t="shared" si="36"/>
        <v/>
      </c>
      <c r="L260" s="13" t="e">
        <f t="shared" si="37"/>
        <v>#N/A</v>
      </c>
      <c r="M260" s="13" t="e">
        <f t="shared" si="38"/>
        <v>#N/A</v>
      </c>
      <c r="N260" s="13" t="e">
        <f t="shared" si="39"/>
        <v>#N/A</v>
      </c>
    </row>
    <row r="261" spans="1:14">
      <c r="A261" s="12"/>
      <c r="B261" s="12"/>
      <c r="C261" s="12"/>
      <c r="D261" s="12"/>
      <c r="E261" s="12"/>
      <c r="F261" s="17"/>
      <c r="G261" s="13">
        <v>112</v>
      </c>
      <c r="H261" s="13" t="e">
        <f t="shared" si="33"/>
        <v>#N/A</v>
      </c>
      <c r="I261" s="13" t="e">
        <f t="shared" si="34"/>
        <v>#N/A</v>
      </c>
      <c r="J261" s="13" t="e">
        <f t="shared" si="35"/>
        <v>#N/A</v>
      </c>
      <c r="K261" s="13" t="str">
        <f t="shared" si="36"/>
        <v/>
      </c>
      <c r="L261" s="13" t="e">
        <f t="shared" si="37"/>
        <v>#N/A</v>
      </c>
      <c r="M261" s="13" t="e">
        <f t="shared" si="38"/>
        <v>#N/A</v>
      </c>
      <c r="N261" s="13" t="e">
        <f t="shared" si="39"/>
        <v>#N/A</v>
      </c>
    </row>
    <row r="262" spans="1:14">
      <c r="A262" s="12"/>
      <c r="B262" s="12"/>
      <c r="C262" s="12"/>
      <c r="D262" s="12"/>
      <c r="E262" s="12"/>
      <c r="F262" s="17"/>
      <c r="G262" s="13">
        <v>113</v>
      </c>
      <c r="H262" s="13" t="e">
        <f t="shared" si="33"/>
        <v>#N/A</v>
      </c>
      <c r="I262" s="13" t="e">
        <f t="shared" si="34"/>
        <v>#N/A</v>
      </c>
      <c r="J262" s="13" t="e">
        <f t="shared" si="35"/>
        <v>#N/A</v>
      </c>
      <c r="K262" s="13" t="str">
        <f t="shared" si="36"/>
        <v/>
      </c>
      <c r="L262" s="13" t="e">
        <f t="shared" si="37"/>
        <v>#N/A</v>
      </c>
      <c r="M262" s="13" t="e">
        <f t="shared" si="38"/>
        <v>#N/A</v>
      </c>
      <c r="N262" s="13" t="e">
        <f t="shared" si="39"/>
        <v>#N/A</v>
      </c>
    </row>
    <row r="263" spans="1:14">
      <c r="A263" s="12"/>
      <c r="B263" s="12"/>
      <c r="C263" s="12"/>
      <c r="D263" s="12"/>
      <c r="E263" s="12"/>
      <c r="F263" s="17"/>
      <c r="G263" s="13">
        <v>114</v>
      </c>
      <c r="H263" s="13" t="e">
        <f t="shared" si="33"/>
        <v>#N/A</v>
      </c>
      <c r="I263" s="13" t="e">
        <f t="shared" si="34"/>
        <v>#N/A</v>
      </c>
      <c r="J263" s="13" t="e">
        <f t="shared" si="35"/>
        <v>#N/A</v>
      </c>
      <c r="K263" s="13" t="str">
        <f t="shared" si="36"/>
        <v/>
      </c>
      <c r="L263" s="13" t="e">
        <f t="shared" si="37"/>
        <v>#N/A</v>
      </c>
      <c r="M263" s="13" t="e">
        <f t="shared" si="38"/>
        <v>#N/A</v>
      </c>
      <c r="N263" s="13" t="e">
        <f t="shared" si="39"/>
        <v>#N/A</v>
      </c>
    </row>
    <row r="264" spans="1:14">
      <c r="A264" s="12"/>
      <c r="B264" s="12"/>
      <c r="C264" s="12"/>
      <c r="D264" s="12"/>
      <c r="E264" s="12"/>
      <c r="F264" s="17"/>
      <c r="G264" s="13">
        <v>115</v>
      </c>
      <c r="H264" s="13" t="e">
        <f t="shared" si="33"/>
        <v>#N/A</v>
      </c>
      <c r="I264" s="13" t="e">
        <f t="shared" si="34"/>
        <v>#N/A</v>
      </c>
      <c r="J264" s="13" t="e">
        <f t="shared" si="35"/>
        <v>#N/A</v>
      </c>
      <c r="K264" s="13" t="str">
        <f t="shared" si="36"/>
        <v/>
      </c>
      <c r="L264" s="13" t="e">
        <f t="shared" si="37"/>
        <v>#N/A</v>
      </c>
      <c r="M264" s="13" t="e">
        <f t="shared" si="38"/>
        <v>#N/A</v>
      </c>
      <c r="N264" s="13" t="e">
        <f t="shared" si="39"/>
        <v>#N/A</v>
      </c>
    </row>
    <row r="265" spans="1:14">
      <c r="A265" s="12"/>
      <c r="B265" s="12"/>
      <c r="C265" s="12"/>
      <c r="D265" s="12"/>
      <c r="E265" s="12"/>
      <c r="F265" s="17"/>
      <c r="G265" s="13">
        <v>116</v>
      </c>
      <c r="H265" s="13" t="e">
        <f t="shared" si="33"/>
        <v>#N/A</v>
      </c>
      <c r="I265" s="13" t="e">
        <f t="shared" si="34"/>
        <v>#N/A</v>
      </c>
      <c r="J265" s="13" t="e">
        <f t="shared" si="35"/>
        <v>#N/A</v>
      </c>
      <c r="K265" s="13" t="str">
        <f t="shared" si="36"/>
        <v/>
      </c>
      <c r="L265" s="13" t="e">
        <f t="shared" si="37"/>
        <v>#N/A</v>
      </c>
      <c r="M265" s="13" t="e">
        <f t="shared" si="38"/>
        <v>#N/A</v>
      </c>
      <c r="N265" s="13" t="e">
        <f t="shared" si="39"/>
        <v>#N/A</v>
      </c>
    </row>
    <row r="266" spans="1:14">
      <c r="A266" s="12"/>
      <c r="B266" s="12"/>
      <c r="C266" s="12"/>
      <c r="D266" s="12"/>
      <c r="E266" s="12"/>
      <c r="F266" s="17"/>
      <c r="G266" s="13">
        <v>117</v>
      </c>
      <c r="H266" s="13" t="e">
        <f t="shared" si="33"/>
        <v>#N/A</v>
      </c>
      <c r="I266" s="13" t="e">
        <f t="shared" si="34"/>
        <v>#N/A</v>
      </c>
      <c r="J266" s="13" t="e">
        <f t="shared" si="35"/>
        <v>#N/A</v>
      </c>
      <c r="K266" s="13" t="str">
        <f t="shared" si="36"/>
        <v/>
      </c>
      <c r="L266" s="13" t="e">
        <f t="shared" si="37"/>
        <v>#N/A</v>
      </c>
      <c r="M266" s="13" t="e">
        <f t="shared" si="38"/>
        <v>#N/A</v>
      </c>
      <c r="N266" s="13" t="e">
        <f t="shared" si="39"/>
        <v>#N/A</v>
      </c>
    </row>
    <row r="267" spans="1:14">
      <c r="A267" s="12"/>
      <c r="B267" s="12"/>
      <c r="C267" s="12"/>
      <c r="D267" s="12"/>
      <c r="E267" s="12"/>
      <c r="F267" s="17"/>
      <c r="G267" s="13">
        <v>118</v>
      </c>
      <c r="H267" s="13" t="e">
        <f t="shared" si="33"/>
        <v>#N/A</v>
      </c>
      <c r="I267" s="13" t="e">
        <f t="shared" si="34"/>
        <v>#N/A</v>
      </c>
      <c r="J267" s="13" t="e">
        <f t="shared" si="35"/>
        <v>#N/A</v>
      </c>
      <c r="K267" s="13" t="str">
        <f t="shared" si="36"/>
        <v/>
      </c>
      <c r="L267" s="13" t="e">
        <f t="shared" si="37"/>
        <v>#N/A</v>
      </c>
      <c r="M267" s="13" t="e">
        <f t="shared" si="38"/>
        <v>#N/A</v>
      </c>
      <c r="N267" s="13" t="e">
        <f t="shared" si="39"/>
        <v>#N/A</v>
      </c>
    </row>
    <row r="268" spans="1:14">
      <c r="A268" s="12"/>
      <c r="B268" s="12"/>
      <c r="C268" s="12"/>
      <c r="D268" s="12"/>
      <c r="E268" s="12"/>
      <c r="F268" s="17"/>
      <c r="G268" s="13">
        <v>119</v>
      </c>
      <c r="H268" s="13" t="e">
        <f t="shared" si="33"/>
        <v>#N/A</v>
      </c>
      <c r="I268" s="13" t="e">
        <f t="shared" si="34"/>
        <v>#N/A</v>
      </c>
      <c r="J268" s="13" t="e">
        <f t="shared" si="35"/>
        <v>#N/A</v>
      </c>
      <c r="K268" s="13" t="str">
        <f t="shared" si="36"/>
        <v/>
      </c>
      <c r="L268" s="13" t="e">
        <f t="shared" si="37"/>
        <v>#N/A</v>
      </c>
      <c r="M268" s="13" t="e">
        <f t="shared" si="38"/>
        <v>#N/A</v>
      </c>
      <c r="N268" s="13" t="e">
        <f t="shared" si="39"/>
        <v>#N/A</v>
      </c>
    </row>
    <row r="269" spans="1:14">
      <c r="A269" s="12"/>
      <c r="B269" s="12"/>
      <c r="C269" s="12"/>
      <c r="D269" s="12"/>
      <c r="E269" s="12"/>
      <c r="F269" s="17"/>
      <c r="G269" s="13">
        <v>120</v>
      </c>
      <c r="H269" s="13" t="e">
        <f t="shared" si="33"/>
        <v>#N/A</v>
      </c>
      <c r="I269" s="13" t="e">
        <f t="shared" si="34"/>
        <v>#N/A</v>
      </c>
      <c r="J269" s="13" t="e">
        <f t="shared" si="35"/>
        <v>#N/A</v>
      </c>
      <c r="K269" s="13" t="str">
        <f t="shared" si="36"/>
        <v/>
      </c>
      <c r="L269" s="13" t="e">
        <f t="shared" si="37"/>
        <v>#N/A</v>
      </c>
      <c r="M269" s="13" t="e">
        <f t="shared" si="38"/>
        <v>#N/A</v>
      </c>
      <c r="N269" s="13" t="e">
        <f t="shared" si="39"/>
        <v>#N/A</v>
      </c>
    </row>
    <row r="270" spans="1:14">
      <c r="A270" s="12"/>
      <c r="B270" s="12"/>
      <c r="C270" s="12"/>
      <c r="D270" s="12"/>
      <c r="E270" s="12"/>
      <c r="F270" s="17"/>
      <c r="G270" s="13">
        <v>121</v>
      </c>
      <c r="H270" s="13" t="e">
        <f t="shared" si="33"/>
        <v>#N/A</v>
      </c>
      <c r="I270" s="13" t="e">
        <f t="shared" si="34"/>
        <v>#N/A</v>
      </c>
      <c r="J270" s="13" t="e">
        <f t="shared" si="35"/>
        <v>#N/A</v>
      </c>
      <c r="K270" s="13" t="str">
        <f t="shared" si="36"/>
        <v/>
      </c>
      <c r="L270" s="13" t="e">
        <f t="shared" si="37"/>
        <v>#N/A</v>
      </c>
      <c r="M270" s="13" t="e">
        <f t="shared" si="38"/>
        <v>#N/A</v>
      </c>
      <c r="N270" s="13" t="e">
        <f t="shared" si="39"/>
        <v>#N/A</v>
      </c>
    </row>
    <row r="271" spans="1:14">
      <c r="A271" s="12"/>
      <c r="B271" s="12"/>
      <c r="C271" s="12"/>
      <c r="D271" s="12"/>
      <c r="E271" s="12"/>
      <c r="F271" s="17"/>
      <c r="G271" s="13">
        <v>122</v>
      </c>
      <c r="H271" s="13" t="e">
        <f t="shared" si="33"/>
        <v>#N/A</v>
      </c>
      <c r="I271" s="13" t="e">
        <f t="shared" si="34"/>
        <v>#N/A</v>
      </c>
      <c r="J271" s="13" t="e">
        <f t="shared" si="35"/>
        <v>#N/A</v>
      </c>
      <c r="K271" s="13" t="str">
        <f t="shared" si="36"/>
        <v/>
      </c>
      <c r="L271" s="13" t="e">
        <f t="shared" si="37"/>
        <v>#N/A</v>
      </c>
      <c r="M271" s="13" t="e">
        <f t="shared" si="38"/>
        <v>#N/A</v>
      </c>
      <c r="N271" s="13" t="e">
        <f t="shared" si="39"/>
        <v>#N/A</v>
      </c>
    </row>
    <row r="272" spans="1:14">
      <c r="A272" s="12"/>
      <c r="B272" s="12"/>
      <c r="C272" s="12"/>
      <c r="D272" s="12"/>
      <c r="E272" s="12"/>
      <c r="F272" s="17"/>
      <c r="G272" s="13">
        <v>123</v>
      </c>
      <c r="H272" s="13" t="e">
        <f t="shared" si="33"/>
        <v>#N/A</v>
      </c>
      <c r="I272" s="13" t="e">
        <f t="shared" si="34"/>
        <v>#N/A</v>
      </c>
      <c r="J272" s="13" t="e">
        <f t="shared" si="35"/>
        <v>#N/A</v>
      </c>
      <c r="K272" s="13" t="str">
        <f t="shared" si="36"/>
        <v/>
      </c>
      <c r="L272" s="13" t="e">
        <f t="shared" si="37"/>
        <v>#N/A</v>
      </c>
      <c r="M272" s="13" t="e">
        <f t="shared" si="38"/>
        <v>#N/A</v>
      </c>
      <c r="N272" s="13" t="e">
        <f t="shared" si="39"/>
        <v>#N/A</v>
      </c>
    </row>
    <row r="273" spans="1:14">
      <c r="A273" s="12"/>
      <c r="B273" s="12"/>
      <c r="C273" s="12"/>
      <c r="D273" s="12"/>
      <c r="E273" s="12"/>
      <c r="F273" s="17"/>
      <c r="G273" s="13">
        <v>124</v>
      </c>
      <c r="H273" s="13" t="e">
        <f t="shared" si="33"/>
        <v>#N/A</v>
      </c>
      <c r="I273" s="13" t="e">
        <f t="shared" si="34"/>
        <v>#N/A</v>
      </c>
      <c r="J273" s="13" t="e">
        <f t="shared" si="35"/>
        <v>#N/A</v>
      </c>
      <c r="K273" s="13" t="str">
        <f t="shared" si="36"/>
        <v/>
      </c>
      <c r="L273" s="13" t="e">
        <f t="shared" si="37"/>
        <v>#N/A</v>
      </c>
      <c r="M273" s="13" t="e">
        <f t="shared" si="38"/>
        <v>#N/A</v>
      </c>
      <c r="N273" s="13" t="e">
        <f t="shared" si="39"/>
        <v>#N/A</v>
      </c>
    </row>
    <row r="274" spans="1:14">
      <c r="A274" s="12"/>
      <c r="B274" s="12"/>
      <c r="C274" s="12"/>
      <c r="D274" s="12"/>
      <c r="E274" s="12"/>
      <c r="F274" s="17"/>
      <c r="G274" s="13">
        <v>125</v>
      </c>
      <c r="H274" s="13" t="e">
        <f t="shared" si="33"/>
        <v>#N/A</v>
      </c>
      <c r="I274" s="13" t="e">
        <f t="shared" si="34"/>
        <v>#N/A</v>
      </c>
      <c r="J274" s="13" t="e">
        <f t="shared" si="35"/>
        <v>#N/A</v>
      </c>
      <c r="K274" s="13" t="str">
        <f t="shared" si="36"/>
        <v/>
      </c>
      <c r="L274" s="13" t="e">
        <f t="shared" si="37"/>
        <v>#N/A</v>
      </c>
      <c r="M274" s="13" t="e">
        <f t="shared" si="38"/>
        <v>#N/A</v>
      </c>
      <c r="N274" s="13" t="e">
        <f t="shared" si="39"/>
        <v>#N/A</v>
      </c>
    </row>
    <row r="275" spans="1:14">
      <c r="A275" s="12"/>
      <c r="B275" s="12"/>
      <c r="C275" s="12"/>
      <c r="D275" s="12"/>
      <c r="E275" s="12"/>
      <c r="F275" s="17"/>
      <c r="G275" s="13">
        <v>126</v>
      </c>
      <c r="H275" s="13" t="e">
        <f t="shared" si="33"/>
        <v>#N/A</v>
      </c>
      <c r="I275" s="13" t="e">
        <f t="shared" si="34"/>
        <v>#N/A</v>
      </c>
      <c r="J275" s="13" t="e">
        <f t="shared" si="35"/>
        <v>#N/A</v>
      </c>
      <c r="K275" s="13" t="str">
        <f t="shared" si="36"/>
        <v/>
      </c>
      <c r="L275" s="13" t="e">
        <f t="shared" si="37"/>
        <v>#N/A</v>
      </c>
      <c r="M275" s="13" t="e">
        <f t="shared" si="38"/>
        <v>#N/A</v>
      </c>
      <c r="N275" s="13" t="e">
        <f t="shared" si="39"/>
        <v>#N/A</v>
      </c>
    </row>
    <row r="276" spans="1:14">
      <c r="A276" s="12"/>
      <c r="B276" s="12"/>
      <c r="C276" s="12"/>
      <c r="D276" s="12"/>
      <c r="E276" s="12"/>
      <c r="F276" s="17"/>
      <c r="G276" s="13">
        <v>127</v>
      </c>
      <c r="H276" s="13" t="e">
        <f t="shared" si="33"/>
        <v>#N/A</v>
      </c>
      <c r="I276" s="13" t="e">
        <f t="shared" si="34"/>
        <v>#N/A</v>
      </c>
      <c r="J276" s="13" t="e">
        <f t="shared" si="35"/>
        <v>#N/A</v>
      </c>
      <c r="K276" s="13" t="str">
        <f t="shared" si="36"/>
        <v/>
      </c>
      <c r="L276" s="13" t="e">
        <f t="shared" si="37"/>
        <v>#N/A</v>
      </c>
      <c r="M276" s="13" t="e">
        <f t="shared" si="38"/>
        <v>#N/A</v>
      </c>
      <c r="N276" s="13" t="e">
        <f t="shared" si="39"/>
        <v>#N/A</v>
      </c>
    </row>
    <row r="277" spans="1:14">
      <c r="A277" s="12"/>
      <c r="B277" s="12"/>
      <c r="C277" s="12"/>
      <c r="D277" s="12"/>
      <c r="E277" s="12"/>
      <c r="F277" s="17"/>
      <c r="G277" s="13">
        <v>128</v>
      </c>
      <c r="H277" s="13" t="e">
        <f t="shared" si="33"/>
        <v>#N/A</v>
      </c>
      <c r="I277" s="13" t="e">
        <f t="shared" si="34"/>
        <v>#N/A</v>
      </c>
      <c r="J277" s="13" t="e">
        <f t="shared" si="35"/>
        <v>#N/A</v>
      </c>
      <c r="K277" s="13" t="str">
        <f t="shared" si="36"/>
        <v/>
      </c>
      <c r="L277" s="13" t="e">
        <f t="shared" si="37"/>
        <v>#N/A</v>
      </c>
      <c r="M277" s="13" t="e">
        <f t="shared" si="38"/>
        <v>#N/A</v>
      </c>
      <c r="N277" s="13" t="e">
        <f t="shared" si="39"/>
        <v>#N/A</v>
      </c>
    </row>
  </sheetData>
  <sheetProtection selectLockedCells="1" selectUnlockedCells="1"/>
  <dataConsolidate/>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&amp;CPágina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3779"/>
  <sheetViews>
    <sheetView zoomScaleNormal="100" workbookViewId="0">
      <selection activeCell="B4" sqref="B4"/>
    </sheetView>
  </sheetViews>
  <sheetFormatPr defaultColWidth="11.42578125" defaultRowHeight="13.5"/>
  <cols>
    <col min="1" max="1" width="6" style="18" customWidth="1"/>
    <col min="2" max="2" width="27.85546875" style="14" customWidth="1"/>
    <col min="3" max="3" width="7" style="19" customWidth="1"/>
    <col min="4" max="4" width="27.42578125" style="20" customWidth="1"/>
    <col min="5" max="5" width="8.28515625" style="20" customWidth="1"/>
    <col min="6" max="6" width="8" style="21" customWidth="1"/>
    <col min="7" max="7" width="4.85546875" style="18" customWidth="1"/>
    <col min="8" max="8" width="27.42578125" style="18" customWidth="1"/>
    <col min="9" max="10" width="4.42578125" style="18" customWidth="1"/>
    <col min="11" max="11" width="4.140625" style="18" customWidth="1"/>
    <col min="12" max="12" width="5.42578125" style="18" customWidth="1"/>
    <col min="13" max="13" width="6.42578125" style="22" customWidth="1"/>
    <col min="14" max="15" width="5.140625" style="21" customWidth="1"/>
    <col min="16" max="16" width="5" style="21" customWidth="1"/>
    <col min="17" max="17" width="4.42578125" style="18" customWidth="1"/>
    <col min="18" max="18" width="5.140625" style="18" customWidth="1"/>
    <col min="19" max="19" width="5.42578125" style="18" customWidth="1"/>
    <col min="20" max="20" width="4.85546875" style="18" customWidth="1"/>
    <col min="21" max="21" width="5.140625" style="18" customWidth="1"/>
    <col min="22" max="22" width="6.7109375" style="18" customWidth="1"/>
    <col min="23" max="23" width="4.85546875" style="18" customWidth="1"/>
    <col min="24" max="24" width="5.28515625" style="18" customWidth="1"/>
    <col min="25" max="25" width="5.140625" style="18" customWidth="1"/>
    <col min="26" max="26" width="5.28515625" style="18" customWidth="1"/>
    <col min="27" max="27" width="5.85546875" style="18" customWidth="1"/>
    <col min="28" max="38" width="6.28515625" customWidth="1"/>
  </cols>
  <sheetData>
    <row r="1" spans="2:32">
      <c r="G1" s="21" t="s">
        <v>69</v>
      </c>
    </row>
    <row r="2" spans="2:32">
      <c r="B2" s="23"/>
      <c r="G2" s="24" t="s">
        <v>70</v>
      </c>
      <c r="H2" s="25" t="s">
        <v>71</v>
      </c>
      <c r="I2" s="25" t="s">
        <v>72</v>
      </c>
      <c r="J2" s="26" t="s">
        <v>73</v>
      </c>
      <c r="K2" s="27" t="s">
        <v>74</v>
      </c>
      <c r="L2" s="28" t="s">
        <v>75</v>
      </c>
      <c r="M2" s="25" t="s">
        <v>76</v>
      </c>
      <c r="N2" s="29" t="s">
        <v>77</v>
      </c>
      <c r="O2" s="27" t="s">
        <v>78</v>
      </c>
      <c r="P2" s="27" t="s">
        <v>79</v>
      </c>
      <c r="Q2" s="27" t="s">
        <v>80</v>
      </c>
      <c r="R2" s="27" t="s">
        <v>81</v>
      </c>
      <c r="S2" s="27" t="s">
        <v>82</v>
      </c>
      <c r="T2" s="27" t="s">
        <v>83</v>
      </c>
      <c r="U2" s="27" t="s">
        <v>84</v>
      </c>
      <c r="V2" s="27" t="s">
        <v>85</v>
      </c>
      <c r="W2" s="27" t="s">
        <v>86</v>
      </c>
      <c r="X2" s="27" t="s">
        <v>87</v>
      </c>
      <c r="Y2" s="27" t="s">
        <v>88</v>
      </c>
      <c r="Z2" s="27" t="s">
        <v>89</v>
      </c>
      <c r="AA2" s="27" t="s">
        <v>90</v>
      </c>
      <c r="AB2" s="27" t="s">
        <v>91</v>
      </c>
      <c r="AC2" s="27" t="s">
        <v>92</v>
      </c>
      <c r="AD2" s="27" t="s">
        <v>93</v>
      </c>
      <c r="AE2" s="27" t="s">
        <v>94</v>
      </c>
      <c r="AF2" s="18" t="s">
        <v>95</v>
      </c>
    </row>
    <row r="3" spans="2:32" ht="15" thickTop="1">
      <c r="B3" s="30" t="s">
        <v>96</v>
      </c>
      <c r="D3" s="31" t="s">
        <v>97</v>
      </c>
      <c r="G3" s="21" t="s">
        <v>98</v>
      </c>
      <c r="H3" s="25"/>
      <c r="I3" s="25"/>
      <c r="J3" s="26"/>
      <c r="K3" s="27"/>
      <c r="L3" s="28"/>
      <c r="M3" s="29"/>
      <c r="N3" s="29" t="s">
        <v>77</v>
      </c>
      <c r="Q3" s="21"/>
      <c r="AB3" s="18"/>
      <c r="AF3" s="18" t="s">
        <v>95</v>
      </c>
    </row>
    <row r="4" spans="2:32">
      <c r="B4" s="65"/>
      <c r="D4" s="32" t="str">
        <f t="shared" ref="D4:D133" si="0">IF(LEN(B4)&gt;2,B4&amp;REPT("_",23-LEN(B4)),"")</f>
        <v/>
      </c>
      <c r="G4" s="21" t="s">
        <v>99</v>
      </c>
      <c r="H4" s="21"/>
      <c r="I4" s="33" t="e">
        <f t="shared" ref="I4:I133" si="1">VLOOKUP(H4,$B$137:$AM$4000,38,FALSE)</f>
        <v>#N/A</v>
      </c>
      <c r="J4" s="34" t="e">
        <f t="shared" ref="J4:J133" si="2">VLOOKUP(H4,$B$137:$K$4000,10,FALSE)</f>
        <v>#N/A</v>
      </c>
      <c r="K4" s="21" t="e">
        <f t="shared" ref="K4:K133" si="3">I4-J4</f>
        <v>#N/A</v>
      </c>
      <c r="L4" s="35" t="e">
        <f t="shared" ref="L4:L133" si="4">VLOOKUP(H4,$B$137:$G$4000,5,FALSE)</f>
        <v>#N/A</v>
      </c>
      <c r="M4" s="36" t="e">
        <f t="shared" ref="M4:M133" si="5">L4/I4</f>
        <v>#N/A</v>
      </c>
      <c r="N4" s="29" t="s">
        <v>77</v>
      </c>
      <c r="O4" s="21" t="e">
        <f t="shared" ref="O4:O133" si="6">VLOOKUP(H4,$B$137:$M$4000,12,FALSE)</f>
        <v>#N/A</v>
      </c>
      <c r="P4" s="21" t="e">
        <f t="shared" ref="P4:P133" si="7">VLOOKUP(H4,$B$137:$N$4000,13,FALSE)</f>
        <v>#N/A</v>
      </c>
      <c r="Q4" s="21" t="e">
        <f t="shared" ref="Q4:Q133" si="8">VLOOKUP(H4,$B$137:$O$4000,14,FALSE)</f>
        <v>#N/A</v>
      </c>
      <c r="R4" s="21" t="e">
        <f t="shared" ref="R4:R133" si="9">VLOOKUP(H4,$B$137:$P$4000,15,FALSE)</f>
        <v>#N/A</v>
      </c>
      <c r="S4" s="21" t="e">
        <f t="shared" ref="S4:S133" si="10">VLOOKUP($H4,$B$137:$Z$4000,16,FALSE)</f>
        <v>#N/A</v>
      </c>
      <c r="T4" s="21" t="e">
        <f t="shared" ref="T4:T133" si="11">VLOOKUP($H4,$B$137:$Z$4000,17,FALSE)</f>
        <v>#N/A</v>
      </c>
      <c r="U4" s="21" t="e">
        <f t="shared" ref="U4:U133" si="12">VLOOKUP($H4,$B$137:$Z$4000,18,FALSE)</f>
        <v>#N/A</v>
      </c>
      <c r="V4" s="21" t="e">
        <f t="shared" ref="V4:V133" si="13">VLOOKUP($H4,$B$137:$Z$4000,19,FALSE)</f>
        <v>#N/A</v>
      </c>
      <c r="W4" s="21" t="e">
        <f t="shared" ref="W4:W133" si="14">VLOOKUP($H4,$B$137:$Z$4000,20,FALSE)</f>
        <v>#N/A</v>
      </c>
      <c r="X4" s="21" t="e">
        <f t="shared" ref="X4:X133" si="15">VLOOKUP($H4,$B$137:$Z$4000,21,FALSE)</f>
        <v>#N/A</v>
      </c>
      <c r="Y4" s="21" t="e">
        <f t="shared" ref="Y4:Y133" si="16">VLOOKUP($H4,$B$137:$Z$4000,22,FALSE)</f>
        <v>#N/A</v>
      </c>
      <c r="Z4" s="21" t="e">
        <f t="shared" ref="Z4:Z133" si="17">VLOOKUP($H4,$B$137:$Z$4000,23,FALSE)</f>
        <v>#N/A</v>
      </c>
      <c r="AA4" s="21" t="e">
        <f t="shared" ref="AA4:AA133" si="18">VLOOKUP($H4,$B$137:$Z$4000,1426,FALSE)</f>
        <v>#N/A</v>
      </c>
      <c r="AB4" s="21" t="e">
        <f t="shared" ref="AB4:AB133" si="19">VLOOKUP($H4,$B$137:$Z$4000,25,FALSE)</f>
        <v>#N/A</v>
      </c>
      <c r="AC4" s="21" t="e">
        <f t="shared" ref="AC4:AC133" si="20">VLOOKUP($H4,$B$137:$Z$4000,26,FALSE)</f>
        <v>#N/A</v>
      </c>
      <c r="AD4" s="21" t="e">
        <f t="shared" ref="AD4:AD133" si="21">VLOOKUP($H4,$B$137:$Z$4000,27,FALSE)</f>
        <v>#N/A</v>
      </c>
      <c r="AE4" s="21" t="e">
        <f t="shared" ref="AE4:AE133" si="22">VLOOKUP($H4,$B$137:$Z$4000,28,FALSE)</f>
        <v>#N/A</v>
      </c>
      <c r="AF4" s="18" t="s">
        <v>95</v>
      </c>
    </row>
    <row r="5" spans="2:32">
      <c r="B5" s="65"/>
      <c r="D5" s="32" t="str">
        <f t="shared" si="0"/>
        <v/>
      </c>
      <c r="G5" s="21" t="s">
        <v>100</v>
      </c>
      <c r="I5" s="33" t="e">
        <f t="shared" si="1"/>
        <v>#N/A</v>
      </c>
      <c r="J5" s="34" t="e">
        <f t="shared" si="2"/>
        <v>#N/A</v>
      </c>
      <c r="K5" s="21" t="e">
        <f t="shared" si="3"/>
        <v>#N/A</v>
      </c>
      <c r="L5" s="35" t="e">
        <f t="shared" si="4"/>
        <v>#N/A</v>
      </c>
      <c r="M5" s="36" t="e">
        <f t="shared" si="5"/>
        <v>#N/A</v>
      </c>
      <c r="N5" s="29" t="s">
        <v>77</v>
      </c>
      <c r="O5" s="21" t="e">
        <f t="shared" si="6"/>
        <v>#N/A</v>
      </c>
      <c r="P5" s="21" t="e">
        <f t="shared" si="7"/>
        <v>#N/A</v>
      </c>
      <c r="Q5" s="21" t="e">
        <f t="shared" si="8"/>
        <v>#N/A</v>
      </c>
      <c r="R5" s="21" t="e">
        <f t="shared" si="9"/>
        <v>#N/A</v>
      </c>
      <c r="S5" s="21" t="e">
        <f t="shared" si="10"/>
        <v>#N/A</v>
      </c>
      <c r="T5" s="21" t="e">
        <f t="shared" si="11"/>
        <v>#N/A</v>
      </c>
      <c r="U5" s="21" t="e">
        <f t="shared" si="12"/>
        <v>#N/A</v>
      </c>
      <c r="V5" s="21" t="e">
        <f t="shared" si="13"/>
        <v>#N/A</v>
      </c>
      <c r="W5" s="21" t="e">
        <f t="shared" si="14"/>
        <v>#N/A</v>
      </c>
      <c r="X5" s="21" t="e">
        <f t="shared" si="15"/>
        <v>#N/A</v>
      </c>
      <c r="Y5" s="21" t="e">
        <f t="shared" si="16"/>
        <v>#N/A</v>
      </c>
      <c r="Z5" s="21" t="e">
        <f t="shared" si="17"/>
        <v>#N/A</v>
      </c>
      <c r="AA5" s="21" t="e">
        <f t="shared" si="18"/>
        <v>#N/A</v>
      </c>
      <c r="AB5" s="21" t="e">
        <f t="shared" si="19"/>
        <v>#N/A</v>
      </c>
      <c r="AC5" s="21" t="e">
        <f t="shared" si="20"/>
        <v>#N/A</v>
      </c>
      <c r="AD5" s="21" t="e">
        <f t="shared" si="21"/>
        <v>#N/A</v>
      </c>
      <c r="AE5" s="21" t="e">
        <f t="shared" si="22"/>
        <v>#N/A</v>
      </c>
      <c r="AF5" s="18" t="s">
        <v>95</v>
      </c>
    </row>
    <row r="6" spans="2:32">
      <c r="B6" s="65"/>
      <c r="D6" s="32" t="str">
        <f t="shared" si="0"/>
        <v/>
      </c>
      <c r="G6" s="21" t="s">
        <v>101</v>
      </c>
      <c r="H6" s="21"/>
      <c r="I6" s="33" t="e">
        <f t="shared" si="1"/>
        <v>#N/A</v>
      </c>
      <c r="J6" s="34" t="e">
        <f t="shared" si="2"/>
        <v>#N/A</v>
      </c>
      <c r="K6" s="21" t="e">
        <f t="shared" si="3"/>
        <v>#N/A</v>
      </c>
      <c r="L6" s="35" t="e">
        <f t="shared" si="4"/>
        <v>#N/A</v>
      </c>
      <c r="M6" s="36" t="e">
        <f t="shared" si="5"/>
        <v>#N/A</v>
      </c>
      <c r="N6" s="29" t="s">
        <v>77</v>
      </c>
      <c r="O6" s="21" t="e">
        <f t="shared" si="6"/>
        <v>#N/A</v>
      </c>
      <c r="P6" s="21" t="e">
        <f t="shared" si="7"/>
        <v>#N/A</v>
      </c>
      <c r="Q6" s="21" t="e">
        <f t="shared" si="8"/>
        <v>#N/A</v>
      </c>
      <c r="R6" s="21" t="e">
        <f t="shared" si="9"/>
        <v>#N/A</v>
      </c>
      <c r="S6" s="21" t="e">
        <f t="shared" si="10"/>
        <v>#N/A</v>
      </c>
      <c r="T6" s="21" t="e">
        <f t="shared" si="11"/>
        <v>#N/A</v>
      </c>
      <c r="U6" s="21" t="e">
        <f t="shared" si="12"/>
        <v>#N/A</v>
      </c>
      <c r="V6" s="21" t="e">
        <f t="shared" si="13"/>
        <v>#N/A</v>
      </c>
      <c r="W6" s="21" t="e">
        <f t="shared" si="14"/>
        <v>#N/A</v>
      </c>
      <c r="X6" s="21" t="e">
        <f t="shared" si="15"/>
        <v>#N/A</v>
      </c>
      <c r="Y6" s="21" t="e">
        <f t="shared" si="16"/>
        <v>#N/A</v>
      </c>
      <c r="Z6" s="21" t="e">
        <f t="shared" si="17"/>
        <v>#N/A</v>
      </c>
      <c r="AA6" s="21" t="e">
        <f t="shared" si="18"/>
        <v>#N/A</v>
      </c>
      <c r="AB6" s="21" t="e">
        <f t="shared" si="19"/>
        <v>#N/A</v>
      </c>
      <c r="AC6" s="21" t="e">
        <f t="shared" si="20"/>
        <v>#N/A</v>
      </c>
      <c r="AD6" s="21" t="e">
        <f t="shared" si="21"/>
        <v>#N/A</v>
      </c>
      <c r="AE6" s="21" t="e">
        <f t="shared" si="22"/>
        <v>#N/A</v>
      </c>
      <c r="AF6" s="18" t="s">
        <v>95</v>
      </c>
    </row>
    <row r="7" spans="2:32">
      <c r="B7" s="65"/>
      <c r="D7" s="32" t="str">
        <f t="shared" si="0"/>
        <v/>
      </c>
      <c r="G7" s="21" t="s">
        <v>102</v>
      </c>
      <c r="I7" s="33" t="e">
        <f t="shared" si="1"/>
        <v>#N/A</v>
      </c>
      <c r="J7" s="34" t="e">
        <f t="shared" si="2"/>
        <v>#N/A</v>
      </c>
      <c r="K7" s="21" t="e">
        <f t="shared" si="3"/>
        <v>#N/A</v>
      </c>
      <c r="L7" s="35" t="e">
        <f t="shared" si="4"/>
        <v>#N/A</v>
      </c>
      <c r="M7" s="36" t="e">
        <f t="shared" si="5"/>
        <v>#N/A</v>
      </c>
      <c r="N7" s="29" t="s">
        <v>77</v>
      </c>
      <c r="O7" s="21" t="e">
        <f t="shared" si="6"/>
        <v>#N/A</v>
      </c>
      <c r="P7" s="21" t="e">
        <f t="shared" si="7"/>
        <v>#N/A</v>
      </c>
      <c r="Q7" s="21" t="e">
        <f t="shared" si="8"/>
        <v>#N/A</v>
      </c>
      <c r="R7" s="21" t="e">
        <f t="shared" si="9"/>
        <v>#N/A</v>
      </c>
      <c r="S7" s="21" t="e">
        <f t="shared" si="10"/>
        <v>#N/A</v>
      </c>
      <c r="T7" s="21" t="e">
        <f t="shared" si="11"/>
        <v>#N/A</v>
      </c>
      <c r="U7" s="21" t="e">
        <f t="shared" si="12"/>
        <v>#N/A</v>
      </c>
      <c r="V7" s="21" t="e">
        <f t="shared" si="13"/>
        <v>#N/A</v>
      </c>
      <c r="W7" s="21" t="e">
        <f t="shared" si="14"/>
        <v>#N/A</v>
      </c>
      <c r="X7" s="21" t="e">
        <f t="shared" si="15"/>
        <v>#N/A</v>
      </c>
      <c r="Y7" s="21" t="e">
        <f t="shared" si="16"/>
        <v>#N/A</v>
      </c>
      <c r="Z7" s="21" t="e">
        <f t="shared" si="17"/>
        <v>#N/A</v>
      </c>
      <c r="AA7" s="21" t="e">
        <f t="shared" si="18"/>
        <v>#N/A</v>
      </c>
      <c r="AB7" s="21" t="e">
        <f t="shared" si="19"/>
        <v>#N/A</v>
      </c>
      <c r="AC7" s="21" t="e">
        <f t="shared" si="20"/>
        <v>#N/A</v>
      </c>
      <c r="AD7" s="21" t="e">
        <f t="shared" si="21"/>
        <v>#N/A</v>
      </c>
      <c r="AE7" s="21" t="e">
        <f t="shared" si="22"/>
        <v>#N/A</v>
      </c>
      <c r="AF7" s="18" t="s">
        <v>95</v>
      </c>
    </row>
    <row r="8" spans="2:32">
      <c r="B8" s="65"/>
      <c r="D8" s="32" t="str">
        <f t="shared" si="0"/>
        <v/>
      </c>
      <c r="G8" s="21" t="s">
        <v>103</v>
      </c>
      <c r="I8" s="33" t="e">
        <f t="shared" si="1"/>
        <v>#N/A</v>
      </c>
      <c r="J8" s="34" t="e">
        <f t="shared" si="2"/>
        <v>#N/A</v>
      </c>
      <c r="K8" s="21" t="e">
        <f t="shared" si="3"/>
        <v>#N/A</v>
      </c>
      <c r="L8" s="35" t="e">
        <f t="shared" si="4"/>
        <v>#N/A</v>
      </c>
      <c r="M8" s="36" t="e">
        <f t="shared" si="5"/>
        <v>#N/A</v>
      </c>
      <c r="N8" s="29" t="s">
        <v>77</v>
      </c>
      <c r="O8" s="21" t="e">
        <f t="shared" si="6"/>
        <v>#N/A</v>
      </c>
      <c r="P8" s="21" t="e">
        <f t="shared" si="7"/>
        <v>#N/A</v>
      </c>
      <c r="Q8" s="21" t="e">
        <f t="shared" si="8"/>
        <v>#N/A</v>
      </c>
      <c r="R8" s="21" t="e">
        <f t="shared" si="9"/>
        <v>#N/A</v>
      </c>
      <c r="S8" s="21" t="e">
        <f t="shared" si="10"/>
        <v>#N/A</v>
      </c>
      <c r="T8" s="21" t="e">
        <f t="shared" si="11"/>
        <v>#N/A</v>
      </c>
      <c r="U8" s="21" t="e">
        <f t="shared" si="12"/>
        <v>#N/A</v>
      </c>
      <c r="V8" s="21" t="e">
        <f t="shared" si="13"/>
        <v>#N/A</v>
      </c>
      <c r="W8" s="21" t="e">
        <f t="shared" si="14"/>
        <v>#N/A</v>
      </c>
      <c r="X8" s="21" t="e">
        <f t="shared" si="15"/>
        <v>#N/A</v>
      </c>
      <c r="Y8" s="21" t="e">
        <f t="shared" si="16"/>
        <v>#N/A</v>
      </c>
      <c r="Z8" s="21" t="e">
        <f t="shared" si="17"/>
        <v>#N/A</v>
      </c>
      <c r="AA8" s="21" t="e">
        <f t="shared" si="18"/>
        <v>#N/A</v>
      </c>
      <c r="AB8" s="21" t="e">
        <f t="shared" si="19"/>
        <v>#N/A</v>
      </c>
      <c r="AC8" s="21" t="e">
        <f t="shared" si="20"/>
        <v>#N/A</v>
      </c>
      <c r="AD8" s="21" t="e">
        <f t="shared" si="21"/>
        <v>#N/A</v>
      </c>
      <c r="AE8" s="21" t="e">
        <f t="shared" si="22"/>
        <v>#N/A</v>
      </c>
      <c r="AF8" s="18" t="s">
        <v>95</v>
      </c>
    </row>
    <row r="9" spans="2:32">
      <c r="B9" s="65"/>
      <c r="D9" s="32" t="str">
        <f t="shared" si="0"/>
        <v/>
      </c>
      <c r="G9" s="21" t="s">
        <v>104</v>
      </c>
      <c r="I9" s="33" t="e">
        <f t="shared" si="1"/>
        <v>#N/A</v>
      </c>
      <c r="J9" s="34" t="e">
        <f t="shared" si="2"/>
        <v>#N/A</v>
      </c>
      <c r="K9" s="21" t="e">
        <f t="shared" si="3"/>
        <v>#N/A</v>
      </c>
      <c r="L9" s="35" t="e">
        <f t="shared" si="4"/>
        <v>#N/A</v>
      </c>
      <c r="M9" s="36" t="e">
        <f t="shared" si="5"/>
        <v>#N/A</v>
      </c>
      <c r="N9" s="29" t="s">
        <v>77</v>
      </c>
      <c r="O9" s="21" t="e">
        <f t="shared" si="6"/>
        <v>#N/A</v>
      </c>
      <c r="P9" s="21" t="e">
        <f t="shared" si="7"/>
        <v>#N/A</v>
      </c>
      <c r="Q9" s="21" t="e">
        <f t="shared" si="8"/>
        <v>#N/A</v>
      </c>
      <c r="R9" s="21" t="e">
        <f t="shared" si="9"/>
        <v>#N/A</v>
      </c>
      <c r="S9" s="21" t="e">
        <f t="shared" si="10"/>
        <v>#N/A</v>
      </c>
      <c r="T9" s="21" t="e">
        <f t="shared" si="11"/>
        <v>#N/A</v>
      </c>
      <c r="U9" s="21" t="e">
        <f t="shared" si="12"/>
        <v>#N/A</v>
      </c>
      <c r="V9" s="21" t="e">
        <f t="shared" si="13"/>
        <v>#N/A</v>
      </c>
      <c r="W9" s="21" t="e">
        <f t="shared" si="14"/>
        <v>#N/A</v>
      </c>
      <c r="X9" s="21" t="e">
        <f t="shared" si="15"/>
        <v>#N/A</v>
      </c>
      <c r="Y9" s="21" t="e">
        <f t="shared" si="16"/>
        <v>#N/A</v>
      </c>
      <c r="Z9" s="21" t="e">
        <f t="shared" si="17"/>
        <v>#N/A</v>
      </c>
      <c r="AA9" s="21" t="e">
        <f t="shared" si="18"/>
        <v>#N/A</v>
      </c>
      <c r="AB9" s="21" t="e">
        <f t="shared" si="19"/>
        <v>#N/A</v>
      </c>
      <c r="AC9" s="21" t="e">
        <f t="shared" si="20"/>
        <v>#N/A</v>
      </c>
      <c r="AD9" s="21" t="e">
        <f t="shared" si="21"/>
        <v>#N/A</v>
      </c>
      <c r="AE9" s="21" t="e">
        <f t="shared" si="22"/>
        <v>#N/A</v>
      </c>
      <c r="AF9" s="18" t="s">
        <v>95</v>
      </c>
    </row>
    <row r="10" spans="2:32">
      <c r="B10" s="65"/>
      <c r="D10" s="32" t="str">
        <f t="shared" si="0"/>
        <v/>
      </c>
      <c r="G10" s="21" t="s">
        <v>105</v>
      </c>
      <c r="I10" s="33" t="e">
        <f t="shared" si="1"/>
        <v>#N/A</v>
      </c>
      <c r="J10" s="34" t="e">
        <f t="shared" si="2"/>
        <v>#N/A</v>
      </c>
      <c r="K10" s="21" t="e">
        <f t="shared" si="3"/>
        <v>#N/A</v>
      </c>
      <c r="L10" s="35" t="e">
        <f t="shared" si="4"/>
        <v>#N/A</v>
      </c>
      <c r="M10" s="36" t="e">
        <f t="shared" si="5"/>
        <v>#N/A</v>
      </c>
      <c r="N10" s="29" t="s">
        <v>77</v>
      </c>
      <c r="O10" s="21" t="e">
        <f t="shared" si="6"/>
        <v>#N/A</v>
      </c>
      <c r="P10" s="21" t="e">
        <f t="shared" si="7"/>
        <v>#N/A</v>
      </c>
      <c r="Q10" s="21" t="e">
        <f t="shared" si="8"/>
        <v>#N/A</v>
      </c>
      <c r="R10" s="21" t="e">
        <f t="shared" si="9"/>
        <v>#N/A</v>
      </c>
      <c r="S10" s="21" t="e">
        <f t="shared" si="10"/>
        <v>#N/A</v>
      </c>
      <c r="T10" s="21" t="e">
        <f t="shared" si="11"/>
        <v>#N/A</v>
      </c>
      <c r="U10" s="21" t="e">
        <f t="shared" si="12"/>
        <v>#N/A</v>
      </c>
      <c r="V10" s="21" t="e">
        <f t="shared" si="13"/>
        <v>#N/A</v>
      </c>
      <c r="W10" s="21" t="e">
        <f t="shared" si="14"/>
        <v>#N/A</v>
      </c>
      <c r="X10" s="21" t="e">
        <f t="shared" si="15"/>
        <v>#N/A</v>
      </c>
      <c r="Y10" s="21" t="e">
        <f t="shared" si="16"/>
        <v>#N/A</v>
      </c>
      <c r="Z10" s="21" t="e">
        <f t="shared" si="17"/>
        <v>#N/A</v>
      </c>
      <c r="AA10" s="21" t="e">
        <f t="shared" si="18"/>
        <v>#N/A</v>
      </c>
      <c r="AB10" s="21" t="e">
        <f t="shared" si="19"/>
        <v>#N/A</v>
      </c>
      <c r="AC10" s="21" t="e">
        <f t="shared" si="20"/>
        <v>#N/A</v>
      </c>
      <c r="AD10" s="21" t="e">
        <f t="shared" si="21"/>
        <v>#N/A</v>
      </c>
      <c r="AE10" s="21" t="e">
        <f t="shared" si="22"/>
        <v>#N/A</v>
      </c>
      <c r="AF10" s="18" t="s">
        <v>95</v>
      </c>
    </row>
    <row r="11" spans="2:32">
      <c r="B11" s="65"/>
      <c r="D11" s="32" t="str">
        <f t="shared" si="0"/>
        <v/>
      </c>
      <c r="G11" s="21" t="s">
        <v>106</v>
      </c>
      <c r="H11" s="21"/>
      <c r="I11" s="33" t="e">
        <f t="shared" si="1"/>
        <v>#N/A</v>
      </c>
      <c r="J11" s="34" t="e">
        <f t="shared" si="2"/>
        <v>#N/A</v>
      </c>
      <c r="K11" s="21" t="e">
        <f t="shared" si="3"/>
        <v>#N/A</v>
      </c>
      <c r="L11" s="35" t="e">
        <f t="shared" si="4"/>
        <v>#N/A</v>
      </c>
      <c r="M11" s="36" t="e">
        <f t="shared" si="5"/>
        <v>#N/A</v>
      </c>
      <c r="N11" s="29" t="s">
        <v>77</v>
      </c>
      <c r="O11" s="21" t="e">
        <f t="shared" si="6"/>
        <v>#N/A</v>
      </c>
      <c r="P11" s="21" t="e">
        <f t="shared" si="7"/>
        <v>#N/A</v>
      </c>
      <c r="Q11" s="21" t="e">
        <f t="shared" si="8"/>
        <v>#N/A</v>
      </c>
      <c r="R11" s="21" t="e">
        <f t="shared" si="9"/>
        <v>#N/A</v>
      </c>
      <c r="S11" s="21" t="e">
        <f t="shared" si="10"/>
        <v>#N/A</v>
      </c>
      <c r="T11" s="21" t="e">
        <f t="shared" si="11"/>
        <v>#N/A</v>
      </c>
      <c r="U11" s="21" t="e">
        <f t="shared" si="12"/>
        <v>#N/A</v>
      </c>
      <c r="V11" s="21" t="e">
        <f t="shared" si="13"/>
        <v>#N/A</v>
      </c>
      <c r="W11" s="21" t="e">
        <f t="shared" si="14"/>
        <v>#N/A</v>
      </c>
      <c r="X11" s="21" t="e">
        <f t="shared" si="15"/>
        <v>#N/A</v>
      </c>
      <c r="Y11" s="21" t="e">
        <f t="shared" si="16"/>
        <v>#N/A</v>
      </c>
      <c r="Z11" s="21" t="e">
        <f t="shared" si="17"/>
        <v>#N/A</v>
      </c>
      <c r="AA11" s="21" t="e">
        <f t="shared" si="18"/>
        <v>#N/A</v>
      </c>
      <c r="AB11" s="21" t="e">
        <f t="shared" si="19"/>
        <v>#N/A</v>
      </c>
      <c r="AC11" s="21" t="e">
        <f t="shared" si="20"/>
        <v>#N/A</v>
      </c>
      <c r="AD11" s="21" t="e">
        <f t="shared" si="21"/>
        <v>#N/A</v>
      </c>
      <c r="AE11" s="21" t="e">
        <f t="shared" si="22"/>
        <v>#N/A</v>
      </c>
      <c r="AF11" s="18" t="s">
        <v>95</v>
      </c>
    </row>
    <row r="12" spans="2:32">
      <c r="B12" s="65"/>
      <c r="D12" s="32" t="str">
        <f t="shared" si="0"/>
        <v/>
      </c>
      <c r="G12" s="21" t="s">
        <v>107</v>
      </c>
      <c r="I12" s="33" t="e">
        <f t="shared" si="1"/>
        <v>#N/A</v>
      </c>
      <c r="J12" s="34" t="e">
        <f t="shared" si="2"/>
        <v>#N/A</v>
      </c>
      <c r="K12" s="21" t="e">
        <f t="shared" si="3"/>
        <v>#N/A</v>
      </c>
      <c r="L12" s="35" t="e">
        <f t="shared" si="4"/>
        <v>#N/A</v>
      </c>
      <c r="M12" s="36" t="e">
        <f t="shared" si="5"/>
        <v>#N/A</v>
      </c>
      <c r="N12" s="29" t="s">
        <v>77</v>
      </c>
      <c r="O12" s="21" t="e">
        <f t="shared" si="6"/>
        <v>#N/A</v>
      </c>
      <c r="P12" s="21" t="e">
        <f t="shared" si="7"/>
        <v>#N/A</v>
      </c>
      <c r="Q12" s="21" t="e">
        <f t="shared" si="8"/>
        <v>#N/A</v>
      </c>
      <c r="R12" s="21" t="e">
        <f t="shared" si="9"/>
        <v>#N/A</v>
      </c>
      <c r="S12" s="21" t="e">
        <f t="shared" si="10"/>
        <v>#N/A</v>
      </c>
      <c r="T12" s="21" t="e">
        <f t="shared" si="11"/>
        <v>#N/A</v>
      </c>
      <c r="U12" s="21" t="e">
        <f t="shared" si="12"/>
        <v>#N/A</v>
      </c>
      <c r="V12" s="21" t="e">
        <f t="shared" si="13"/>
        <v>#N/A</v>
      </c>
      <c r="W12" s="21" t="e">
        <f t="shared" si="14"/>
        <v>#N/A</v>
      </c>
      <c r="X12" s="21" t="e">
        <f t="shared" si="15"/>
        <v>#N/A</v>
      </c>
      <c r="Y12" s="21" t="e">
        <f t="shared" si="16"/>
        <v>#N/A</v>
      </c>
      <c r="Z12" s="21" t="e">
        <f t="shared" si="17"/>
        <v>#N/A</v>
      </c>
      <c r="AA12" s="21" t="e">
        <f t="shared" si="18"/>
        <v>#N/A</v>
      </c>
      <c r="AB12" s="21" t="e">
        <f t="shared" si="19"/>
        <v>#N/A</v>
      </c>
      <c r="AC12" s="21" t="e">
        <f t="shared" si="20"/>
        <v>#N/A</v>
      </c>
      <c r="AD12" s="21" t="e">
        <f t="shared" si="21"/>
        <v>#N/A</v>
      </c>
      <c r="AE12" s="21" t="e">
        <f t="shared" si="22"/>
        <v>#N/A</v>
      </c>
      <c r="AF12" s="18" t="s">
        <v>95</v>
      </c>
    </row>
    <row r="13" spans="2:32">
      <c r="B13" s="65"/>
      <c r="D13" s="32" t="str">
        <f t="shared" si="0"/>
        <v/>
      </c>
      <c r="G13" s="21" t="s">
        <v>108</v>
      </c>
      <c r="I13" s="33" t="e">
        <f t="shared" si="1"/>
        <v>#N/A</v>
      </c>
      <c r="J13" s="34" t="e">
        <f t="shared" si="2"/>
        <v>#N/A</v>
      </c>
      <c r="K13" s="21" t="e">
        <f t="shared" si="3"/>
        <v>#N/A</v>
      </c>
      <c r="L13" s="35" t="e">
        <f t="shared" si="4"/>
        <v>#N/A</v>
      </c>
      <c r="M13" s="36" t="e">
        <f t="shared" si="5"/>
        <v>#N/A</v>
      </c>
      <c r="N13" s="29" t="s">
        <v>77</v>
      </c>
      <c r="O13" s="21" t="e">
        <f t="shared" si="6"/>
        <v>#N/A</v>
      </c>
      <c r="P13" s="21" t="e">
        <f t="shared" si="7"/>
        <v>#N/A</v>
      </c>
      <c r="Q13" s="21" t="e">
        <f t="shared" si="8"/>
        <v>#N/A</v>
      </c>
      <c r="R13" s="21" t="e">
        <f t="shared" si="9"/>
        <v>#N/A</v>
      </c>
      <c r="S13" s="21" t="e">
        <f t="shared" si="10"/>
        <v>#N/A</v>
      </c>
      <c r="T13" s="21" t="e">
        <f t="shared" si="11"/>
        <v>#N/A</v>
      </c>
      <c r="U13" s="21" t="e">
        <f t="shared" si="12"/>
        <v>#N/A</v>
      </c>
      <c r="V13" s="21" t="e">
        <f t="shared" si="13"/>
        <v>#N/A</v>
      </c>
      <c r="W13" s="21" t="e">
        <f t="shared" si="14"/>
        <v>#N/A</v>
      </c>
      <c r="X13" s="21" t="e">
        <f t="shared" si="15"/>
        <v>#N/A</v>
      </c>
      <c r="Y13" s="21" t="e">
        <f t="shared" si="16"/>
        <v>#N/A</v>
      </c>
      <c r="Z13" s="21" t="e">
        <f t="shared" si="17"/>
        <v>#N/A</v>
      </c>
      <c r="AA13" s="21" t="e">
        <f t="shared" si="18"/>
        <v>#N/A</v>
      </c>
      <c r="AB13" s="21" t="e">
        <f t="shared" si="19"/>
        <v>#N/A</v>
      </c>
      <c r="AC13" s="21" t="e">
        <f t="shared" si="20"/>
        <v>#N/A</v>
      </c>
      <c r="AD13" s="21" t="e">
        <f t="shared" si="21"/>
        <v>#N/A</v>
      </c>
      <c r="AE13" s="21" t="e">
        <f t="shared" si="22"/>
        <v>#N/A</v>
      </c>
      <c r="AF13" s="18" t="s">
        <v>95</v>
      </c>
    </row>
    <row r="14" spans="2:32">
      <c r="B14" s="65"/>
      <c r="D14" s="32" t="str">
        <f t="shared" si="0"/>
        <v/>
      </c>
      <c r="G14" s="21" t="s">
        <v>109</v>
      </c>
      <c r="I14" s="33" t="e">
        <f t="shared" si="1"/>
        <v>#N/A</v>
      </c>
      <c r="J14" s="34" t="e">
        <f t="shared" si="2"/>
        <v>#N/A</v>
      </c>
      <c r="K14" s="21" t="e">
        <f t="shared" si="3"/>
        <v>#N/A</v>
      </c>
      <c r="L14" s="35" t="e">
        <f t="shared" si="4"/>
        <v>#N/A</v>
      </c>
      <c r="M14" s="36" t="e">
        <f t="shared" si="5"/>
        <v>#N/A</v>
      </c>
      <c r="N14" s="29" t="s">
        <v>77</v>
      </c>
      <c r="O14" s="21" t="e">
        <f t="shared" si="6"/>
        <v>#N/A</v>
      </c>
      <c r="P14" s="21" t="e">
        <f t="shared" si="7"/>
        <v>#N/A</v>
      </c>
      <c r="Q14" s="21" t="e">
        <f t="shared" si="8"/>
        <v>#N/A</v>
      </c>
      <c r="R14" s="21" t="e">
        <f t="shared" si="9"/>
        <v>#N/A</v>
      </c>
      <c r="S14" s="21" t="e">
        <f t="shared" si="10"/>
        <v>#N/A</v>
      </c>
      <c r="T14" s="21" t="e">
        <f t="shared" si="11"/>
        <v>#N/A</v>
      </c>
      <c r="U14" s="21" t="e">
        <f t="shared" si="12"/>
        <v>#N/A</v>
      </c>
      <c r="V14" s="21" t="e">
        <f t="shared" si="13"/>
        <v>#N/A</v>
      </c>
      <c r="W14" s="21" t="e">
        <f t="shared" si="14"/>
        <v>#N/A</v>
      </c>
      <c r="X14" s="21" t="e">
        <f t="shared" si="15"/>
        <v>#N/A</v>
      </c>
      <c r="Y14" s="21" t="e">
        <f t="shared" si="16"/>
        <v>#N/A</v>
      </c>
      <c r="Z14" s="21" t="e">
        <f t="shared" si="17"/>
        <v>#N/A</v>
      </c>
      <c r="AA14" s="21" t="e">
        <f t="shared" si="18"/>
        <v>#N/A</v>
      </c>
      <c r="AB14" s="21" t="e">
        <f t="shared" si="19"/>
        <v>#N/A</v>
      </c>
      <c r="AC14" s="21" t="e">
        <f t="shared" si="20"/>
        <v>#N/A</v>
      </c>
      <c r="AD14" s="21" t="e">
        <f t="shared" si="21"/>
        <v>#N/A</v>
      </c>
      <c r="AE14" s="21" t="e">
        <f t="shared" si="22"/>
        <v>#N/A</v>
      </c>
      <c r="AF14" s="18" t="s">
        <v>95</v>
      </c>
    </row>
    <row r="15" spans="2:32">
      <c r="B15" s="65"/>
      <c r="D15" s="32" t="str">
        <f t="shared" si="0"/>
        <v/>
      </c>
      <c r="G15" s="21" t="s">
        <v>110</v>
      </c>
      <c r="I15" s="33" t="e">
        <f t="shared" si="1"/>
        <v>#N/A</v>
      </c>
      <c r="J15" s="34" t="e">
        <f t="shared" si="2"/>
        <v>#N/A</v>
      </c>
      <c r="K15" s="21" t="e">
        <f t="shared" si="3"/>
        <v>#N/A</v>
      </c>
      <c r="L15" s="35" t="e">
        <f t="shared" si="4"/>
        <v>#N/A</v>
      </c>
      <c r="M15" s="36" t="e">
        <f t="shared" si="5"/>
        <v>#N/A</v>
      </c>
      <c r="N15" s="29" t="s">
        <v>77</v>
      </c>
      <c r="O15" s="21" t="e">
        <f t="shared" si="6"/>
        <v>#N/A</v>
      </c>
      <c r="P15" s="21" t="e">
        <f t="shared" si="7"/>
        <v>#N/A</v>
      </c>
      <c r="Q15" s="21" t="e">
        <f t="shared" si="8"/>
        <v>#N/A</v>
      </c>
      <c r="R15" s="21" t="e">
        <f t="shared" si="9"/>
        <v>#N/A</v>
      </c>
      <c r="S15" s="21" t="e">
        <f t="shared" si="10"/>
        <v>#N/A</v>
      </c>
      <c r="T15" s="21" t="e">
        <f t="shared" si="11"/>
        <v>#N/A</v>
      </c>
      <c r="U15" s="21" t="e">
        <f t="shared" si="12"/>
        <v>#N/A</v>
      </c>
      <c r="V15" s="21" t="e">
        <f t="shared" si="13"/>
        <v>#N/A</v>
      </c>
      <c r="W15" s="21" t="e">
        <f t="shared" si="14"/>
        <v>#N/A</v>
      </c>
      <c r="X15" s="21" t="e">
        <f t="shared" si="15"/>
        <v>#N/A</v>
      </c>
      <c r="Y15" s="21" t="e">
        <f t="shared" si="16"/>
        <v>#N/A</v>
      </c>
      <c r="Z15" s="21" t="e">
        <f t="shared" si="17"/>
        <v>#N/A</v>
      </c>
      <c r="AA15" s="21" t="e">
        <f t="shared" si="18"/>
        <v>#N/A</v>
      </c>
      <c r="AB15" s="21" t="e">
        <f t="shared" si="19"/>
        <v>#N/A</v>
      </c>
      <c r="AC15" s="21" t="e">
        <f t="shared" si="20"/>
        <v>#N/A</v>
      </c>
      <c r="AD15" s="21" t="e">
        <f t="shared" si="21"/>
        <v>#N/A</v>
      </c>
      <c r="AE15" s="21" t="e">
        <f t="shared" si="22"/>
        <v>#N/A</v>
      </c>
      <c r="AF15" s="18" t="s">
        <v>95</v>
      </c>
    </row>
    <row r="16" spans="2:32">
      <c r="B16" s="65"/>
      <c r="D16" s="32" t="str">
        <f t="shared" si="0"/>
        <v/>
      </c>
      <c r="G16" s="21" t="s">
        <v>111</v>
      </c>
      <c r="I16" s="33" t="e">
        <f t="shared" si="1"/>
        <v>#N/A</v>
      </c>
      <c r="J16" s="34" t="e">
        <f t="shared" si="2"/>
        <v>#N/A</v>
      </c>
      <c r="K16" s="21" t="e">
        <f t="shared" si="3"/>
        <v>#N/A</v>
      </c>
      <c r="L16" s="35" t="e">
        <f t="shared" si="4"/>
        <v>#N/A</v>
      </c>
      <c r="M16" s="36" t="e">
        <f t="shared" si="5"/>
        <v>#N/A</v>
      </c>
      <c r="N16" s="29" t="s">
        <v>77</v>
      </c>
      <c r="O16" s="21" t="e">
        <f t="shared" si="6"/>
        <v>#N/A</v>
      </c>
      <c r="P16" s="21" t="e">
        <f t="shared" si="7"/>
        <v>#N/A</v>
      </c>
      <c r="Q16" s="21" t="e">
        <f t="shared" si="8"/>
        <v>#N/A</v>
      </c>
      <c r="R16" s="21" t="e">
        <f t="shared" si="9"/>
        <v>#N/A</v>
      </c>
      <c r="S16" s="21" t="e">
        <f t="shared" si="10"/>
        <v>#N/A</v>
      </c>
      <c r="T16" s="21" t="e">
        <f t="shared" si="11"/>
        <v>#N/A</v>
      </c>
      <c r="U16" s="21" t="e">
        <f t="shared" si="12"/>
        <v>#N/A</v>
      </c>
      <c r="V16" s="21" t="e">
        <f t="shared" si="13"/>
        <v>#N/A</v>
      </c>
      <c r="W16" s="21" t="e">
        <f t="shared" si="14"/>
        <v>#N/A</v>
      </c>
      <c r="X16" s="21" t="e">
        <f t="shared" si="15"/>
        <v>#N/A</v>
      </c>
      <c r="Y16" s="21" t="e">
        <f t="shared" si="16"/>
        <v>#N/A</v>
      </c>
      <c r="Z16" s="21" t="e">
        <f t="shared" si="17"/>
        <v>#N/A</v>
      </c>
      <c r="AA16" s="21" t="e">
        <f t="shared" si="18"/>
        <v>#N/A</v>
      </c>
      <c r="AB16" s="21" t="e">
        <f t="shared" si="19"/>
        <v>#N/A</v>
      </c>
      <c r="AC16" s="21" t="e">
        <f t="shared" si="20"/>
        <v>#N/A</v>
      </c>
      <c r="AD16" s="21" t="e">
        <f t="shared" si="21"/>
        <v>#N/A</v>
      </c>
      <c r="AE16" s="21" t="e">
        <f t="shared" si="22"/>
        <v>#N/A</v>
      </c>
      <c r="AF16" s="18" t="s">
        <v>95</v>
      </c>
    </row>
    <row r="17" spans="2:32">
      <c r="B17" s="65"/>
      <c r="D17" s="32" t="str">
        <f t="shared" si="0"/>
        <v/>
      </c>
      <c r="G17" s="21" t="s">
        <v>112</v>
      </c>
      <c r="H17" s="21"/>
      <c r="I17" s="33" t="e">
        <f t="shared" si="1"/>
        <v>#N/A</v>
      </c>
      <c r="J17" s="34" t="e">
        <f t="shared" si="2"/>
        <v>#N/A</v>
      </c>
      <c r="K17" s="21" t="e">
        <f t="shared" si="3"/>
        <v>#N/A</v>
      </c>
      <c r="L17" s="35" t="e">
        <f t="shared" si="4"/>
        <v>#N/A</v>
      </c>
      <c r="M17" s="36" t="e">
        <f t="shared" si="5"/>
        <v>#N/A</v>
      </c>
      <c r="N17" s="29" t="s">
        <v>77</v>
      </c>
      <c r="O17" s="21" t="e">
        <f t="shared" si="6"/>
        <v>#N/A</v>
      </c>
      <c r="P17" s="21" t="e">
        <f t="shared" si="7"/>
        <v>#N/A</v>
      </c>
      <c r="Q17" s="21" t="e">
        <f t="shared" si="8"/>
        <v>#N/A</v>
      </c>
      <c r="R17" s="21" t="e">
        <f t="shared" si="9"/>
        <v>#N/A</v>
      </c>
      <c r="S17" s="21" t="e">
        <f t="shared" si="10"/>
        <v>#N/A</v>
      </c>
      <c r="T17" s="21" t="e">
        <f t="shared" si="11"/>
        <v>#N/A</v>
      </c>
      <c r="U17" s="21" t="e">
        <f t="shared" si="12"/>
        <v>#N/A</v>
      </c>
      <c r="V17" s="21" t="e">
        <f t="shared" si="13"/>
        <v>#N/A</v>
      </c>
      <c r="W17" s="21" t="e">
        <f t="shared" si="14"/>
        <v>#N/A</v>
      </c>
      <c r="X17" s="21" t="e">
        <f t="shared" si="15"/>
        <v>#N/A</v>
      </c>
      <c r="Y17" s="21" t="e">
        <f t="shared" si="16"/>
        <v>#N/A</v>
      </c>
      <c r="Z17" s="21" t="e">
        <f t="shared" si="17"/>
        <v>#N/A</v>
      </c>
      <c r="AA17" s="21" t="e">
        <f t="shared" si="18"/>
        <v>#N/A</v>
      </c>
      <c r="AB17" s="21" t="e">
        <f t="shared" si="19"/>
        <v>#N/A</v>
      </c>
      <c r="AC17" s="21" t="e">
        <f t="shared" si="20"/>
        <v>#N/A</v>
      </c>
      <c r="AD17" s="21" t="e">
        <f t="shared" si="21"/>
        <v>#N/A</v>
      </c>
      <c r="AE17" s="21" t="e">
        <f t="shared" si="22"/>
        <v>#N/A</v>
      </c>
      <c r="AF17" s="18" t="s">
        <v>95</v>
      </c>
    </row>
    <row r="18" spans="2:32">
      <c r="B18" s="65"/>
      <c r="D18" s="32" t="str">
        <f t="shared" si="0"/>
        <v/>
      </c>
      <c r="G18" s="21" t="s">
        <v>113</v>
      </c>
      <c r="H18" s="21"/>
      <c r="I18" s="33" t="e">
        <f t="shared" si="1"/>
        <v>#N/A</v>
      </c>
      <c r="J18" s="34" t="e">
        <f t="shared" si="2"/>
        <v>#N/A</v>
      </c>
      <c r="K18" s="21" t="e">
        <f t="shared" si="3"/>
        <v>#N/A</v>
      </c>
      <c r="L18" s="35" t="e">
        <f t="shared" si="4"/>
        <v>#N/A</v>
      </c>
      <c r="M18" s="36" t="e">
        <f t="shared" si="5"/>
        <v>#N/A</v>
      </c>
      <c r="N18" s="29" t="s">
        <v>77</v>
      </c>
      <c r="O18" s="21" t="e">
        <f t="shared" si="6"/>
        <v>#N/A</v>
      </c>
      <c r="P18" s="21" t="e">
        <f t="shared" si="7"/>
        <v>#N/A</v>
      </c>
      <c r="Q18" s="21" t="e">
        <f t="shared" si="8"/>
        <v>#N/A</v>
      </c>
      <c r="R18" s="21" t="e">
        <f t="shared" si="9"/>
        <v>#N/A</v>
      </c>
      <c r="S18" s="21" t="e">
        <f t="shared" si="10"/>
        <v>#N/A</v>
      </c>
      <c r="T18" s="21" t="e">
        <f t="shared" si="11"/>
        <v>#N/A</v>
      </c>
      <c r="U18" s="21" t="e">
        <f t="shared" si="12"/>
        <v>#N/A</v>
      </c>
      <c r="V18" s="21" t="e">
        <f t="shared" si="13"/>
        <v>#N/A</v>
      </c>
      <c r="W18" s="21" t="e">
        <f t="shared" si="14"/>
        <v>#N/A</v>
      </c>
      <c r="X18" s="21" t="e">
        <f t="shared" si="15"/>
        <v>#N/A</v>
      </c>
      <c r="Y18" s="21" t="e">
        <f t="shared" si="16"/>
        <v>#N/A</v>
      </c>
      <c r="Z18" s="21" t="e">
        <f t="shared" si="17"/>
        <v>#N/A</v>
      </c>
      <c r="AA18" s="21" t="e">
        <f t="shared" si="18"/>
        <v>#N/A</v>
      </c>
      <c r="AB18" s="21" t="e">
        <f t="shared" si="19"/>
        <v>#N/A</v>
      </c>
      <c r="AC18" s="21" t="e">
        <f t="shared" si="20"/>
        <v>#N/A</v>
      </c>
      <c r="AD18" s="21" t="e">
        <f t="shared" si="21"/>
        <v>#N/A</v>
      </c>
      <c r="AE18" s="21" t="e">
        <f t="shared" si="22"/>
        <v>#N/A</v>
      </c>
      <c r="AF18" s="18" t="s">
        <v>95</v>
      </c>
    </row>
    <row r="19" spans="2:32">
      <c r="B19" s="65"/>
      <c r="D19" s="32" t="str">
        <f t="shared" si="0"/>
        <v/>
      </c>
      <c r="G19" s="21" t="s">
        <v>114</v>
      </c>
      <c r="I19" s="33" t="e">
        <f t="shared" si="1"/>
        <v>#N/A</v>
      </c>
      <c r="J19" s="34" t="e">
        <f t="shared" si="2"/>
        <v>#N/A</v>
      </c>
      <c r="K19" s="21" t="e">
        <f t="shared" si="3"/>
        <v>#N/A</v>
      </c>
      <c r="L19" s="35" t="e">
        <f t="shared" si="4"/>
        <v>#N/A</v>
      </c>
      <c r="M19" s="36" t="e">
        <f t="shared" si="5"/>
        <v>#N/A</v>
      </c>
      <c r="N19" s="29" t="s">
        <v>77</v>
      </c>
      <c r="O19" s="21" t="e">
        <f t="shared" si="6"/>
        <v>#N/A</v>
      </c>
      <c r="P19" s="21" t="e">
        <f t="shared" si="7"/>
        <v>#N/A</v>
      </c>
      <c r="Q19" s="21" t="e">
        <f t="shared" si="8"/>
        <v>#N/A</v>
      </c>
      <c r="R19" s="21" t="e">
        <f t="shared" si="9"/>
        <v>#N/A</v>
      </c>
      <c r="S19" s="21" t="e">
        <f t="shared" si="10"/>
        <v>#N/A</v>
      </c>
      <c r="T19" s="21" t="e">
        <f t="shared" si="11"/>
        <v>#N/A</v>
      </c>
      <c r="U19" s="21" t="e">
        <f t="shared" si="12"/>
        <v>#N/A</v>
      </c>
      <c r="V19" s="21" t="e">
        <f t="shared" si="13"/>
        <v>#N/A</v>
      </c>
      <c r="W19" s="21" t="e">
        <f t="shared" si="14"/>
        <v>#N/A</v>
      </c>
      <c r="X19" s="21" t="e">
        <f t="shared" si="15"/>
        <v>#N/A</v>
      </c>
      <c r="Y19" s="21" t="e">
        <f t="shared" si="16"/>
        <v>#N/A</v>
      </c>
      <c r="Z19" s="21" t="e">
        <f t="shared" si="17"/>
        <v>#N/A</v>
      </c>
      <c r="AA19" s="21" t="e">
        <f t="shared" si="18"/>
        <v>#N/A</v>
      </c>
      <c r="AB19" s="21" t="e">
        <f t="shared" si="19"/>
        <v>#N/A</v>
      </c>
      <c r="AC19" s="21" t="e">
        <f t="shared" si="20"/>
        <v>#N/A</v>
      </c>
      <c r="AD19" s="21" t="e">
        <f t="shared" si="21"/>
        <v>#N/A</v>
      </c>
      <c r="AE19" s="21" t="e">
        <f t="shared" si="22"/>
        <v>#N/A</v>
      </c>
      <c r="AF19" s="18" t="s">
        <v>95</v>
      </c>
    </row>
    <row r="20" spans="2:32">
      <c r="B20" s="65"/>
      <c r="D20" s="32" t="str">
        <f t="shared" si="0"/>
        <v/>
      </c>
      <c r="G20" s="21" t="s">
        <v>115</v>
      </c>
      <c r="I20" s="33" t="e">
        <f t="shared" si="1"/>
        <v>#N/A</v>
      </c>
      <c r="J20" s="34" t="e">
        <f t="shared" si="2"/>
        <v>#N/A</v>
      </c>
      <c r="K20" s="21" t="e">
        <f t="shared" si="3"/>
        <v>#N/A</v>
      </c>
      <c r="L20" s="35" t="e">
        <f t="shared" si="4"/>
        <v>#N/A</v>
      </c>
      <c r="M20" s="36" t="e">
        <f t="shared" si="5"/>
        <v>#N/A</v>
      </c>
      <c r="N20" s="29" t="s">
        <v>77</v>
      </c>
      <c r="O20" s="21" t="e">
        <f t="shared" si="6"/>
        <v>#N/A</v>
      </c>
      <c r="P20" s="21" t="e">
        <f t="shared" si="7"/>
        <v>#N/A</v>
      </c>
      <c r="Q20" s="21" t="e">
        <f t="shared" si="8"/>
        <v>#N/A</v>
      </c>
      <c r="R20" s="21" t="e">
        <f t="shared" si="9"/>
        <v>#N/A</v>
      </c>
      <c r="S20" s="21" t="e">
        <f t="shared" si="10"/>
        <v>#N/A</v>
      </c>
      <c r="T20" s="21" t="e">
        <f t="shared" si="11"/>
        <v>#N/A</v>
      </c>
      <c r="U20" s="21" t="e">
        <f t="shared" si="12"/>
        <v>#N/A</v>
      </c>
      <c r="V20" s="21" t="e">
        <f t="shared" si="13"/>
        <v>#N/A</v>
      </c>
      <c r="W20" s="21" t="e">
        <f t="shared" si="14"/>
        <v>#N/A</v>
      </c>
      <c r="X20" s="21" t="e">
        <f t="shared" si="15"/>
        <v>#N/A</v>
      </c>
      <c r="Y20" s="21" t="e">
        <f t="shared" si="16"/>
        <v>#N/A</v>
      </c>
      <c r="Z20" s="21" t="e">
        <f t="shared" si="17"/>
        <v>#N/A</v>
      </c>
      <c r="AA20" s="21" t="e">
        <f t="shared" si="18"/>
        <v>#N/A</v>
      </c>
      <c r="AB20" s="21" t="e">
        <f t="shared" si="19"/>
        <v>#N/A</v>
      </c>
      <c r="AC20" s="21" t="e">
        <f t="shared" si="20"/>
        <v>#N/A</v>
      </c>
      <c r="AD20" s="21" t="e">
        <f t="shared" si="21"/>
        <v>#N/A</v>
      </c>
      <c r="AE20" s="21" t="e">
        <f t="shared" si="22"/>
        <v>#N/A</v>
      </c>
      <c r="AF20" s="18" t="s">
        <v>95</v>
      </c>
    </row>
    <row r="21" spans="2:32">
      <c r="B21" s="65"/>
      <c r="D21" s="32" t="str">
        <f t="shared" si="0"/>
        <v/>
      </c>
      <c r="G21" s="21" t="s">
        <v>116</v>
      </c>
      <c r="I21" s="33" t="e">
        <f t="shared" si="1"/>
        <v>#N/A</v>
      </c>
      <c r="J21" s="34" t="e">
        <f t="shared" si="2"/>
        <v>#N/A</v>
      </c>
      <c r="K21" s="21" t="e">
        <f t="shared" si="3"/>
        <v>#N/A</v>
      </c>
      <c r="L21" s="35" t="e">
        <f t="shared" si="4"/>
        <v>#N/A</v>
      </c>
      <c r="M21" s="36" t="e">
        <f t="shared" si="5"/>
        <v>#N/A</v>
      </c>
      <c r="N21" s="29" t="s">
        <v>77</v>
      </c>
      <c r="O21" s="21" t="e">
        <f t="shared" si="6"/>
        <v>#N/A</v>
      </c>
      <c r="P21" s="21" t="e">
        <f t="shared" si="7"/>
        <v>#N/A</v>
      </c>
      <c r="Q21" s="21" t="e">
        <f t="shared" si="8"/>
        <v>#N/A</v>
      </c>
      <c r="R21" s="21" t="e">
        <f t="shared" si="9"/>
        <v>#N/A</v>
      </c>
      <c r="S21" s="21" t="e">
        <f t="shared" si="10"/>
        <v>#N/A</v>
      </c>
      <c r="T21" s="21" t="e">
        <f t="shared" si="11"/>
        <v>#N/A</v>
      </c>
      <c r="U21" s="21" t="e">
        <f t="shared" si="12"/>
        <v>#N/A</v>
      </c>
      <c r="V21" s="21" t="e">
        <f t="shared" si="13"/>
        <v>#N/A</v>
      </c>
      <c r="W21" s="21" t="e">
        <f t="shared" si="14"/>
        <v>#N/A</v>
      </c>
      <c r="X21" s="21" t="e">
        <f t="shared" si="15"/>
        <v>#N/A</v>
      </c>
      <c r="Y21" s="21" t="e">
        <f t="shared" si="16"/>
        <v>#N/A</v>
      </c>
      <c r="Z21" s="21" t="e">
        <f t="shared" si="17"/>
        <v>#N/A</v>
      </c>
      <c r="AA21" s="21" t="e">
        <f t="shared" si="18"/>
        <v>#N/A</v>
      </c>
      <c r="AB21" s="21" t="e">
        <f t="shared" si="19"/>
        <v>#N/A</v>
      </c>
      <c r="AC21" s="21" t="e">
        <f t="shared" si="20"/>
        <v>#N/A</v>
      </c>
      <c r="AD21" s="21" t="e">
        <f t="shared" si="21"/>
        <v>#N/A</v>
      </c>
      <c r="AE21" s="21" t="e">
        <f t="shared" si="22"/>
        <v>#N/A</v>
      </c>
      <c r="AF21" s="18" t="s">
        <v>95</v>
      </c>
    </row>
    <row r="22" spans="2:32">
      <c r="B22" s="65"/>
      <c r="D22" s="32" t="str">
        <f t="shared" si="0"/>
        <v/>
      </c>
      <c r="G22" s="21" t="s">
        <v>117</v>
      </c>
      <c r="I22" s="33" t="e">
        <f t="shared" si="1"/>
        <v>#N/A</v>
      </c>
      <c r="J22" s="34" t="e">
        <f t="shared" si="2"/>
        <v>#N/A</v>
      </c>
      <c r="K22" s="21" t="e">
        <f t="shared" si="3"/>
        <v>#N/A</v>
      </c>
      <c r="L22" s="35" t="e">
        <f t="shared" si="4"/>
        <v>#N/A</v>
      </c>
      <c r="M22" s="36" t="e">
        <f t="shared" si="5"/>
        <v>#N/A</v>
      </c>
      <c r="N22" s="29" t="s">
        <v>77</v>
      </c>
      <c r="O22" s="21" t="e">
        <f t="shared" si="6"/>
        <v>#N/A</v>
      </c>
      <c r="P22" s="21" t="e">
        <f t="shared" si="7"/>
        <v>#N/A</v>
      </c>
      <c r="Q22" s="21" t="e">
        <f t="shared" si="8"/>
        <v>#N/A</v>
      </c>
      <c r="R22" s="21" t="e">
        <f t="shared" si="9"/>
        <v>#N/A</v>
      </c>
      <c r="S22" s="21" t="e">
        <f t="shared" si="10"/>
        <v>#N/A</v>
      </c>
      <c r="T22" s="21" t="e">
        <f t="shared" si="11"/>
        <v>#N/A</v>
      </c>
      <c r="U22" s="21" t="e">
        <f t="shared" si="12"/>
        <v>#N/A</v>
      </c>
      <c r="V22" s="21" t="e">
        <f t="shared" si="13"/>
        <v>#N/A</v>
      </c>
      <c r="W22" s="21" t="e">
        <f t="shared" si="14"/>
        <v>#N/A</v>
      </c>
      <c r="X22" s="21" t="e">
        <f t="shared" si="15"/>
        <v>#N/A</v>
      </c>
      <c r="Y22" s="21" t="e">
        <f t="shared" si="16"/>
        <v>#N/A</v>
      </c>
      <c r="Z22" s="21" t="e">
        <f t="shared" si="17"/>
        <v>#N/A</v>
      </c>
      <c r="AA22" s="21" t="e">
        <f t="shared" si="18"/>
        <v>#N/A</v>
      </c>
      <c r="AB22" s="21" t="e">
        <f t="shared" si="19"/>
        <v>#N/A</v>
      </c>
      <c r="AC22" s="21" t="e">
        <f t="shared" si="20"/>
        <v>#N/A</v>
      </c>
      <c r="AD22" s="21" t="e">
        <f t="shared" si="21"/>
        <v>#N/A</v>
      </c>
      <c r="AE22" s="21" t="e">
        <f t="shared" si="22"/>
        <v>#N/A</v>
      </c>
      <c r="AF22" s="18" t="s">
        <v>95</v>
      </c>
    </row>
    <row r="23" spans="2:32">
      <c r="B23" s="65"/>
      <c r="D23" s="32" t="str">
        <f t="shared" si="0"/>
        <v/>
      </c>
      <c r="G23" s="21" t="s">
        <v>118</v>
      </c>
      <c r="H23" s="21"/>
      <c r="I23" s="33" t="e">
        <f t="shared" si="1"/>
        <v>#N/A</v>
      </c>
      <c r="J23" s="34" t="e">
        <f t="shared" si="2"/>
        <v>#N/A</v>
      </c>
      <c r="K23" s="21" t="e">
        <f t="shared" si="3"/>
        <v>#N/A</v>
      </c>
      <c r="L23" s="35" t="e">
        <f t="shared" si="4"/>
        <v>#N/A</v>
      </c>
      <c r="M23" s="36" t="e">
        <f t="shared" si="5"/>
        <v>#N/A</v>
      </c>
      <c r="N23" s="29" t="s">
        <v>77</v>
      </c>
      <c r="O23" s="21" t="e">
        <f t="shared" si="6"/>
        <v>#N/A</v>
      </c>
      <c r="P23" s="21" t="e">
        <f t="shared" si="7"/>
        <v>#N/A</v>
      </c>
      <c r="Q23" s="21" t="e">
        <f t="shared" si="8"/>
        <v>#N/A</v>
      </c>
      <c r="R23" s="21" t="e">
        <f t="shared" si="9"/>
        <v>#N/A</v>
      </c>
      <c r="S23" s="21" t="e">
        <f t="shared" si="10"/>
        <v>#N/A</v>
      </c>
      <c r="T23" s="21" t="e">
        <f t="shared" si="11"/>
        <v>#N/A</v>
      </c>
      <c r="U23" s="21" t="e">
        <f t="shared" si="12"/>
        <v>#N/A</v>
      </c>
      <c r="V23" s="21" t="e">
        <f t="shared" si="13"/>
        <v>#N/A</v>
      </c>
      <c r="W23" s="21" t="e">
        <f t="shared" si="14"/>
        <v>#N/A</v>
      </c>
      <c r="X23" s="21" t="e">
        <f t="shared" si="15"/>
        <v>#N/A</v>
      </c>
      <c r="Y23" s="21" t="e">
        <f t="shared" si="16"/>
        <v>#N/A</v>
      </c>
      <c r="Z23" s="21" t="e">
        <f t="shared" si="17"/>
        <v>#N/A</v>
      </c>
      <c r="AA23" s="21" t="e">
        <f t="shared" si="18"/>
        <v>#N/A</v>
      </c>
      <c r="AB23" s="21" t="e">
        <f t="shared" si="19"/>
        <v>#N/A</v>
      </c>
      <c r="AC23" s="21" t="e">
        <f t="shared" si="20"/>
        <v>#N/A</v>
      </c>
      <c r="AD23" s="21" t="e">
        <f t="shared" si="21"/>
        <v>#N/A</v>
      </c>
      <c r="AE23" s="21" t="e">
        <f t="shared" si="22"/>
        <v>#N/A</v>
      </c>
      <c r="AF23" s="18" t="s">
        <v>95</v>
      </c>
    </row>
    <row r="24" spans="2:32">
      <c r="B24" s="65"/>
      <c r="D24" s="32" t="str">
        <f t="shared" si="0"/>
        <v/>
      </c>
      <c r="G24" s="21" t="s">
        <v>119</v>
      </c>
      <c r="I24" s="33" t="e">
        <f t="shared" si="1"/>
        <v>#N/A</v>
      </c>
      <c r="J24" s="34" t="e">
        <f t="shared" si="2"/>
        <v>#N/A</v>
      </c>
      <c r="K24" s="21" t="e">
        <f t="shared" si="3"/>
        <v>#N/A</v>
      </c>
      <c r="L24" s="35" t="e">
        <f t="shared" si="4"/>
        <v>#N/A</v>
      </c>
      <c r="M24" s="36" t="e">
        <f t="shared" si="5"/>
        <v>#N/A</v>
      </c>
      <c r="N24" s="29" t="s">
        <v>77</v>
      </c>
      <c r="O24" s="21" t="e">
        <f t="shared" si="6"/>
        <v>#N/A</v>
      </c>
      <c r="P24" s="21" t="e">
        <f t="shared" si="7"/>
        <v>#N/A</v>
      </c>
      <c r="Q24" s="21" t="e">
        <f t="shared" si="8"/>
        <v>#N/A</v>
      </c>
      <c r="R24" s="21" t="e">
        <f t="shared" si="9"/>
        <v>#N/A</v>
      </c>
      <c r="S24" s="21" t="e">
        <f t="shared" si="10"/>
        <v>#N/A</v>
      </c>
      <c r="T24" s="21" t="e">
        <f t="shared" si="11"/>
        <v>#N/A</v>
      </c>
      <c r="U24" s="21" t="e">
        <f t="shared" si="12"/>
        <v>#N/A</v>
      </c>
      <c r="V24" s="21" t="e">
        <f t="shared" si="13"/>
        <v>#N/A</v>
      </c>
      <c r="W24" s="21" t="e">
        <f t="shared" si="14"/>
        <v>#N/A</v>
      </c>
      <c r="X24" s="21" t="e">
        <f t="shared" si="15"/>
        <v>#N/A</v>
      </c>
      <c r="Y24" s="21" t="e">
        <f t="shared" si="16"/>
        <v>#N/A</v>
      </c>
      <c r="Z24" s="21" t="e">
        <f t="shared" si="17"/>
        <v>#N/A</v>
      </c>
      <c r="AA24" s="21" t="e">
        <f t="shared" si="18"/>
        <v>#N/A</v>
      </c>
      <c r="AB24" s="21" t="e">
        <f t="shared" si="19"/>
        <v>#N/A</v>
      </c>
      <c r="AC24" s="21" t="e">
        <f t="shared" si="20"/>
        <v>#N/A</v>
      </c>
      <c r="AD24" s="21" t="e">
        <f t="shared" si="21"/>
        <v>#N/A</v>
      </c>
      <c r="AE24" s="21" t="e">
        <f t="shared" si="22"/>
        <v>#N/A</v>
      </c>
      <c r="AF24" s="18" t="s">
        <v>95</v>
      </c>
    </row>
    <row r="25" spans="2:32">
      <c r="B25" s="65"/>
      <c r="D25" s="32" t="str">
        <f t="shared" si="0"/>
        <v/>
      </c>
      <c r="G25" s="21" t="s">
        <v>120</v>
      </c>
      <c r="I25" s="33" t="e">
        <f t="shared" si="1"/>
        <v>#N/A</v>
      </c>
      <c r="J25" s="34" t="e">
        <f t="shared" si="2"/>
        <v>#N/A</v>
      </c>
      <c r="K25" s="21" t="e">
        <f t="shared" si="3"/>
        <v>#N/A</v>
      </c>
      <c r="L25" s="35" t="e">
        <f t="shared" si="4"/>
        <v>#N/A</v>
      </c>
      <c r="M25" s="36" t="e">
        <f t="shared" si="5"/>
        <v>#N/A</v>
      </c>
      <c r="N25" s="29" t="s">
        <v>77</v>
      </c>
      <c r="O25" s="21" t="e">
        <f t="shared" si="6"/>
        <v>#N/A</v>
      </c>
      <c r="P25" s="21" t="e">
        <f t="shared" si="7"/>
        <v>#N/A</v>
      </c>
      <c r="Q25" s="21" t="e">
        <f t="shared" si="8"/>
        <v>#N/A</v>
      </c>
      <c r="R25" s="21" t="e">
        <f t="shared" si="9"/>
        <v>#N/A</v>
      </c>
      <c r="S25" s="21" t="e">
        <f t="shared" si="10"/>
        <v>#N/A</v>
      </c>
      <c r="T25" s="21" t="e">
        <f t="shared" si="11"/>
        <v>#N/A</v>
      </c>
      <c r="U25" s="21" t="e">
        <f t="shared" si="12"/>
        <v>#N/A</v>
      </c>
      <c r="V25" s="21" t="e">
        <f t="shared" si="13"/>
        <v>#N/A</v>
      </c>
      <c r="W25" s="21" t="e">
        <f t="shared" si="14"/>
        <v>#N/A</v>
      </c>
      <c r="X25" s="21" t="e">
        <f t="shared" si="15"/>
        <v>#N/A</v>
      </c>
      <c r="Y25" s="21" t="e">
        <f t="shared" si="16"/>
        <v>#N/A</v>
      </c>
      <c r="Z25" s="21" t="e">
        <f t="shared" si="17"/>
        <v>#N/A</v>
      </c>
      <c r="AA25" s="21" t="e">
        <f t="shared" si="18"/>
        <v>#N/A</v>
      </c>
      <c r="AB25" s="21" t="e">
        <f t="shared" si="19"/>
        <v>#N/A</v>
      </c>
      <c r="AC25" s="21" t="e">
        <f t="shared" si="20"/>
        <v>#N/A</v>
      </c>
      <c r="AD25" s="21" t="e">
        <f t="shared" si="21"/>
        <v>#N/A</v>
      </c>
      <c r="AE25" s="21" t="e">
        <f t="shared" si="22"/>
        <v>#N/A</v>
      </c>
      <c r="AF25" s="18" t="s">
        <v>95</v>
      </c>
    </row>
    <row r="26" spans="2:32">
      <c r="B26" s="65"/>
      <c r="D26" s="32" t="str">
        <f t="shared" si="0"/>
        <v/>
      </c>
      <c r="G26" s="21" t="s">
        <v>121</v>
      </c>
      <c r="I26" s="33" t="e">
        <f t="shared" si="1"/>
        <v>#N/A</v>
      </c>
      <c r="J26" s="34" t="e">
        <f t="shared" si="2"/>
        <v>#N/A</v>
      </c>
      <c r="K26" s="21" t="e">
        <f t="shared" si="3"/>
        <v>#N/A</v>
      </c>
      <c r="L26" s="35" t="e">
        <f t="shared" si="4"/>
        <v>#N/A</v>
      </c>
      <c r="M26" s="36" t="e">
        <f t="shared" si="5"/>
        <v>#N/A</v>
      </c>
      <c r="N26" s="29" t="s">
        <v>77</v>
      </c>
      <c r="O26" s="21" t="e">
        <f t="shared" si="6"/>
        <v>#N/A</v>
      </c>
      <c r="P26" s="21" t="e">
        <f t="shared" si="7"/>
        <v>#N/A</v>
      </c>
      <c r="Q26" s="21" t="e">
        <f t="shared" si="8"/>
        <v>#N/A</v>
      </c>
      <c r="R26" s="21" t="e">
        <f t="shared" si="9"/>
        <v>#N/A</v>
      </c>
      <c r="S26" s="21" t="e">
        <f t="shared" si="10"/>
        <v>#N/A</v>
      </c>
      <c r="T26" s="21" t="e">
        <f t="shared" si="11"/>
        <v>#N/A</v>
      </c>
      <c r="U26" s="21" t="e">
        <f t="shared" si="12"/>
        <v>#N/A</v>
      </c>
      <c r="V26" s="21" t="e">
        <f t="shared" si="13"/>
        <v>#N/A</v>
      </c>
      <c r="W26" s="21" t="e">
        <f t="shared" si="14"/>
        <v>#N/A</v>
      </c>
      <c r="X26" s="21" t="e">
        <f t="shared" si="15"/>
        <v>#N/A</v>
      </c>
      <c r="Y26" s="21" t="e">
        <f t="shared" si="16"/>
        <v>#N/A</v>
      </c>
      <c r="Z26" s="21" t="e">
        <f t="shared" si="17"/>
        <v>#N/A</v>
      </c>
      <c r="AA26" s="21" t="e">
        <f t="shared" si="18"/>
        <v>#N/A</v>
      </c>
      <c r="AB26" s="21" t="e">
        <f t="shared" si="19"/>
        <v>#N/A</v>
      </c>
      <c r="AC26" s="21" t="e">
        <f t="shared" si="20"/>
        <v>#N/A</v>
      </c>
      <c r="AD26" s="21" t="e">
        <f t="shared" si="21"/>
        <v>#N/A</v>
      </c>
      <c r="AE26" s="21" t="e">
        <f t="shared" si="22"/>
        <v>#N/A</v>
      </c>
      <c r="AF26" s="18" t="s">
        <v>95</v>
      </c>
    </row>
    <row r="27" spans="2:32">
      <c r="B27" s="65"/>
      <c r="D27" s="32" t="str">
        <f t="shared" si="0"/>
        <v/>
      </c>
      <c r="G27" s="21" t="s">
        <v>122</v>
      </c>
      <c r="H27" s="21"/>
      <c r="I27" s="33" t="e">
        <f t="shared" si="1"/>
        <v>#N/A</v>
      </c>
      <c r="J27" s="34" t="e">
        <f t="shared" si="2"/>
        <v>#N/A</v>
      </c>
      <c r="K27" s="21" t="e">
        <f t="shared" si="3"/>
        <v>#N/A</v>
      </c>
      <c r="L27" s="35" t="e">
        <f t="shared" si="4"/>
        <v>#N/A</v>
      </c>
      <c r="M27" s="36" t="e">
        <f t="shared" si="5"/>
        <v>#N/A</v>
      </c>
      <c r="N27" s="29" t="s">
        <v>77</v>
      </c>
      <c r="O27" s="21" t="e">
        <f t="shared" si="6"/>
        <v>#N/A</v>
      </c>
      <c r="P27" s="21" t="e">
        <f t="shared" si="7"/>
        <v>#N/A</v>
      </c>
      <c r="Q27" s="21" t="e">
        <f t="shared" si="8"/>
        <v>#N/A</v>
      </c>
      <c r="R27" s="21" t="e">
        <f t="shared" si="9"/>
        <v>#N/A</v>
      </c>
      <c r="S27" s="21" t="e">
        <f t="shared" si="10"/>
        <v>#N/A</v>
      </c>
      <c r="T27" s="21" t="e">
        <f t="shared" si="11"/>
        <v>#N/A</v>
      </c>
      <c r="U27" s="21" t="e">
        <f t="shared" si="12"/>
        <v>#N/A</v>
      </c>
      <c r="V27" s="21" t="e">
        <f t="shared" si="13"/>
        <v>#N/A</v>
      </c>
      <c r="W27" s="21" t="e">
        <f t="shared" si="14"/>
        <v>#N/A</v>
      </c>
      <c r="X27" s="21" t="e">
        <f t="shared" si="15"/>
        <v>#N/A</v>
      </c>
      <c r="Y27" s="21" t="e">
        <f t="shared" si="16"/>
        <v>#N/A</v>
      </c>
      <c r="Z27" s="21" t="e">
        <f t="shared" si="17"/>
        <v>#N/A</v>
      </c>
      <c r="AA27" s="21" t="e">
        <f t="shared" si="18"/>
        <v>#N/A</v>
      </c>
      <c r="AB27" s="21" t="e">
        <f t="shared" si="19"/>
        <v>#N/A</v>
      </c>
      <c r="AC27" s="21" t="e">
        <f t="shared" si="20"/>
        <v>#N/A</v>
      </c>
      <c r="AD27" s="21" t="e">
        <f t="shared" si="21"/>
        <v>#N/A</v>
      </c>
      <c r="AE27" s="21" t="e">
        <f t="shared" si="22"/>
        <v>#N/A</v>
      </c>
      <c r="AF27" s="18" t="s">
        <v>95</v>
      </c>
    </row>
    <row r="28" spans="2:32">
      <c r="B28" s="65"/>
      <c r="D28" s="32" t="str">
        <f t="shared" si="0"/>
        <v/>
      </c>
      <c r="G28" s="21" t="s">
        <v>123</v>
      </c>
      <c r="I28" s="33" t="e">
        <f t="shared" si="1"/>
        <v>#N/A</v>
      </c>
      <c r="J28" s="34" t="e">
        <f t="shared" si="2"/>
        <v>#N/A</v>
      </c>
      <c r="K28" s="21" t="e">
        <f t="shared" si="3"/>
        <v>#N/A</v>
      </c>
      <c r="L28" s="35" t="e">
        <f t="shared" si="4"/>
        <v>#N/A</v>
      </c>
      <c r="M28" s="36" t="e">
        <f t="shared" si="5"/>
        <v>#N/A</v>
      </c>
      <c r="N28" s="29" t="s">
        <v>77</v>
      </c>
      <c r="O28" s="21" t="e">
        <f t="shared" si="6"/>
        <v>#N/A</v>
      </c>
      <c r="P28" s="21" t="e">
        <f t="shared" si="7"/>
        <v>#N/A</v>
      </c>
      <c r="Q28" s="21" t="e">
        <f t="shared" si="8"/>
        <v>#N/A</v>
      </c>
      <c r="R28" s="21" t="e">
        <f t="shared" si="9"/>
        <v>#N/A</v>
      </c>
      <c r="S28" s="21" t="e">
        <f t="shared" si="10"/>
        <v>#N/A</v>
      </c>
      <c r="T28" s="21" t="e">
        <f t="shared" si="11"/>
        <v>#N/A</v>
      </c>
      <c r="U28" s="21" t="e">
        <f t="shared" si="12"/>
        <v>#N/A</v>
      </c>
      <c r="V28" s="21" t="e">
        <f t="shared" si="13"/>
        <v>#N/A</v>
      </c>
      <c r="W28" s="21" t="e">
        <f t="shared" si="14"/>
        <v>#N/A</v>
      </c>
      <c r="X28" s="21" t="e">
        <f t="shared" si="15"/>
        <v>#N/A</v>
      </c>
      <c r="Y28" s="21" t="e">
        <f t="shared" si="16"/>
        <v>#N/A</v>
      </c>
      <c r="Z28" s="21" t="e">
        <f t="shared" si="17"/>
        <v>#N/A</v>
      </c>
      <c r="AA28" s="21" t="e">
        <f t="shared" si="18"/>
        <v>#N/A</v>
      </c>
      <c r="AB28" s="21" t="e">
        <f t="shared" si="19"/>
        <v>#N/A</v>
      </c>
      <c r="AC28" s="21" t="e">
        <f t="shared" si="20"/>
        <v>#N/A</v>
      </c>
      <c r="AD28" s="21" t="e">
        <f t="shared" si="21"/>
        <v>#N/A</v>
      </c>
      <c r="AE28" s="21" t="e">
        <f t="shared" si="22"/>
        <v>#N/A</v>
      </c>
      <c r="AF28" s="18" t="s">
        <v>95</v>
      </c>
    </row>
    <row r="29" spans="2:32">
      <c r="B29" s="65"/>
      <c r="D29" s="32" t="str">
        <f t="shared" si="0"/>
        <v/>
      </c>
      <c r="G29" s="21" t="s">
        <v>124</v>
      </c>
      <c r="H29" s="21"/>
      <c r="I29" s="33" t="e">
        <f t="shared" si="1"/>
        <v>#N/A</v>
      </c>
      <c r="J29" s="34" t="e">
        <f t="shared" si="2"/>
        <v>#N/A</v>
      </c>
      <c r="K29" s="21" t="e">
        <f t="shared" si="3"/>
        <v>#N/A</v>
      </c>
      <c r="L29" s="35" t="e">
        <f t="shared" si="4"/>
        <v>#N/A</v>
      </c>
      <c r="M29" s="36" t="e">
        <f t="shared" si="5"/>
        <v>#N/A</v>
      </c>
      <c r="N29" s="29" t="s">
        <v>77</v>
      </c>
      <c r="O29" s="21" t="e">
        <f t="shared" si="6"/>
        <v>#N/A</v>
      </c>
      <c r="P29" s="21" t="e">
        <f t="shared" si="7"/>
        <v>#N/A</v>
      </c>
      <c r="Q29" s="21" t="e">
        <f t="shared" si="8"/>
        <v>#N/A</v>
      </c>
      <c r="R29" s="21" t="e">
        <f t="shared" si="9"/>
        <v>#N/A</v>
      </c>
      <c r="S29" s="21" t="e">
        <f t="shared" si="10"/>
        <v>#N/A</v>
      </c>
      <c r="T29" s="21" t="e">
        <f t="shared" si="11"/>
        <v>#N/A</v>
      </c>
      <c r="U29" s="21" t="e">
        <f t="shared" si="12"/>
        <v>#N/A</v>
      </c>
      <c r="V29" s="21" t="e">
        <f t="shared" si="13"/>
        <v>#N/A</v>
      </c>
      <c r="W29" s="21" t="e">
        <f t="shared" si="14"/>
        <v>#N/A</v>
      </c>
      <c r="X29" s="21" t="e">
        <f t="shared" si="15"/>
        <v>#N/A</v>
      </c>
      <c r="Y29" s="21" t="e">
        <f t="shared" si="16"/>
        <v>#N/A</v>
      </c>
      <c r="Z29" s="21" t="e">
        <f t="shared" si="17"/>
        <v>#N/A</v>
      </c>
      <c r="AA29" s="21" t="e">
        <f t="shared" si="18"/>
        <v>#N/A</v>
      </c>
      <c r="AB29" s="21" t="e">
        <f t="shared" si="19"/>
        <v>#N/A</v>
      </c>
      <c r="AC29" s="21" t="e">
        <f t="shared" si="20"/>
        <v>#N/A</v>
      </c>
      <c r="AD29" s="21" t="e">
        <f t="shared" si="21"/>
        <v>#N/A</v>
      </c>
      <c r="AE29" s="21" t="e">
        <f t="shared" si="22"/>
        <v>#N/A</v>
      </c>
      <c r="AF29" s="18" t="s">
        <v>95</v>
      </c>
    </row>
    <row r="30" spans="2:32">
      <c r="B30" s="65"/>
      <c r="D30" s="32" t="str">
        <f t="shared" si="0"/>
        <v/>
      </c>
      <c r="G30" s="21" t="s">
        <v>125</v>
      </c>
      <c r="H30" s="21"/>
      <c r="I30" s="33" t="e">
        <f t="shared" si="1"/>
        <v>#N/A</v>
      </c>
      <c r="J30" s="34" t="e">
        <f t="shared" si="2"/>
        <v>#N/A</v>
      </c>
      <c r="K30" s="21" t="e">
        <f t="shared" si="3"/>
        <v>#N/A</v>
      </c>
      <c r="L30" s="35" t="e">
        <f t="shared" si="4"/>
        <v>#N/A</v>
      </c>
      <c r="M30" s="36" t="e">
        <f t="shared" si="5"/>
        <v>#N/A</v>
      </c>
      <c r="N30" s="29" t="s">
        <v>77</v>
      </c>
      <c r="O30" s="21" t="e">
        <f t="shared" si="6"/>
        <v>#N/A</v>
      </c>
      <c r="P30" s="21" t="e">
        <f t="shared" si="7"/>
        <v>#N/A</v>
      </c>
      <c r="Q30" s="21" t="e">
        <f t="shared" si="8"/>
        <v>#N/A</v>
      </c>
      <c r="R30" s="21" t="e">
        <f t="shared" si="9"/>
        <v>#N/A</v>
      </c>
      <c r="S30" s="21" t="e">
        <f t="shared" si="10"/>
        <v>#N/A</v>
      </c>
      <c r="T30" s="21" t="e">
        <f t="shared" si="11"/>
        <v>#N/A</v>
      </c>
      <c r="U30" s="21" t="e">
        <f t="shared" si="12"/>
        <v>#N/A</v>
      </c>
      <c r="V30" s="21" t="e">
        <f t="shared" si="13"/>
        <v>#N/A</v>
      </c>
      <c r="W30" s="21" t="e">
        <f t="shared" si="14"/>
        <v>#N/A</v>
      </c>
      <c r="X30" s="21" t="e">
        <f t="shared" si="15"/>
        <v>#N/A</v>
      </c>
      <c r="Y30" s="21" t="e">
        <f t="shared" si="16"/>
        <v>#N/A</v>
      </c>
      <c r="Z30" s="21" t="e">
        <f t="shared" si="17"/>
        <v>#N/A</v>
      </c>
      <c r="AA30" s="21" t="e">
        <f t="shared" si="18"/>
        <v>#N/A</v>
      </c>
      <c r="AB30" s="21" t="e">
        <f t="shared" si="19"/>
        <v>#N/A</v>
      </c>
      <c r="AC30" s="21" t="e">
        <f t="shared" si="20"/>
        <v>#N/A</v>
      </c>
      <c r="AD30" s="21" t="e">
        <f t="shared" si="21"/>
        <v>#N/A</v>
      </c>
      <c r="AE30" s="21" t="e">
        <f t="shared" si="22"/>
        <v>#N/A</v>
      </c>
      <c r="AF30" s="18" t="s">
        <v>95</v>
      </c>
    </row>
    <row r="31" spans="2:32">
      <c r="B31" s="65"/>
      <c r="D31" s="32" t="str">
        <f t="shared" si="0"/>
        <v/>
      </c>
      <c r="G31" s="21" t="s">
        <v>126</v>
      </c>
      <c r="H31" s="21"/>
      <c r="I31" s="33" t="e">
        <f t="shared" si="1"/>
        <v>#N/A</v>
      </c>
      <c r="J31" s="34" t="e">
        <f t="shared" si="2"/>
        <v>#N/A</v>
      </c>
      <c r="K31" s="21" t="e">
        <f t="shared" si="3"/>
        <v>#N/A</v>
      </c>
      <c r="L31" s="35" t="e">
        <f t="shared" si="4"/>
        <v>#N/A</v>
      </c>
      <c r="M31" s="36" t="e">
        <f t="shared" si="5"/>
        <v>#N/A</v>
      </c>
      <c r="N31" s="29" t="s">
        <v>77</v>
      </c>
      <c r="O31" s="21" t="e">
        <f t="shared" si="6"/>
        <v>#N/A</v>
      </c>
      <c r="P31" s="21" t="e">
        <f t="shared" si="7"/>
        <v>#N/A</v>
      </c>
      <c r="Q31" s="21" t="e">
        <f t="shared" si="8"/>
        <v>#N/A</v>
      </c>
      <c r="R31" s="21" t="e">
        <f t="shared" si="9"/>
        <v>#N/A</v>
      </c>
      <c r="S31" s="21" t="e">
        <f t="shared" si="10"/>
        <v>#N/A</v>
      </c>
      <c r="T31" s="21" t="e">
        <f t="shared" si="11"/>
        <v>#N/A</v>
      </c>
      <c r="U31" s="21" t="e">
        <f t="shared" si="12"/>
        <v>#N/A</v>
      </c>
      <c r="V31" s="21" t="e">
        <f t="shared" si="13"/>
        <v>#N/A</v>
      </c>
      <c r="W31" s="21" t="e">
        <f t="shared" si="14"/>
        <v>#N/A</v>
      </c>
      <c r="X31" s="21" t="e">
        <f t="shared" si="15"/>
        <v>#N/A</v>
      </c>
      <c r="Y31" s="21" t="e">
        <f t="shared" si="16"/>
        <v>#N/A</v>
      </c>
      <c r="Z31" s="21" t="e">
        <f t="shared" si="17"/>
        <v>#N/A</v>
      </c>
      <c r="AA31" s="21" t="e">
        <f t="shared" si="18"/>
        <v>#N/A</v>
      </c>
      <c r="AB31" s="21" t="e">
        <f t="shared" si="19"/>
        <v>#N/A</v>
      </c>
      <c r="AC31" s="21" t="e">
        <f t="shared" si="20"/>
        <v>#N/A</v>
      </c>
      <c r="AD31" s="21" t="e">
        <f t="shared" si="21"/>
        <v>#N/A</v>
      </c>
      <c r="AE31" s="21" t="e">
        <f t="shared" si="22"/>
        <v>#N/A</v>
      </c>
      <c r="AF31" s="18" t="s">
        <v>95</v>
      </c>
    </row>
    <row r="32" spans="2:32">
      <c r="B32" s="65"/>
      <c r="D32" s="32" t="str">
        <f t="shared" si="0"/>
        <v/>
      </c>
      <c r="E32" s="18"/>
      <c r="F32" s="18"/>
      <c r="G32" s="21" t="s">
        <v>127</v>
      </c>
      <c r="I32" s="33" t="e">
        <f t="shared" si="1"/>
        <v>#N/A</v>
      </c>
      <c r="J32" s="34" t="e">
        <f t="shared" si="2"/>
        <v>#N/A</v>
      </c>
      <c r="K32" s="21" t="e">
        <f t="shared" si="3"/>
        <v>#N/A</v>
      </c>
      <c r="L32" s="35" t="e">
        <f t="shared" si="4"/>
        <v>#N/A</v>
      </c>
      <c r="M32" s="36" t="e">
        <f t="shared" si="5"/>
        <v>#N/A</v>
      </c>
      <c r="N32" s="29" t="s">
        <v>77</v>
      </c>
      <c r="O32" s="21" t="e">
        <f t="shared" si="6"/>
        <v>#N/A</v>
      </c>
      <c r="P32" s="21" t="e">
        <f t="shared" si="7"/>
        <v>#N/A</v>
      </c>
      <c r="Q32" s="21" t="e">
        <f t="shared" si="8"/>
        <v>#N/A</v>
      </c>
      <c r="R32" s="21" t="e">
        <f t="shared" si="9"/>
        <v>#N/A</v>
      </c>
      <c r="S32" s="21" t="e">
        <f t="shared" si="10"/>
        <v>#N/A</v>
      </c>
      <c r="T32" s="21" t="e">
        <f t="shared" si="11"/>
        <v>#N/A</v>
      </c>
      <c r="U32" s="21" t="e">
        <f t="shared" si="12"/>
        <v>#N/A</v>
      </c>
      <c r="V32" s="21" t="e">
        <f t="shared" si="13"/>
        <v>#N/A</v>
      </c>
      <c r="W32" s="21" t="e">
        <f t="shared" si="14"/>
        <v>#N/A</v>
      </c>
      <c r="X32" s="21" t="e">
        <f t="shared" si="15"/>
        <v>#N/A</v>
      </c>
      <c r="Y32" s="21" t="e">
        <f t="shared" si="16"/>
        <v>#N/A</v>
      </c>
      <c r="Z32" s="21" t="e">
        <f t="shared" si="17"/>
        <v>#N/A</v>
      </c>
      <c r="AA32" s="21" t="e">
        <f t="shared" si="18"/>
        <v>#N/A</v>
      </c>
      <c r="AB32" s="21" t="e">
        <f t="shared" si="19"/>
        <v>#N/A</v>
      </c>
      <c r="AC32" s="21" t="e">
        <f t="shared" si="20"/>
        <v>#N/A</v>
      </c>
      <c r="AD32" s="21" t="e">
        <f t="shared" si="21"/>
        <v>#N/A</v>
      </c>
      <c r="AE32" s="21" t="e">
        <f t="shared" si="22"/>
        <v>#N/A</v>
      </c>
      <c r="AF32" s="18" t="s">
        <v>95</v>
      </c>
    </row>
    <row r="33" spans="2:32">
      <c r="B33" s="65"/>
      <c r="C33" s="14"/>
      <c r="D33" s="32" t="str">
        <f t="shared" si="0"/>
        <v/>
      </c>
      <c r="E33" s="18"/>
      <c r="F33" s="18"/>
      <c r="G33" s="21" t="s">
        <v>128</v>
      </c>
      <c r="I33" s="33" t="e">
        <f t="shared" si="1"/>
        <v>#N/A</v>
      </c>
      <c r="J33" s="34" t="e">
        <f t="shared" si="2"/>
        <v>#N/A</v>
      </c>
      <c r="K33" s="21" t="e">
        <f t="shared" si="3"/>
        <v>#N/A</v>
      </c>
      <c r="L33" s="35" t="e">
        <f t="shared" si="4"/>
        <v>#N/A</v>
      </c>
      <c r="M33" s="36" t="e">
        <f t="shared" si="5"/>
        <v>#N/A</v>
      </c>
      <c r="N33" s="29" t="s">
        <v>77</v>
      </c>
      <c r="O33" s="21" t="e">
        <f t="shared" si="6"/>
        <v>#N/A</v>
      </c>
      <c r="P33" s="21" t="e">
        <f t="shared" si="7"/>
        <v>#N/A</v>
      </c>
      <c r="Q33" s="21" t="e">
        <f t="shared" si="8"/>
        <v>#N/A</v>
      </c>
      <c r="R33" s="21" t="e">
        <f t="shared" si="9"/>
        <v>#N/A</v>
      </c>
      <c r="S33" s="21" t="e">
        <f t="shared" si="10"/>
        <v>#N/A</v>
      </c>
      <c r="T33" s="21" t="e">
        <f t="shared" si="11"/>
        <v>#N/A</v>
      </c>
      <c r="U33" s="21" t="e">
        <f t="shared" si="12"/>
        <v>#N/A</v>
      </c>
      <c r="V33" s="21" t="e">
        <f t="shared" si="13"/>
        <v>#N/A</v>
      </c>
      <c r="W33" s="21" t="e">
        <f t="shared" si="14"/>
        <v>#N/A</v>
      </c>
      <c r="X33" s="21" t="e">
        <f t="shared" si="15"/>
        <v>#N/A</v>
      </c>
      <c r="Y33" s="21" t="e">
        <f t="shared" si="16"/>
        <v>#N/A</v>
      </c>
      <c r="Z33" s="21" t="e">
        <f t="shared" si="17"/>
        <v>#N/A</v>
      </c>
      <c r="AA33" s="21" t="e">
        <f t="shared" si="18"/>
        <v>#N/A</v>
      </c>
      <c r="AB33" s="21" t="e">
        <f t="shared" si="19"/>
        <v>#N/A</v>
      </c>
      <c r="AC33" s="21" t="e">
        <f t="shared" si="20"/>
        <v>#N/A</v>
      </c>
      <c r="AD33" s="21" t="e">
        <f t="shared" si="21"/>
        <v>#N/A</v>
      </c>
      <c r="AE33" s="21" t="e">
        <f t="shared" si="22"/>
        <v>#N/A</v>
      </c>
      <c r="AF33" s="18" t="s">
        <v>95</v>
      </c>
    </row>
    <row r="34" spans="2:32">
      <c r="B34" s="65"/>
      <c r="C34" s="14"/>
      <c r="D34" s="32" t="str">
        <f t="shared" si="0"/>
        <v/>
      </c>
      <c r="E34" s="18"/>
      <c r="F34" s="18"/>
      <c r="G34" s="21" t="s">
        <v>129</v>
      </c>
      <c r="I34" s="33" t="e">
        <f t="shared" si="1"/>
        <v>#N/A</v>
      </c>
      <c r="J34" s="34" t="e">
        <f t="shared" si="2"/>
        <v>#N/A</v>
      </c>
      <c r="K34" s="21" t="e">
        <f t="shared" si="3"/>
        <v>#N/A</v>
      </c>
      <c r="L34" s="35" t="e">
        <f t="shared" si="4"/>
        <v>#N/A</v>
      </c>
      <c r="M34" s="36" t="e">
        <f t="shared" si="5"/>
        <v>#N/A</v>
      </c>
      <c r="N34" s="29" t="s">
        <v>77</v>
      </c>
      <c r="O34" s="21" t="e">
        <f t="shared" si="6"/>
        <v>#N/A</v>
      </c>
      <c r="P34" s="21" t="e">
        <f t="shared" si="7"/>
        <v>#N/A</v>
      </c>
      <c r="Q34" s="21" t="e">
        <f t="shared" si="8"/>
        <v>#N/A</v>
      </c>
      <c r="R34" s="21" t="e">
        <f t="shared" si="9"/>
        <v>#N/A</v>
      </c>
      <c r="S34" s="21" t="e">
        <f t="shared" si="10"/>
        <v>#N/A</v>
      </c>
      <c r="T34" s="21" t="e">
        <f t="shared" si="11"/>
        <v>#N/A</v>
      </c>
      <c r="U34" s="21" t="e">
        <f t="shared" si="12"/>
        <v>#N/A</v>
      </c>
      <c r="V34" s="21" t="e">
        <f t="shared" si="13"/>
        <v>#N/A</v>
      </c>
      <c r="W34" s="21" t="e">
        <f t="shared" si="14"/>
        <v>#N/A</v>
      </c>
      <c r="X34" s="21" t="e">
        <f t="shared" si="15"/>
        <v>#N/A</v>
      </c>
      <c r="Y34" s="21" t="e">
        <f t="shared" si="16"/>
        <v>#N/A</v>
      </c>
      <c r="Z34" s="21" t="e">
        <f t="shared" si="17"/>
        <v>#N/A</v>
      </c>
      <c r="AA34" s="21" t="e">
        <f t="shared" si="18"/>
        <v>#N/A</v>
      </c>
      <c r="AB34" s="21" t="e">
        <f t="shared" si="19"/>
        <v>#N/A</v>
      </c>
      <c r="AC34" s="21" t="e">
        <f t="shared" si="20"/>
        <v>#N/A</v>
      </c>
      <c r="AD34" s="21" t="e">
        <f t="shared" si="21"/>
        <v>#N/A</v>
      </c>
      <c r="AE34" s="21" t="e">
        <f t="shared" si="22"/>
        <v>#N/A</v>
      </c>
      <c r="AF34" s="18" t="s">
        <v>95</v>
      </c>
    </row>
    <row r="35" spans="2:32">
      <c r="B35" s="65"/>
      <c r="C35" s="14"/>
      <c r="D35" s="32" t="str">
        <f t="shared" si="0"/>
        <v/>
      </c>
      <c r="E35" s="18"/>
      <c r="F35" s="18"/>
      <c r="G35" s="21" t="s">
        <v>130</v>
      </c>
      <c r="I35" s="33" t="e">
        <f t="shared" si="1"/>
        <v>#N/A</v>
      </c>
      <c r="J35" s="34" t="e">
        <f t="shared" si="2"/>
        <v>#N/A</v>
      </c>
      <c r="K35" s="21" t="e">
        <f t="shared" si="3"/>
        <v>#N/A</v>
      </c>
      <c r="L35" s="35" t="e">
        <f t="shared" si="4"/>
        <v>#N/A</v>
      </c>
      <c r="M35" s="36" t="e">
        <f t="shared" si="5"/>
        <v>#N/A</v>
      </c>
      <c r="N35" s="29" t="s">
        <v>77</v>
      </c>
      <c r="O35" s="21" t="e">
        <f t="shared" si="6"/>
        <v>#N/A</v>
      </c>
      <c r="P35" s="21" t="e">
        <f t="shared" si="7"/>
        <v>#N/A</v>
      </c>
      <c r="Q35" s="21" t="e">
        <f t="shared" si="8"/>
        <v>#N/A</v>
      </c>
      <c r="R35" s="21" t="e">
        <f t="shared" si="9"/>
        <v>#N/A</v>
      </c>
      <c r="S35" s="21" t="e">
        <f t="shared" si="10"/>
        <v>#N/A</v>
      </c>
      <c r="T35" s="21" t="e">
        <f t="shared" si="11"/>
        <v>#N/A</v>
      </c>
      <c r="U35" s="21" t="e">
        <f t="shared" si="12"/>
        <v>#N/A</v>
      </c>
      <c r="V35" s="21" t="e">
        <f t="shared" si="13"/>
        <v>#N/A</v>
      </c>
      <c r="W35" s="21" t="e">
        <f t="shared" si="14"/>
        <v>#N/A</v>
      </c>
      <c r="X35" s="21" t="e">
        <f t="shared" si="15"/>
        <v>#N/A</v>
      </c>
      <c r="Y35" s="21" t="e">
        <f t="shared" si="16"/>
        <v>#N/A</v>
      </c>
      <c r="Z35" s="21" t="e">
        <f t="shared" si="17"/>
        <v>#N/A</v>
      </c>
      <c r="AA35" s="21" t="e">
        <f t="shared" si="18"/>
        <v>#N/A</v>
      </c>
      <c r="AB35" s="21" t="e">
        <f t="shared" si="19"/>
        <v>#N/A</v>
      </c>
      <c r="AC35" s="21" t="e">
        <f t="shared" si="20"/>
        <v>#N/A</v>
      </c>
      <c r="AD35" s="21" t="e">
        <f t="shared" si="21"/>
        <v>#N/A</v>
      </c>
      <c r="AE35" s="21" t="e">
        <f t="shared" si="22"/>
        <v>#N/A</v>
      </c>
      <c r="AF35" s="18" t="s">
        <v>95</v>
      </c>
    </row>
    <row r="36" spans="2:32">
      <c r="B36" s="65"/>
      <c r="C36" s="14"/>
      <c r="D36" s="32" t="str">
        <f t="shared" si="0"/>
        <v/>
      </c>
      <c r="E36" s="18"/>
      <c r="F36" s="18"/>
      <c r="G36" s="21" t="s">
        <v>131</v>
      </c>
      <c r="I36" s="33" t="e">
        <f t="shared" si="1"/>
        <v>#N/A</v>
      </c>
      <c r="J36" s="34" t="e">
        <f t="shared" si="2"/>
        <v>#N/A</v>
      </c>
      <c r="K36" s="21" t="e">
        <f t="shared" si="3"/>
        <v>#N/A</v>
      </c>
      <c r="L36" s="35" t="e">
        <f t="shared" si="4"/>
        <v>#N/A</v>
      </c>
      <c r="M36" s="36" t="e">
        <f t="shared" si="5"/>
        <v>#N/A</v>
      </c>
      <c r="N36" s="29" t="s">
        <v>77</v>
      </c>
      <c r="O36" s="21" t="e">
        <f t="shared" si="6"/>
        <v>#N/A</v>
      </c>
      <c r="P36" s="21" t="e">
        <f t="shared" si="7"/>
        <v>#N/A</v>
      </c>
      <c r="Q36" s="21" t="e">
        <f t="shared" si="8"/>
        <v>#N/A</v>
      </c>
      <c r="R36" s="21" t="e">
        <f t="shared" si="9"/>
        <v>#N/A</v>
      </c>
      <c r="S36" s="21" t="e">
        <f t="shared" si="10"/>
        <v>#N/A</v>
      </c>
      <c r="T36" s="21" t="e">
        <f t="shared" si="11"/>
        <v>#N/A</v>
      </c>
      <c r="U36" s="21" t="e">
        <f t="shared" si="12"/>
        <v>#N/A</v>
      </c>
      <c r="V36" s="21" t="e">
        <f t="shared" si="13"/>
        <v>#N/A</v>
      </c>
      <c r="W36" s="21" t="e">
        <f t="shared" si="14"/>
        <v>#N/A</v>
      </c>
      <c r="X36" s="21" t="e">
        <f t="shared" si="15"/>
        <v>#N/A</v>
      </c>
      <c r="Y36" s="21" t="e">
        <f t="shared" si="16"/>
        <v>#N/A</v>
      </c>
      <c r="Z36" s="21" t="e">
        <f t="shared" si="17"/>
        <v>#N/A</v>
      </c>
      <c r="AA36" s="21" t="e">
        <f t="shared" si="18"/>
        <v>#N/A</v>
      </c>
      <c r="AB36" s="21" t="e">
        <f t="shared" si="19"/>
        <v>#N/A</v>
      </c>
      <c r="AC36" s="21" t="e">
        <f t="shared" si="20"/>
        <v>#N/A</v>
      </c>
      <c r="AD36" s="21" t="e">
        <f t="shared" si="21"/>
        <v>#N/A</v>
      </c>
      <c r="AE36" s="21" t="e">
        <f t="shared" si="22"/>
        <v>#N/A</v>
      </c>
      <c r="AF36" s="18" t="s">
        <v>95</v>
      </c>
    </row>
    <row r="37" spans="2:32">
      <c r="B37" s="65"/>
      <c r="C37" s="14"/>
      <c r="D37" s="32" t="str">
        <f t="shared" si="0"/>
        <v/>
      </c>
      <c r="E37" s="18"/>
      <c r="F37" s="18"/>
      <c r="G37" s="21" t="s">
        <v>132</v>
      </c>
      <c r="I37" s="33" t="e">
        <f t="shared" si="1"/>
        <v>#N/A</v>
      </c>
      <c r="J37" s="34" t="e">
        <f t="shared" si="2"/>
        <v>#N/A</v>
      </c>
      <c r="K37" s="21" t="e">
        <f t="shared" si="3"/>
        <v>#N/A</v>
      </c>
      <c r="L37" s="35" t="e">
        <f t="shared" si="4"/>
        <v>#N/A</v>
      </c>
      <c r="M37" s="36" t="e">
        <f t="shared" si="5"/>
        <v>#N/A</v>
      </c>
      <c r="N37" s="29" t="s">
        <v>77</v>
      </c>
      <c r="O37" s="21" t="e">
        <f t="shared" si="6"/>
        <v>#N/A</v>
      </c>
      <c r="P37" s="21" t="e">
        <f t="shared" si="7"/>
        <v>#N/A</v>
      </c>
      <c r="Q37" s="21" t="e">
        <f t="shared" si="8"/>
        <v>#N/A</v>
      </c>
      <c r="R37" s="21" t="e">
        <f t="shared" si="9"/>
        <v>#N/A</v>
      </c>
      <c r="S37" s="21" t="e">
        <f t="shared" si="10"/>
        <v>#N/A</v>
      </c>
      <c r="T37" s="21" t="e">
        <f t="shared" si="11"/>
        <v>#N/A</v>
      </c>
      <c r="U37" s="21" t="e">
        <f t="shared" si="12"/>
        <v>#N/A</v>
      </c>
      <c r="V37" s="21" t="e">
        <f t="shared" si="13"/>
        <v>#N/A</v>
      </c>
      <c r="W37" s="21" t="e">
        <f t="shared" si="14"/>
        <v>#N/A</v>
      </c>
      <c r="X37" s="21" t="e">
        <f t="shared" si="15"/>
        <v>#N/A</v>
      </c>
      <c r="Y37" s="21" t="e">
        <f t="shared" si="16"/>
        <v>#N/A</v>
      </c>
      <c r="Z37" s="21" t="e">
        <f t="shared" si="17"/>
        <v>#N/A</v>
      </c>
      <c r="AA37" s="21" t="e">
        <f t="shared" si="18"/>
        <v>#N/A</v>
      </c>
      <c r="AB37" s="21" t="e">
        <f t="shared" si="19"/>
        <v>#N/A</v>
      </c>
      <c r="AC37" s="21" t="e">
        <f t="shared" si="20"/>
        <v>#N/A</v>
      </c>
      <c r="AD37" s="21" t="e">
        <f t="shared" si="21"/>
        <v>#N/A</v>
      </c>
      <c r="AE37" s="21" t="e">
        <f t="shared" si="22"/>
        <v>#N/A</v>
      </c>
      <c r="AF37" s="18" t="s">
        <v>95</v>
      </c>
    </row>
    <row r="38" spans="2:32">
      <c r="B38" s="65"/>
      <c r="C38" s="14"/>
      <c r="D38" s="32" t="str">
        <f t="shared" si="0"/>
        <v/>
      </c>
      <c r="E38" s="18"/>
      <c r="F38" s="18"/>
      <c r="G38" s="21" t="s">
        <v>133</v>
      </c>
      <c r="I38" s="33" t="e">
        <f t="shared" si="1"/>
        <v>#N/A</v>
      </c>
      <c r="J38" s="34" t="e">
        <f t="shared" si="2"/>
        <v>#N/A</v>
      </c>
      <c r="K38" s="21" t="e">
        <f t="shared" si="3"/>
        <v>#N/A</v>
      </c>
      <c r="L38" s="35" t="e">
        <f t="shared" si="4"/>
        <v>#N/A</v>
      </c>
      <c r="M38" s="36" t="e">
        <f t="shared" si="5"/>
        <v>#N/A</v>
      </c>
      <c r="N38" s="29" t="s">
        <v>77</v>
      </c>
      <c r="O38" s="21" t="e">
        <f t="shared" si="6"/>
        <v>#N/A</v>
      </c>
      <c r="P38" s="21" t="e">
        <f t="shared" si="7"/>
        <v>#N/A</v>
      </c>
      <c r="Q38" s="21" t="e">
        <f t="shared" si="8"/>
        <v>#N/A</v>
      </c>
      <c r="R38" s="21" t="e">
        <f t="shared" si="9"/>
        <v>#N/A</v>
      </c>
      <c r="S38" s="21" t="e">
        <f t="shared" si="10"/>
        <v>#N/A</v>
      </c>
      <c r="T38" s="21" t="e">
        <f t="shared" si="11"/>
        <v>#N/A</v>
      </c>
      <c r="U38" s="21" t="e">
        <f t="shared" si="12"/>
        <v>#N/A</v>
      </c>
      <c r="V38" s="21" t="e">
        <f t="shared" si="13"/>
        <v>#N/A</v>
      </c>
      <c r="W38" s="21" t="e">
        <f t="shared" si="14"/>
        <v>#N/A</v>
      </c>
      <c r="X38" s="21" t="e">
        <f t="shared" si="15"/>
        <v>#N/A</v>
      </c>
      <c r="Y38" s="21" t="e">
        <f t="shared" si="16"/>
        <v>#N/A</v>
      </c>
      <c r="Z38" s="21" t="e">
        <f t="shared" si="17"/>
        <v>#N/A</v>
      </c>
      <c r="AA38" s="21" t="e">
        <f t="shared" si="18"/>
        <v>#N/A</v>
      </c>
      <c r="AB38" s="21" t="e">
        <f t="shared" si="19"/>
        <v>#N/A</v>
      </c>
      <c r="AC38" s="21" t="e">
        <f t="shared" si="20"/>
        <v>#N/A</v>
      </c>
      <c r="AD38" s="21" t="e">
        <f t="shared" si="21"/>
        <v>#N/A</v>
      </c>
      <c r="AE38" s="21" t="e">
        <f t="shared" si="22"/>
        <v>#N/A</v>
      </c>
      <c r="AF38" s="18" t="s">
        <v>95</v>
      </c>
    </row>
    <row r="39" spans="2:32">
      <c r="B39" s="65"/>
      <c r="C39" s="14"/>
      <c r="D39" s="32" t="str">
        <f t="shared" si="0"/>
        <v/>
      </c>
      <c r="E39" s="18"/>
      <c r="F39" s="18"/>
      <c r="G39" s="21" t="s">
        <v>134</v>
      </c>
      <c r="H39" s="21"/>
      <c r="I39" s="33" t="e">
        <f t="shared" si="1"/>
        <v>#N/A</v>
      </c>
      <c r="J39" s="34" t="e">
        <f t="shared" si="2"/>
        <v>#N/A</v>
      </c>
      <c r="K39" s="21" t="e">
        <f t="shared" si="3"/>
        <v>#N/A</v>
      </c>
      <c r="L39" s="35" t="e">
        <f t="shared" si="4"/>
        <v>#N/A</v>
      </c>
      <c r="M39" s="36" t="e">
        <f t="shared" si="5"/>
        <v>#N/A</v>
      </c>
      <c r="N39" s="29" t="s">
        <v>77</v>
      </c>
      <c r="O39" s="21" t="e">
        <f t="shared" si="6"/>
        <v>#N/A</v>
      </c>
      <c r="P39" s="21" t="e">
        <f t="shared" si="7"/>
        <v>#N/A</v>
      </c>
      <c r="Q39" s="21" t="e">
        <f t="shared" si="8"/>
        <v>#N/A</v>
      </c>
      <c r="R39" s="21" t="e">
        <f t="shared" si="9"/>
        <v>#N/A</v>
      </c>
      <c r="S39" s="21" t="e">
        <f t="shared" si="10"/>
        <v>#N/A</v>
      </c>
      <c r="T39" s="21" t="e">
        <f t="shared" si="11"/>
        <v>#N/A</v>
      </c>
      <c r="U39" s="21" t="e">
        <f t="shared" si="12"/>
        <v>#N/A</v>
      </c>
      <c r="V39" s="21" t="e">
        <f t="shared" si="13"/>
        <v>#N/A</v>
      </c>
      <c r="W39" s="21" t="e">
        <f t="shared" si="14"/>
        <v>#N/A</v>
      </c>
      <c r="X39" s="21" t="e">
        <f t="shared" si="15"/>
        <v>#N/A</v>
      </c>
      <c r="Y39" s="21" t="e">
        <f t="shared" si="16"/>
        <v>#N/A</v>
      </c>
      <c r="Z39" s="21" t="e">
        <f t="shared" si="17"/>
        <v>#N/A</v>
      </c>
      <c r="AA39" s="21" t="e">
        <f t="shared" si="18"/>
        <v>#N/A</v>
      </c>
      <c r="AB39" s="21" t="e">
        <f t="shared" si="19"/>
        <v>#N/A</v>
      </c>
      <c r="AC39" s="21" t="e">
        <f t="shared" si="20"/>
        <v>#N/A</v>
      </c>
      <c r="AD39" s="21" t="e">
        <f t="shared" si="21"/>
        <v>#N/A</v>
      </c>
      <c r="AE39" s="21" t="e">
        <f t="shared" si="22"/>
        <v>#N/A</v>
      </c>
      <c r="AF39" s="18" t="s">
        <v>95</v>
      </c>
    </row>
    <row r="40" spans="2:32">
      <c r="B40" s="65"/>
      <c r="C40" s="14"/>
      <c r="D40" s="32" t="str">
        <f t="shared" si="0"/>
        <v/>
      </c>
      <c r="E40" s="18"/>
      <c r="F40" s="18"/>
      <c r="G40" s="21" t="s">
        <v>135</v>
      </c>
      <c r="I40" s="33" t="e">
        <f t="shared" si="1"/>
        <v>#N/A</v>
      </c>
      <c r="J40" s="34" t="e">
        <f t="shared" si="2"/>
        <v>#N/A</v>
      </c>
      <c r="K40" s="21" t="e">
        <f t="shared" si="3"/>
        <v>#N/A</v>
      </c>
      <c r="L40" s="35" t="e">
        <f t="shared" si="4"/>
        <v>#N/A</v>
      </c>
      <c r="M40" s="36" t="e">
        <f t="shared" si="5"/>
        <v>#N/A</v>
      </c>
      <c r="N40" s="29" t="s">
        <v>77</v>
      </c>
      <c r="O40" s="21" t="e">
        <f t="shared" si="6"/>
        <v>#N/A</v>
      </c>
      <c r="P40" s="21" t="e">
        <f t="shared" si="7"/>
        <v>#N/A</v>
      </c>
      <c r="Q40" s="21" t="e">
        <f t="shared" si="8"/>
        <v>#N/A</v>
      </c>
      <c r="R40" s="21" t="e">
        <f t="shared" si="9"/>
        <v>#N/A</v>
      </c>
      <c r="S40" s="21" t="e">
        <f t="shared" si="10"/>
        <v>#N/A</v>
      </c>
      <c r="T40" s="21" t="e">
        <f t="shared" si="11"/>
        <v>#N/A</v>
      </c>
      <c r="U40" s="21" t="e">
        <f t="shared" si="12"/>
        <v>#N/A</v>
      </c>
      <c r="V40" s="21" t="e">
        <f t="shared" si="13"/>
        <v>#N/A</v>
      </c>
      <c r="W40" s="21" t="e">
        <f t="shared" si="14"/>
        <v>#N/A</v>
      </c>
      <c r="X40" s="21" t="e">
        <f t="shared" si="15"/>
        <v>#N/A</v>
      </c>
      <c r="Y40" s="21" t="e">
        <f t="shared" si="16"/>
        <v>#N/A</v>
      </c>
      <c r="Z40" s="21" t="e">
        <f t="shared" si="17"/>
        <v>#N/A</v>
      </c>
      <c r="AA40" s="21" t="e">
        <f t="shared" si="18"/>
        <v>#N/A</v>
      </c>
      <c r="AB40" s="21" t="e">
        <f t="shared" si="19"/>
        <v>#N/A</v>
      </c>
      <c r="AC40" s="21" t="e">
        <f t="shared" si="20"/>
        <v>#N/A</v>
      </c>
      <c r="AD40" s="21" t="e">
        <f t="shared" si="21"/>
        <v>#N/A</v>
      </c>
      <c r="AE40" s="21" t="e">
        <f t="shared" si="22"/>
        <v>#N/A</v>
      </c>
      <c r="AF40" s="18" t="s">
        <v>95</v>
      </c>
    </row>
    <row r="41" spans="2:32">
      <c r="B41" s="65"/>
      <c r="C41" s="14"/>
      <c r="D41" s="32" t="str">
        <f t="shared" si="0"/>
        <v/>
      </c>
      <c r="E41" s="18"/>
      <c r="F41" s="18"/>
      <c r="G41" s="21" t="s">
        <v>136</v>
      </c>
      <c r="H41" s="21"/>
      <c r="I41" s="33" t="e">
        <f t="shared" si="1"/>
        <v>#N/A</v>
      </c>
      <c r="J41" s="34" t="e">
        <f t="shared" si="2"/>
        <v>#N/A</v>
      </c>
      <c r="K41" s="21" t="e">
        <f t="shared" si="3"/>
        <v>#N/A</v>
      </c>
      <c r="L41" s="35" t="e">
        <f t="shared" si="4"/>
        <v>#N/A</v>
      </c>
      <c r="M41" s="36" t="e">
        <f t="shared" si="5"/>
        <v>#N/A</v>
      </c>
      <c r="N41" s="29" t="s">
        <v>77</v>
      </c>
      <c r="O41" s="21" t="e">
        <f t="shared" si="6"/>
        <v>#N/A</v>
      </c>
      <c r="P41" s="21" t="e">
        <f t="shared" si="7"/>
        <v>#N/A</v>
      </c>
      <c r="Q41" s="21" t="e">
        <f t="shared" si="8"/>
        <v>#N/A</v>
      </c>
      <c r="R41" s="21" t="e">
        <f t="shared" si="9"/>
        <v>#N/A</v>
      </c>
      <c r="S41" s="21" t="e">
        <f t="shared" si="10"/>
        <v>#N/A</v>
      </c>
      <c r="T41" s="21" t="e">
        <f t="shared" si="11"/>
        <v>#N/A</v>
      </c>
      <c r="U41" s="21" t="e">
        <f t="shared" si="12"/>
        <v>#N/A</v>
      </c>
      <c r="V41" s="21" t="e">
        <f t="shared" si="13"/>
        <v>#N/A</v>
      </c>
      <c r="W41" s="21" t="e">
        <f t="shared" si="14"/>
        <v>#N/A</v>
      </c>
      <c r="X41" s="21" t="e">
        <f t="shared" si="15"/>
        <v>#N/A</v>
      </c>
      <c r="Y41" s="21" t="e">
        <f t="shared" si="16"/>
        <v>#N/A</v>
      </c>
      <c r="Z41" s="21" t="e">
        <f t="shared" si="17"/>
        <v>#N/A</v>
      </c>
      <c r="AA41" s="21" t="e">
        <f t="shared" si="18"/>
        <v>#N/A</v>
      </c>
      <c r="AB41" s="21" t="e">
        <f t="shared" si="19"/>
        <v>#N/A</v>
      </c>
      <c r="AC41" s="21" t="e">
        <f t="shared" si="20"/>
        <v>#N/A</v>
      </c>
      <c r="AD41" s="21" t="e">
        <f t="shared" si="21"/>
        <v>#N/A</v>
      </c>
      <c r="AE41" s="21" t="e">
        <f t="shared" si="22"/>
        <v>#N/A</v>
      </c>
      <c r="AF41" s="18" t="s">
        <v>95</v>
      </c>
    </row>
    <row r="42" spans="2:32">
      <c r="B42" s="65"/>
      <c r="C42" s="14"/>
      <c r="D42" s="32" t="str">
        <f t="shared" si="0"/>
        <v/>
      </c>
      <c r="E42" s="18"/>
      <c r="F42" s="18"/>
      <c r="G42" s="21" t="s">
        <v>137</v>
      </c>
      <c r="H42" s="21"/>
      <c r="I42" s="33" t="e">
        <f t="shared" si="1"/>
        <v>#N/A</v>
      </c>
      <c r="J42" s="34" t="e">
        <f t="shared" si="2"/>
        <v>#N/A</v>
      </c>
      <c r="K42" s="21" t="e">
        <f t="shared" si="3"/>
        <v>#N/A</v>
      </c>
      <c r="L42" s="35" t="e">
        <f t="shared" si="4"/>
        <v>#N/A</v>
      </c>
      <c r="M42" s="36" t="e">
        <f t="shared" si="5"/>
        <v>#N/A</v>
      </c>
      <c r="N42" s="29" t="s">
        <v>77</v>
      </c>
      <c r="O42" s="21" t="e">
        <f t="shared" si="6"/>
        <v>#N/A</v>
      </c>
      <c r="P42" s="21" t="e">
        <f t="shared" si="7"/>
        <v>#N/A</v>
      </c>
      <c r="Q42" s="21" t="e">
        <f t="shared" si="8"/>
        <v>#N/A</v>
      </c>
      <c r="R42" s="21" t="e">
        <f t="shared" si="9"/>
        <v>#N/A</v>
      </c>
      <c r="S42" s="21" t="e">
        <f t="shared" si="10"/>
        <v>#N/A</v>
      </c>
      <c r="T42" s="21" t="e">
        <f t="shared" si="11"/>
        <v>#N/A</v>
      </c>
      <c r="U42" s="21" t="e">
        <f t="shared" si="12"/>
        <v>#N/A</v>
      </c>
      <c r="V42" s="21" t="e">
        <f t="shared" si="13"/>
        <v>#N/A</v>
      </c>
      <c r="W42" s="21" t="e">
        <f t="shared" si="14"/>
        <v>#N/A</v>
      </c>
      <c r="X42" s="21" t="e">
        <f t="shared" si="15"/>
        <v>#N/A</v>
      </c>
      <c r="Y42" s="21" t="e">
        <f t="shared" si="16"/>
        <v>#N/A</v>
      </c>
      <c r="Z42" s="21" t="e">
        <f t="shared" si="17"/>
        <v>#N/A</v>
      </c>
      <c r="AA42" s="21" t="e">
        <f t="shared" si="18"/>
        <v>#N/A</v>
      </c>
      <c r="AB42" s="21" t="e">
        <f t="shared" si="19"/>
        <v>#N/A</v>
      </c>
      <c r="AC42" s="21" t="e">
        <f t="shared" si="20"/>
        <v>#N/A</v>
      </c>
      <c r="AD42" s="21" t="e">
        <f t="shared" si="21"/>
        <v>#N/A</v>
      </c>
      <c r="AE42" s="21" t="e">
        <f t="shared" si="22"/>
        <v>#N/A</v>
      </c>
      <c r="AF42" s="18" t="s">
        <v>95</v>
      </c>
    </row>
    <row r="43" spans="2:32">
      <c r="B43" s="65"/>
      <c r="C43" s="14"/>
      <c r="D43" s="32" t="str">
        <f t="shared" si="0"/>
        <v/>
      </c>
      <c r="E43" s="18"/>
      <c r="F43" s="18"/>
      <c r="G43" s="21" t="s">
        <v>138</v>
      </c>
      <c r="H43" s="21"/>
      <c r="I43" s="33" t="e">
        <f t="shared" si="1"/>
        <v>#N/A</v>
      </c>
      <c r="J43" s="34" t="e">
        <f t="shared" si="2"/>
        <v>#N/A</v>
      </c>
      <c r="K43" s="21" t="e">
        <f t="shared" si="3"/>
        <v>#N/A</v>
      </c>
      <c r="L43" s="35" t="e">
        <f t="shared" si="4"/>
        <v>#N/A</v>
      </c>
      <c r="M43" s="36" t="e">
        <f t="shared" si="5"/>
        <v>#N/A</v>
      </c>
      <c r="N43" s="29" t="s">
        <v>77</v>
      </c>
      <c r="O43" s="21" t="e">
        <f t="shared" si="6"/>
        <v>#N/A</v>
      </c>
      <c r="P43" s="21" t="e">
        <f t="shared" si="7"/>
        <v>#N/A</v>
      </c>
      <c r="Q43" s="21" t="e">
        <f t="shared" si="8"/>
        <v>#N/A</v>
      </c>
      <c r="R43" s="21" t="e">
        <f t="shared" si="9"/>
        <v>#N/A</v>
      </c>
      <c r="S43" s="21" t="e">
        <f t="shared" si="10"/>
        <v>#N/A</v>
      </c>
      <c r="T43" s="21" t="e">
        <f t="shared" si="11"/>
        <v>#N/A</v>
      </c>
      <c r="U43" s="21" t="e">
        <f t="shared" si="12"/>
        <v>#N/A</v>
      </c>
      <c r="V43" s="21" t="e">
        <f t="shared" si="13"/>
        <v>#N/A</v>
      </c>
      <c r="W43" s="21" t="e">
        <f t="shared" si="14"/>
        <v>#N/A</v>
      </c>
      <c r="X43" s="21" t="e">
        <f t="shared" si="15"/>
        <v>#N/A</v>
      </c>
      <c r="Y43" s="21" t="e">
        <f t="shared" si="16"/>
        <v>#N/A</v>
      </c>
      <c r="Z43" s="21" t="e">
        <f t="shared" si="17"/>
        <v>#N/A</v>
      </c>
      <c r="AA43" s="21" t="e">
        <f t="shared" si="18"/>
        <v>#N/A</v>
      </c>
      <c r="AB43" s="21" t="e">
        <f t="shared" si="19"/>
        <v>#N/A</v>
      </c>
      <c r="AC43" s="21" t="e">
        <f t="shared" si="20"/>
        <v>#N/A</v>
      </c>
      <c r="AD43" s="21" t="e">
        <f t="shared" si="21"/>
        <v>#N/A</v>
      </c>
      <c r="AE43" s="21" t="e">
        <f t="shared" si="22"/>
        <v>#N/A</v>
      </c>
      <c r="AF43" s="18" t="s">
        <v>95</v>
      </c>
    </row>
    <row r="44" spans="2:32">
      <c r="B44" s="65"/>
      <c r="C44" s="14"/>
      <c r="D44" s="32" t="str">
        <f t="shared" si="0"/>
        <v/>
      </c>
      <c r="E44" s="18"/>
      <c r="F44" s="18"/>
      <c r="G44" s="21" t="s">
        <v>139</v>
      </c>
      <c r="I44" s="33" t="e">
        <f t="shared" si="1"/>
        <v>#N/A</v>
      </c>
      <c r="J44" s="34" t="e">
        <f t="shared" si="2"/>
        <v>#N/A</v>
      </c>
      <c r="K44" s="21" t="e">
        <f t="shared" si="3"/>
        <v>#N/A</v>
      </c>
      <c r="L44" s="35" t="e">
        <f t="shared" si="4"/>
        <v>#N/A</v>
      </c>
      <c r="M44" s="36" t="e">
        <f t="shared" si="5"/>
        <v>#N/A</v>
      </c>
      <c r="N44" s="29" t="s">
        <v>77</v>
      </c>
      <c r="O44" s="21" t="e">
        <f t="shared" si="6"/>
        <v>#N/A</v>
      </c>
      <c r="P44" s="21" t="e">
        <f t="shared" si="7"/>
        <v>#N/A</v>
      </c>
      <c r="Q44" s="21" t="e">
        <f t="shared" si="8"/>
        <v>#N/A</v>
      </c>
      <c r="R44" s="21" t="e">
        <f t="shared" si="9"/>
        <v>#N/A</v>
      </c>
      <c r="S44" s="21" t="e">
        <f t="shared" si="10"/>
        <v>#N/A</v>
      </c>
      <c r="T44" s="21" t="e">
        <f t="shared" si="11"/>
        <v>#N/A</v>
      </c>
      <c r="U44" s="21" t="e">
        <f t="shared" si="12"/>
        <v>#N/A</v>
      </c>
      <c r="V44" s="21" t="e">
        <f t="shared" si="13"/>
        <v>#N/A</v>
      </c>
      <c r="W44" s="21" t="e">
        <f t="shared" si="14"/>
        <v>#N/A</v>
      </c>
      <c r="X44" s="21" t="e">
        <f t="shared" si="15"/>
        <v>#N/A</v>
      </c>
      <c r="Y44" s="21" t="e">
        <f t="shared" si="16"/>
        <v>#N/A</v>
      </c>
      <c r="Z44" s="21" t="e">
        <f t="shared" si="17"/>
        <v>#N/A</v>
      </c>
      <c r="AA44" s="21" t="e">
        <f t="shared" si="18"/>
        <v>#N/A</v>
      </c>
      <c r="AB44" s="21" t="e">
        <f t="shared" si="19"/>
        <v>#N/A</v>
      </c>
      <c r="AC44" s="21" t="e">
        <f t="shared" si="20"/>
        <v>#N/A</v>
      </c>
      <c r="AD44" s="21" t="e">
        <f t="shared" si="21"/>
        <v>#N/A</v>
      </c>
      <c r="AE44" s="21" t="e">
        <f t="shared" si="22"/>
        <v>#N/A</v>
      </c>
      <c r="AF44" s="18" t="s">
        <v>95</v>
      </c>
    </row>
    <row r="45" spans="2:32">
      <c r="B45" s="65"/>
      <c r="C45" s="14"/>
      <c r="D45" s="32" t="str">
        <f t="shared" si="0"/>
        <v/>
      </c>
      <c r="E45" s="18"/>
      <c r="F45" s="18"/>
      <c r="G45" s="21" t="s">
        <v>140</v>
      </c>
      <c r="I45" s="33" t="e">
        <f t="shared" si="1"/>
        <v>#N/A</v>
      </c>
      <c r="J45" s="34" t="e">
        <f t="shared" si="2"/>
        <v>#N/A</v>
      </c>
      <c r="K45" s="21" t="e">
        <f t="shared" si="3"/>
        <v>#N/A</v>
      </c>
      <c r="L45" s="35" t="e">
        <f t="shared" si="4"/>
        <v>#N/A</v>
      </c>
      <c r="M45" s="36" t="e">
        <f t="shared" si="5"/>
        <v>#N/A</v>
      </c>
      <c r="N45" s="29" t="s">
        <v>77</v>
      </c>
      <c r="O45" s="21" t="e">
        <f t="shared" si="6"/>
        <v>#N/A</v>
      </c>
      <c r="P45" s="21" t="e">
        <f t="shared" si="7"/>
        <v>#N/A</v>
      </c>
      <c r="Q45" s="21" t="e">
        <f t="shared" si="8"/>
        <v>#N/A</v>
      </c>
      <c r="R45" s="21" t="e">
        <f t="shared" si="9"/>
        <v>#N/A</v>
      </c>
      <c r="S45" s="21" t="e">
        <f t="shared" si="10"/>
        <v>#N/A</v>
      </c>
      <c r="T45" s="21" t="e">
        <f t="shared" si="11"/>
        <v>#N/A</v>
      </c>
      <c r="U45" s="21" t="e">
        <f t="shared" si="12"/>
        <v>#N/A</v>
      </c>
      <c r="V45" s="21" t="e">
        <f t="shared" si="13"/>
        <v>#N/A</v>
      </c>
      <c r="W45" s="21" t="e">
        <f t="shared" si="14"/>
        <v>#N/A</v>
      </c>
      <c r="X45" s="21" t="e">
        <f t="shared" si="15"/>
        <v>#N/A</v>
      </c>
      <c r="Y45" s="21" t="e">
        <f t="shared" si="16"/>
        <v>#N/A</v>
      </c>
      <c r="Z45" s="21" t="e">
        <f t="shared" si="17"/>
        <v>#N/A</v>
      </c>
      <c r="AA45" s="21" t="e">
        <f t="shared" si="18"/>
        <v>#N/A</v>
      </c>
      <c r="AB45" s="21" t="e">
        <f t="shared" si="19"/>
        <v>#N/A</v>
      </c>
      <c r="AC45" s="21" t="e">
        <f t="shared" si="20"/>
        <v>#N/A</v>
      </c>
      <c r="AD45" s="21" t="e">
        <f t="shared" si="21"/>
        <v>#N/A</v>
      </c>
      <c r="AE45" s="21" t="e">
        <f t="shared" si="22"/>
        <v>#N/A</v>
      </c>
      <c r="AF45" s="18" t="s">
        <v>95</v>
      </c>
    </row>
    <row r="46" spans="2:32">
      <c r="B46" s="65"/>
      <c r="C46" s="14"/>
      <c r="D46" s="32" t="str">
        <f t="shared" si="0"/>
        <v/>
      </c>
      <c r="E46" s="18"/>
      <c r="F46" s="18"/>
      <c r="G46" s="21" t="s">
        <v>141</v>
      </c>
      <c r="I46" s="33" t="e">
        <f t="shared" si="1"/>
        <v>#N/A</v>
      </c>
      <c r="J46" s="34" t="e">
        <f t="shared" si="2"/>
        <v>#N/A</v>
      </c>
      <c r="K46" s="21" t="e">
        <f t="shared" si="3"/>
        <v>#N/A</v>
      </c>
      <c r="L46" s="35" t="e">
        <f t="shared" si="4"/>
        <v>#N/A</v>
      </c>
      <c r="M46" s="36" t="e">
        <f t="shared" si="5"/>
        <v>#N/A</v>
      </c>
      <c r="N46" s="29" t="s">
        <v>77</v>
      </c>
      <c r="O46" s="21" t="e">
        <f t="shared" si="6"/>
        <v>#N/A</v>
      </c>
      <c r="P46" s="21" t="e">
        <f t="shared" si="7"/>
        <v>#N/A</v>
      </c>
      <c r="Q46" s="21" t="e">
        <f t="shared" si="8"/>
        <v>#N/A</v>
      </c>
      <c r="R46" s="21" t="e">
        <f t="shared" si="9"/>
        <v>#N/A</v>
      </c>
      <c r="S46" s="21" t="e">
        <f t="shared" si="10"/>
        <v>#N/A</v>
      </c>
      <c r="T46" s="21" t="e">
        <f t="shared" si="11"/>
        <v>#N/A</v>
      </c>
      <c r="U46" s="21" t="e">
        <f t="shared" si="12"/>
        <v>#N/A</v>
      </c>
      <c r="V46" s="21" t="e">
        <f t="shared" si="13"/>
        <v>#N/A</v>
      </c>
      <c r="W46" s="21" t="e">
        <f t="shared" si="14"/>
        <v>#N/A</v>
      </c>
      <c r="X46" s="21" t="e">
        <f t="shared" si="15"/>
        <v>#N/A</v>
      </c>
      <c r="Y46" s="21" t="e">
        <f t="shared" si="16"/>
        <v>#N/A</v>
      </c>
      <c r="Z46" s="21" t="e">
        <f t="shared" si="17"/>
        <v>#N/A</v>
      </c>
      <c r="AA46" s="21" t="e">
        <f t="shared" si="18"/>
        <v>#N/A</v>
      </c>
      <c r="AB46" s="21" t="e">
        <f t="shared" si="19"/>
        <v>#N/A</v>
      </c>
      <c r="AC46" s="21" t="e">
        <f t="shared" si="20"/>
        <v>#N/A</v>
      </c>
      <c r="AD46" s="21" t="e">
        <f t="shared" si="21"/>
        <v>#N/A</v>
      </c>
      <c r="AE46" s="21" t="e">
        <f t="shared" si="22"/>
        <v>#N/A</v>
      </c>
      <c r="AF46" s="18" t="s">
        <v>95</v>
      </c>
    </row>
    <row r="47" spans="2:32">
      <c r="B47" s="65"/>
      <c r="C47" s="14"/>
      <c r="D47" s="32" t="str">
        <f t="shared" si="0"/>
        <v/>
      </c>
      <c r="E47" s="18"/>
      <c r="F47" s="18"/>
      <c r="G47" s="21" t="s">
        <v>142</v>
      </c>
      <c r="I47" s="33" t="e">
        <f t="shared" si="1"/>
        <v>#N/A</v>
      </c>
      <c r="J47" s="34" t="e">
        <f t="shared" si="2"/>
        <v>#N/A</v>
      </c>
      <c r="K47" s="21" t="e">
        <f t="shared" si="3"/>
        <v>#N/A</v>
      </c>
      <c r="L47" s="35" t="e">
        <f t="shared" si="4"/>
        <v>#N/A</v>
      </c>
      <c r="M47" s="36" t="e">
        <f t="shared" si="5"/>
        <v>#N/A</v>
      </c>
      <c r="N47" s="29" t="s">
        <v>77</v>
      </c>
      <c r="O47" s="21" t="e">
        <f t="shared" si="6"/>
        <v>#N/A</v>
      </c>
      <c r="P47" s="21" t="e">
        <f t="shared" si="7"/>
        <v>#N/A</v>
      </c>
      <c r="Q47" s="21" t="e">
        <f t="shared" si="8"/>
        <v>#N/A</v>
      </c>
      <c r="R47" s="21" t="e">
        <f t="shared" si="9"/>
        <v>#N/A</v>
      </c>
      <c r="S47" s="21" t="e">
        <f t="shared" si="10"/>
        <v>#N/A</v>
      </c>
      <c r="T47" s="21" t="e">
        <f t="shared" si="11"/>
        <v>#N/A</v>
      </c>
      <c r="U47" s="21" t="e">
        <f t="shared" si="12"/>
        <v>#N/A</v>
      </c>
      <c r="V47" s="21" t="e">
        <f t="shared" si="13"/>
        <v>#N/A</v>
      </c>
      <c r="W47" s="21" t="e">
        <f t="shared" si="14"/>
        <v>#N/A</v>
      </c>
      <c r="X47" s="21" t="e">
        <f t="shared" si="15"/>
        <v>#N/A</v>
      </c>
      <c r="Y47" s="21" t="e">
        <f t="shared" si="16"/>
        <v>#N/A</v>
      </c>
      <c r="Z47" s="21" t="e">
        <f t="shared" si="17"/>
        <v>#N/A</v>
      </c>
      <c r="AA47" s="21" t="e">
        <f t="shared" si="18"/>
        <v>#N/A</v>
      </c>
      <c r="AB47" s="21" t="e">
        <f t="shared" si="19"/>
        <v>#N/A</v>
      </c>
      <c r="AC47" s="21" t="e">
        <f t="shared" si="20"/>
        <v>#N/A</v>
      </c>
      <c r="AD47" s="21" t="e">
        <f t="shared" si="21"/>
        <v>#N/A</v>
      </c>
      <c r="AE47" s="21" t="e">
        <f t="shared" si="22"/>
        <v>#N/A</v>
      </c>
      <c r="AF47" s="18" t="s">
        <v>95</v>
      </c>
    </row>
    <row r="48" spans="2:32">
      <c r="B48" s="65"/>
      <c r="C48" s="14"/>
      <c r="D48" s="32" t="str">
        <f t="shared" si="0"/>
        <v/>
      </c>
      <c r="E48" s="18"/>
      <c r="F48" s="18"/>
      <c r="G48" s="21" t="s">
        <v>143</v>
      </c>
      <c r="I48" s="33" t="e">
        <f t="shared" si="1"/>
        <v>#N/A</v>
      </c>
      <c r="J48" s="34" t="e">
        <f t="shared" si="2"/>
        <v>#N/A</v>
      </c>
      <c r="K48" s="21" t="e">
        <f t="shared" si="3"/>
        <v>#N/A</v>
      </c>
      <c r="L48" s="35" t="e">
        <f t="shared" si="4"/>
        <v>#N/A</v>
      </c>
      <c r="M48" s="36" t="e">
        <f t="shared" si="5"/>
        <v>#N/A</v>
      </c>
      <c r="N48" s="29" t="s">
        <v>77</v>
      </c>
      <c r="O48" s="21" t="e">
        <f t="shared" si="6"/>
        <v>#N/A</v>
      </c>
      <c r="P48" s="21" t="e">
        <f t="shared" si="7"/>
        <v>#N/A</v>
      </c>
      <c r="Q48" s="21" t="e">
        <f t="shared" si="8"/>
        <v>#N/A</v>
      </c>
      <c r="R48" s="21" t="e">
        <f t="shared" si="9"/>
        <v>#N/A</v>
      </c>
      <c r="S48" s="21" t="e">
        <f t="shared" si="10"/>
        <v>#N/A</v>
      </c>
      <c r="T48" s="21" t="e">
        <f t="shared" si="11"/>
        <v>#N/A</v>
      </c>
      <c r="U48" s="21" t="e">
        <f t="shared" si="12"/>
        <v>#N/A</v>
      </c>
      <c r="V48" s="21" t="e">
        <f t="shared" si="13"/>
        <v>#N/A</v>
      </c>
      <c r="W48" s="21" t="e">
        <f t="shared" si="14"/>
        <v>#N/A</v>
      </c>
      <c r="X48" s="21" t="e">
        <f t="shared" si="15"/>
        <v>#N/A</v>
      </c>
      <c r="Y48" s="21" t="e">
        <f t="shared" si="16"/>
        <v>#N/A</v>
      </c>
      <c r="Z48" s="21" t="e">
        <f t="shared" si="17"/>
        <v>#N/A</v>
      </c>
      <c r="AA48" s="21" t="e">
        <f t="shared" si="18"/>
        <v>#N/A</v>
      </c>
      <c r="AB48" s="21" t="e">
        <f t="shared" si="19"/>
        <v>#N/A</v>
      </c>
      <c r="AC48" s="21" t="e">
        <f t="shared" si="20"/>
        <v>#N/A</v>
      </c>
      <c r="AD48" s="21" t="e">
        <f t="shared" si="21"/>
        <v>#N/A</v>
      </c>
      <c r="AE48" s="21" t="e">
        <f t="shared" si="22"/>
        <v>#N/A</v>
      </c>
      <c r="AF48" s="18" t="s">
        <v>95</v>
      </c>
    </row>
    <row r="49" spans="2:32">
      <c r="B49" s="65"/>
      <c r="C49" s="14"/>
      <c r="D49" s="32" t="str">
        <f t="shared" si="0"/>
        <v/>
      </c>
      <c r="E49" s="18"/>
      <c r="F49" s="18"/>
      <c r="G49" s="21" t="s">
        <v>144</v>
      </c>
      <c r="I49" s="33" t="e">
        <f t="shared" si="1"/>
        <v>#N/A</v>
      </c>
      <c r="J49" s="34" t="e">
        <f t="shared" si="2"/>
        <v>#N/A</v>
      </c>
      <c r="K49" s="21" t="e">
        <f t="shared" si="3"/>
        <v>#N/A</v>
      </c>
      <c r="L49" s="35" t="e">
        <f t="shared" si="4"/>
        <v>#N/A</v>
      </c>
      <c r="M49" s="36" t="e">
        <f t="shared" si="5"/>
        <v>#N/A</v>
      </c>
      <c r="N49" s="29" t="s">
        <v>77</v>
      </c>
      <c r="O49" s="21" t="e">
        <f t="shared" si="6"/>
        <v>#N/A</v>
      </c>
      <c r="P49" s="21" t="e">
        <f t="shared" si="7"/>
        <v>#N/A</v>
      </c>
      <c r="Q49" s="21" t="e">
        <f t="shared" si="8"/>
        <v>#N/A</v>
      </c>
      <c r="R49" s="21" t="e">
        <f t="shared" si="9"/>
        <v>#N/A</v>
      </c>
      <c r="S49" s="21" t="e">
        <f t="shared" si="10"/>
        <v>#N/A</v>
      </c>
      <c r="T49" s="21" t="e">
        <f t="shared" si="11"/>
        <v>#N/A</v>
      </c>
      <c r="U49" s="21" t="e">
        <f t="shared" si="12"/>
        <v>#N/A</v>
      </c>
      <c r="V49" s="21" t="e">
        <f t="shared" si="13"/>
        <v>#N/A</v>
      </c>
      <c r="W49" s="21" t="e">
        <f t="shared" si="14"/>
        <v>#N/A</v>
      </c>
      <c r="X49" s="21" t="e">
        <f t="shared" si="15"/>
        <v>#N/A</v>
      </c>
      <c r="Y49" s="21" t="e">
        <f t="shared" si="16"/>
        <v>#N/A</v>
      </c>
      <c r="Z49" s="21" t="e">
        <f t="shared" si="17"/>
        <v>#N/A</v>
      </c>
      <c r="AA49" s="21" t="e">
        <f t="shared" si="18"/>
        <v>#N/A</v>
      </c>
      <c r="AB49" s="21" t="e">
        <f t="shared" si="19"/>
        <v>#N/A</v>
      </c>
      <c r="AC49" s="21" t="e">
        <f t="shared" si="20"/>
        <v>#N/A</v>
      </c>
      <c r="AD49" s="21" t="e">
        <f t="shared" si="21"/>
        <v>#N/A</v>
      </c>
      <c r="AE49" s="21" t="e">
        <f t="shared" si="22"/>
        <v>#N/A</v>
      </c>
      <c r="AF49" s="18" t="s">
        <v>95</v>
      </c>
    </row>
    <row r="50" spans="2:32">
      <c r="B50" s="65"/>
      <c r="C50" s="14"/>
      <c r="D50" s="32" t="str">
        <f t="shared" si="0"/>
        <v/>
      </c>
      <c r="E50" s="18"/>
      <c r="F50" s="18"/>
      <c r="G50" s="21" t="s">
        <v>145</v>
      </c>
      <c r="I50" s="33" t="e">
        <f t="shared" si="1"/>
        <v>#N/A</v>
      </c>
      <c r="J50" s="34" t="e">
        <f t="shared" si="2"/>
        <v>#N/A</v>
      </c>
      <c r="K50" s="21" t="e">
        <f t="shared" si="3"/>
        <v>#N/A</v>
      </c>
      <c r="L50" s="35" t="e">
        <f t="shared" si="4"/>
        <v>#N/A</v>
      </c>
      <c r="M50" s="36" t="e">
        <f t="shared" si="5"/>
        <v>#N/A</v>
      </c>
      <c r="N50" s="29" t="s">
        <v>77</v>
      </c>
      <c r="O50" s="21" t="e">
        <f t="shared" si="6"/>
        <v>#N/A</v>
      </c>
      <c r="P50" s="21" t="e">
        <f t="shared" si="7"/>
        <v>#N/A</v>
      </c>
      <c r="Q50" s="21" t="e">
        <f t="shared" si="8"/>
        <v>#N/A</v>
      </c>
      <c r="R50" s="21" t="e">
        <f t="shared" si="9"/>
        <v>#N/A</v>
      </c>
      <c r="S50" s="21" t="e">
        <f t="shared" si="10"/>
        <v>#N/A</v>
      </c>
      <c r="T50" s="21" t="e">
        <f t="shared" si="11"/>
        <v>#N/A</v>
      </c>
      <c r="U50" s="21" t="e">
        <f t="shared" si="12"/>
        <v>#N/A</v>
      </c>
      <c r="V50" s="21" t="e">
        <f t="shared" si="13"/>
        <v>#N/A</v>
      </c>
      <c r="W50" s="21" t="e">
        <f t="shared" si="14"/>
        <v>#N/A</v>
      </c>
      <c r="X50" s="21" t="e">
        <f t="shared" si="15"/>
        <v>#N/A</v>
      </c>
      <c r="Y50" s="21" t="e">
        <f t="shared" si="16"/>
        <v>#N/A</v>
      </c>
      <c r="Z50" s="21" t="e">
        <f t="shared" si="17"/>
        <v>#N/A</v>
      </c>
      <c r="AA50" s="21" t="e">
        <f t="shared" si="18"/>
        <v>#N/A</v>
      </c>
      <c r="AB50" s="21" t="e">
        <f t="shared" si="19"/>
        <v>#N/A</v>
      </c>
      <c r="AC50" s="21" t="e">
        <f t="shared" si="20"/>
        <v>#N/A</v>
      </c>
      <c r="AD50" s="21" t="e">
        <f t="shared" si="21"/>
        <v>#N/A</v>
      </c>
      <c r="AE50" s="21" t="e">
        <f t="shared" si="22"/>
        <v>#N/A</v>
      </c>
      <c r="AF50" s="18" t="s">
        <v>95</v>
      </c>
    </row>
    <row r="51" spans="2:32">
      <c r="B51" s="65"/>
      <c r="C51" s="14"/>
      <c r="D51" s="32" t="str">
        <f t="shared" si="0"/>
        <v/>
      </c>
      <c r="E51" s="18"/>
      <c r="F51" s="18"/>
      <c r="G51" s="21" t="s">
        <v>146</v>
      </c>
      <c r="H51" s="21"/>
      <c r="I51" s="33" t="e">
        <f t="shared" si="1"/>
        <v>#N/A</v>
      </c>
      <c r="J51" s="34" t="e">
        <f t="shared" si="2"/>
        <v>#N/A</v>
      </c>
      <c r="K51" s="21" t="e">
        <f t="shared" si="3"/>
        <v>#N/A</v>
      </c>
      <c r="L51" s="35" t="e">
        <f t="shared" si="4"/>
        <v>#N/A</v>
      </c>
      <c r="M51" s="36" t="e">
        <f t="shared" si="5"/>
        <v>#N/A</v>
      </c>
      <c r="N51" s="29" t="s">
        <v>77</v>
      </c>
      <c r="O51" s="21" t="e">
        <f t="shared" si="6"/>
        <v>#N/A</v>
      </c>
      <c r="P51" s="21" t="e">
        <f t="shared" si="7"/>
        <v>#N/A</v>
      </c>
      <c r="Q51" s="21" t="e">
        <f t="shared" si="8"/>
        <v>#N/A</v>
      </c>
      <c r="R51" s="21" t="e">
        <f t="shared" si="9"/>
        <v>#N/A</v>
      </c>
      <c r="S51" s="21" t="e">
        <f t="shared" si="10"/>
        <v>#N/A</v>
      </c>
      <c r="T51" s="21" t="e">
        <f t="shared" si="11"/>
        <v>#N/A</v>
      </c>
      <c r="U51" s="21" t="e">
        <f t="shared" si="12"/>
        <v>#N/A</v>
      </c>
      <c r="V51" s="21" t="e">
        <f t="shared" si="13"/>
        <v>#N/A</v>
      </c>
      <c r="W51" s="21" t="e">
        <f t="shared" si="14"/>
        <v>#N/A</v>
      </c>
      <c r="X51" s="21" t="e">
        <f t="shared" si="15"/>
        <v>#N/A</v>
      </c>
      <c r="Y51" s="21" t="e">
        <f t="shared" si="16"/>
        <v>#N/A</v>
      </c>
      <c r="Z51" s="21" t="e">
        <f t="shared" si="17"/>
        <v>#N/A</v>
      </c>
      <c r="AA51" s="21" t="e">
        <f t="shared" si="18"/>
        <v>#N/A</v>
      </c>
      <c r="AB51" s="21" t="e">
        <f t="shared" si="19"/>
        <v>#N/A</v>
      </c>
      <c r="AC51" s="21" t="e">
        <f t="shared" si="20"/>
        <v>#N/A</v>
      </c>
      <c r="AD51" s="21" t="e">
        <f t="shared" si="21"/>
        <v>#N/A</v>
      </c>
      <c r="AE51" s="21" t="e">
        <f t="shared" si="22"/>
        <v>#N/A</v>
      </c>
      <c r="AF51" s="18" t="s">
        <v>95</v>
      </c>
    </row>
    <row r="52" spans="2:32">
      <c r="B52" s="65"/>
      <c r="C52" s="14"/>
      <c r="D52" s="32" t="str">
        <f t="shared" si="0"/>
        <v/>
      </c>
      <c r="E52" s="18"/>
      <c r="F52" s="18"/>
      <c r="G52" s="21" t="s">
        <v>147</v>
      </c>
      <c r="H52" s="21"/>
      <c r="I52" s="33" t="e">
        <f t="shared" si="1"/>
        <v>#N/A</v>
      </c>
      <c r="J52" s="34" t="e">
        <f t="shared" si="2"/>
        <v>#N/A</v>
      </c>
      <c r="K52" s="21" t="e">
        <f t="shared" si="3"/>
        <v>#N/A</v>
      </c>
      <c r="L52" s="35" t="e">
        <f t="shared" si="4"/>
        <v>#N/A</v>
      </c>
      <c r="M52" s="36" t="e">
        <f t="shared" si="5"/>
        <v>#N/A</v>
      </c>
      <c r="N52" s="29" t="s">
        <v>77</v>
      </c>
      <c r="O52" s="21" t="e">
        <f t="shared" si="6"/>
        <v>#N/A</v>
      </c>
      <c r="P52" s="21" t="e">
        <f t="shared" si="7"/>
        <v>#N/A</v>
      </c>
      <c r="Q52" s="21" t="e">
        <f t="shared" si="8"/>
        <v>#N/A</v>
      </c>
      <c r="R52" s="21" t="e">
        <f t="shared" si="9"/>
        <v>#N/A</v>
      </c>
      <c r="S52" s="21" t="e">
        <f t="shared" si="10"/>
        <v>#N/A</v>
      </c>
      <c r="T52" s="21" t="e">
        <f t="shared" si="11"/>
        <v>#N/A</v>
      </c>
      <c r="U52" s="21" t="e">
        <f t="shared" si="12"/>
        <v>#N/A</v>
      </c>
      <c r="V52" s="21" t="e">
        <f t="shared" si="13"/>
        <v>#N/A</v>
      </c>
      <c r="W52" s="21" t="e">
        <f t="shared" si="14"/>
        <v>#N/A</v>
      </c>
      <c r="X52" s="21" t="e">
        <f t="shared" si="15"/>
        <v>#N/A</v>
      </c>
      <c r="Y52" s="21" t="e">
        <f t="shared" si="16"/>
        <v>#N/A</v>
      </c>
      <c r="Z52" s="21" t="e">
        <f t="shared" si="17"/>
        <v>#N/A</v>
      </c>
      <c r="AA52" s="21" t="e">
        <f t="shared" si="18"/>
        <v>#N/A</v>
      </c>
      <c r="AB52" s="21" t="e">
        <f t="shared" si="19"/>
        <v>#N/A</v>
      </c>
      <c r="AC52" s="21" t="e">
        <f t="shared" si="20"/>
        <v>#N/A</v>
      </c>
      <c r="AD52" s="21" t="e">
        <f t="shared" si="21"/>
        <v>#N/A</v>
      </c>
      <c r="AE52" s="21" t="e">
        <f t="shared" si="22"/>
        <v>#N/A</v>
      </c>
      <c r="AF52" s="18" t="s">
        <v>95</v>
      </c>
    </row>
    <row r="53" spans="2:32">
      <c r="B53" s="65"/>
      <c r="C53" s="14"/>
      <c r="D53" s="32" t="str">
        <f t="shared" si="0"/>
        <v/>
      </c>
      <c r="E53" s="18"/>
      <c r="F53" s="18"/>
      <c r="G53" s="21" t="s">
        <v>148</v>
      </c>
      <c r="I53" s="33" t="e">
        <f t="shared" si="1"/>
        <v>#N/A</v>
      </c>
      <c r="J53" s="34" t="e">
        <f t="shared" si="2"/>
        <v>#N/A</v>
      </c>
      <c r="K53" s="21" t="e">
        <f t="shared" si="3"/>
        <v>#N/A</v>
      </c>
      <c r="L53" s="35" t="e">
        <f t="shared" si="4"/>
        <v>#N/A</v>
      </c>
      <c r="M53" s="36" t="e">
        <f t="shared" si="5"/>
        <v>#N/A</v>
      </c>
      <c r="N53" s="29" t="s">
        <v>77</v>
      </c>
      <c r="O53" s="21" t="e">
        <f t="shared" si="6"/>
        <v>#N/A</v>
      </c>
      <c r="P53" s="21" t="e">
        <f t="shared" si="7"/>
        <v>#N/A</v>
      </c>
      <c r="Q53" s="21" t="e">
        <f t="shared" si="8"/>
        <v>#N/A</v>
      </c>
      <c r="R53" s="21" t="e">
        <f t="shared" si="9"/>
        <v>#N/A</v>
      </c>
      <c r="S53" s="21" t="e">
        <f t="shared" si="10"/>
        <v>#N/A</v>
      </c>
      <c r="T53" s="21" t="e">
        <f t="shared" si="11"/>
        <v>#N/A</v>
      </c>
      <c r="U53" s="21" t="e">
        <f t="shared" si="12"/>
        <v>#N/A</v>
      </c>
      <c r="V53" s="21" t="e">
        <f t="shared" si="13"/>
        <v>#N/A</v>
      </c>
      <c r="W53" s="21" t="e">
        <f t="shared" si="14"/>
        <v>#N/A</v>
      </c>
      <c r="X53" s="21" t="e">
        <f t="shared" si="15"/>
        <v>#N/A</v>
      </c>
      <c r="Y53" s="21" t="e">
        <f t="shared" si="16"/>
        <v>#N/A</v>
      </c>
      <c r="Z53" s="21" t="e">
        <f t="shared" si="17"/>
        <v>#N/A</v>
      </c>
      <c r="AA53" s="21" t="e">
        <f t="shared" si="18"/>
        <v>#N/A</v>
      </c>
      <c r="AB53" s="21" t="e">
        <f t="shared" si="19"/>
        <v>#N/A</v>
      </c>
      <c r="AC53" s="21" t="e">
        <f t="shared" si="20"/>
        <v>#N/A</v>
      </c>
      <c r="AD53" s="21" t="e">
        <f t="shared" si="21"/>
        <v>#N/A</v>
      </c>
      <c r="AE53" s="21" t="e">
        <f t="shared" si="22"/>
        <v>#N/A</v>
      </c>
      <c r="AF53" s="18" t="s">
        <v>95</v>
      </c>
    </row>
    <row r="54" spans="2:32">
      <c r="B54" s="65"/>
      <c r="C54" s="14"/>
      <c r="D54" s="32" t="str">
        <f t="shared" si="0"/>
        <v/>
      </c>
      <c r="E54" s="18"/>
      <c r="F54" s="18"/>
      <c r="G54" s="21" t="s">
        <v>149</v>
      </c>
      <c r="I54" s="33" t="e">
        <f t="shared" si="1"/>
        <v>#N/A</v>
      </c>
      <c r="J54" s="34" t="e">
        <f t="shared" si="2"/>
        <v>#N/A</v>
      </c>
      <c r="K54" s="21" t="e">
        <f t="shared" si="3"/>
        <v>#N/A</v>
      </c>
      <c r="L54" s="35" t="e">
        <f t="shared" si="4"/>
        <v>#N/A</v>
      </c>
      <c r="M54" s="36" t="e">
        <f t="shared" si="5"/>
        <v>#N/A</v>
      </c>
      <c r="N54" s="29" t="s">
        <v>77</v>
      </c>
      <c r="O54" s="21" t="e">
        <f t="shared" si="6"/>
        <v>#N/A</v>
      </c>
      <c r="P54" s="21" t="e">
        <f t="shared" si="7"/>
        <v>#N/A</v>
      </c>
      <c r="Q54" s="21" t="e">
        <f t="shared" si="8"/>
        <v>#N/A</v>
      </c>
      <c r="R54" s="21" t="e">
        <f t="shared" si="9"/>
        <v>#N/A</v>
      </c>
      <c r="S54" s="21" t="e">
        <f t="shared" si="10"/>
        <v>#N/A</v>
      </c>
      <c r="T54" s="21" t="e">
        <f t="shared" si="11"/>
        <v>#N/A</v>
      </c>
      <c r="U54" s="21" t="e">
        <f t="shared" si="12"/>
        <v>#N/A</v>
      </c>
      <c r="V54" s="21" t="e">
        <f t="shared" si="13"/>
        <v>#N/A</v>
      </c>
      <c r="W54" s="21" t="e">
        <f t="shared" si="14"/>
        <v>#N/A</v>
      </c>
      <c r="X54" s="21" t="e">
        <f t="shared" si="15"/>
        <v>#N/A</v>
      </c>
      <c r="Y54" s="21" t="e">
        <f t="shared" si="16"/>
        <v>#N/A</v>
      </c>
      <c r="Z54" s="21" t="e">
        <f t="shared" si="17"/>
        <v>#N/A</v>
      </c>
      <c r="AA54" s="21" t="e">
        <f t="shared" si="18"/>
        <v>#N/A</v>
      </c>
      <c r="AB54" s="21" t="e">
        <f t="shared" si="19"/>
        <v>#N/A</v>
      </c>
      <c r="AC54" s="21" t="e">
        <f t="shared" si="20"/>
        <v>#N/A</v>
      </c>
      <c r="AD54" s="21" t="e">
        <f t="shared" si="21"/>
        <v>#N/A</v>
      </c>
      <c r="AE54" s="21" t="e">
        <f t="shared" si="22"/>
        <v>#N/A</v>
      </c>
      <c r="AF54" s="18" t="s">
        <v>95</v>
      </c>
    </row>
    <row r="55" spans="2:32">
      <c r="B55" s="65"/>
      <c r="C55" s="14"/>
      <c r="D55" s="32" t="str">
        <f>IF(LEN(B55)&gt;2,B55&amp;REPT("_",23-LEN(B55)),"")</f>
        <v/>
      </c>
      <c r="E55" s="18"/>
      <c r="F55" s="18"/>
      <c r="G55" s="21" t="s">
        <v>150</v>
      </c>
      <c r="I55" s="33" t="e">
        <f t="shared" si="1"/>
        <v>#N/A</v>
      </c>
      <c r="J55" s="34" t="e">
        <f t="shared" si="2"/>
        <v>#N/A</v>
      </c>
      <c r="K55" s="21" t="e">
        <f t="shared" si="3"/>
        <v>#N/A</v>
      </c>
      <c r="L55" s="35" t="e">
        <f t="shared" si="4"/>
        <v>#N/A</v>
      </c>
      <c r="M55" s="36" t="e">
        <f t="shared" si="5"/>
        <v>#N/A</v>
      </c>
      <c r="N55" s="29" t="s">
        <v>77</v>
      </c>
      <c r="O55" s="21" t="e">
        <f t="shared" si="6"/>
        <v>#N/A</v>
      </c>
      <c r="P55" s="21" t="e">
        <f t="shared" si="7"/>
        <v>#N/A</v>
      </c>
      <c r="Q55" s="21" t="e">
        <f t="shared" si="8"/>
        <v>#N/A</v>
      </c>
      <c r="R55" s="21" t="e">
        <f t="shared" si="9"/>
        <v>#N/A</v>
      </c>
      <c r="S55" s="21" t="e">
        <f t="shared" si="10"/>
        <v>#N/A</v>
      </c>
      <c r="T55" s="21" t="e">
        <f t="shared" si="11"/>
        <v>#N/A</v>
      </c>
      <c r="U55" s="21" t="e">
        <f t="shared" si="12"/>
        <v>#N/A</v>
      </c>
      <c r="V55" s="21" t="e">
        <f t="shared" si="13"/>
        <v>#N/A</v>
      </c>
      <c r="W55" s="21" t="e">
        <f t="shared" si="14"/>
        <v>#N/A</v>
      </c>
      <c r="X55" s="21" t="e">
        <f t="shared" si="15"/>
        <v>#N/A</v>
      </c>
      <c r="Y55" s="21" t="e">
        <f t="shared" si="16"/>
        <v>#N/A</v>
      </c>
      <c r="Z55" s="21" t="e">
        <f t="shared" si="17"/>
        <v>#N/A</v>
      </c>
      <c r="AA55" s="21" t="e">
        <f t="shared" si="18"/>
        <v>#N/A</v>
      </c>
      <c r="AB55" s="21" t="e">
        <f t="shared" si="19"/>
        <v>#N/A</v>
      </c>
      <c r="AC55" s="21" t="e">
        <f t="shared" si="20"/>
        <v>#N/A</v>
      </c>
      <c r="AD55" s="21" t="e">
        <f t="shared" si="21"/>
        <v>#N/A</v>
      </c>
      <c r="AE55" s="21" t="e">
        <f t="shared" si="22"/>
        <v>#N/A</v>
      </c>
      <c r="AF55" s="18" t="s">
        <v>95</v>
      </c>
    </row>
    <row r="56" spans="2:32">
      <c r="B56" s="65"/>
      <c r="C56" s="14"/>
      <c r="D56" s="32" t="str">
        <f t="shared" si="0"/>
        <v/>
      </c>
      <c r="E56" s="18"/>
      <c r="F56" s="18"/>
      <c r="G56" s="21" t="s">
        <v>151</v>
      </c>
      <c r="I56" s="33" t="e">
        <f t="shared" si="1"/>
        <v>#N/A</v>
      </c>
      <c r="J56" s="34" t="e">
        <f t="shared" si="2"/>
        <v>#N/A</v>
      </c>
      <c r="K56" s="21" t="e">
        <f t="shared" si="3"/>
        <v>#N/A</v>
      </c>
      <c r="L56" s="35" t="e">
        <f t="shared" si="4"/>
        <v>#N/A</v>
      </c>
      <c r="M56" s="36" t="e">
        <f t="shared" si="5"/>
        <v>#N/A</v>
      </c>
      <c r="N56" s="29" t="s">
        <v>77</v>
      </c>
      <c r="O56" s="21" t="e">
        <f t="shared" si="6"/>
        <v>#N/A</v>
      </c>
      <c r="P56" s="21" t="e">
        <f t="shared" si="7"/>
        <v>#N/A</v>
      </c>
      <c r="Q56" s="21" t="e">
        <f t="shared" si="8"/>
        <v>#N/A</v>
      </c>
      <c r="R56" s="21" t="e">
        <f t="shared" si="9"/>
        <v>#N/A</v>
      </c>
      <c r="S56" s="21" t="e">
        <f t="shared" si="10"/>
        <v>#N/A</v>
      </c>
      <c r="T56" s="21" t="e">
        <f t="shared" si="11"/>
        <v>#N/A</v>
      </c>
      <c r="U56" s="21" t="e">
        <f t="shared" si="12"/>
        <v>#N/A</v>
      </c>
      <c r="V56" s="21" t="e">
        <f t="shared" si="13"/>
        <v>#N/A</v>
      </c>
      <c r="W56" s="21" t="e">
        <f t="shared" si="14"/>
        <v>#N/A</v>
      </c>
      <c r="X56" s="21" t="e">
        <f t="shared" si="15"/>
        <v>#N/A</v>
      </c>
      <c r="Y56" s="21" t="e">
        <f t="shared" si="16"/>
        <v>#N/A</v>
      </c>
      <c r="Z56" s="21" t="e">
        <f t="shared" si="17"/>
        <v>#N/A</v>
      </c>
      <c r="AA56" s="21" t="e">
        <f t="shared" si="18"/>
        <v>#N/A</v>
      </c>
      <c r="AB56" s="21" t="e">
        <f t="shared" si="19"/>
        <v>#N/A</v>
      </c>
      <c r="AC56" s="21" t="e">
        <f t="shared" si="20"/>
        <v>#N/A</v>
      </c>
      <c r="AD56" s="21" t="e">
        <f t="shared" si="21"/>
        <v>#N/A</v>
      </c>
      <c r="AE56" s="21" t="e">
        <f t="shared" si="22"/>
        <v>#N/A</v>
      </c>
      <c r="AF56" s="18" t="s">
        <v>95</v>
      </c>
    </row>
    <row r="57" spans="2:32">
      <c r="B57" s="65"/>
      <c r="C57" s="14"/>
      <c r="D57" s="32" t="str">
        <f t="shared" si="0"/>
        <v/>
      </c>
      <c r="E57" s="18"/>
      <c r="F57" s="18"/>
      <c r="G57" s="21" t="s">
        <v>152</v>
      </c>
      <c r="I57" s="33" t="e">
        <f t="shared" si="1"/>
        <v>#N/A</v>
      </c>
      <c r="J57" s="34" t="e">
        <f t="shared" si="2"/>
        <v>#N/A</v>
      </c>
      <c r="K57" s="21" t="e">
        <f t="shared" si="3"/>
        <v>#N/A</v>
      </c>
      <c r="L57" s="35" t="e">
        <f t="shared" si="4"/>
        <v>#N/A</v>
      </c>
      <c r="M57" s="36" t="e">
        <f t="shared" si="5"/>
        <v>#N/A</v>
      </c>
      <c r="N57" s="29" t="s">
        <v>77</v>
      </c>
      <c r="O57" s="21" t="e">
        <f t="shared" si="6"/>
        <v>#N/A</v>
      </c>
      <c r="P57" s="21" t="e">
        <f t="shared" si="7"/>
        <v>#N/A</v>
      </c>
      <c r="Q57" s="21" t="e">
        <f t="shared" si="8"/>
        <v>#N/A</v>
      </c>
      <c r="R57" s="21" t="e">
        <f t="shared" si="9"/>
        <v>#N/A</v>
      </c>
      <c r="S57" s="21" t="e">
        <f t="shared" si="10"/>
        <v>#N/A</v>
      </c>
      <c r="T57" s="21" t="e">
        <f t="shared" si="11"/>
        <v>#N/A</v>
      </c>
      <c r="U57" s="21" t="e">
        <f t="shared" si="12"/>
        <v>#N/A</v>
      </c>
      <c r="V57" s="21" t="e">
        <f t="shared" si="13"/>
        <v>#N/A</v>
      </c>
      <c r="W57" s="21" t="e">
        <f t="shared" si="14"/>
        <v>#N/A</v>
      </c>
      <c r="X57" s="21" t="e">
        <f t="shared" si="15"/>
        <v>#N/A</v>
      </c>
      <c r="Y57" s="21" t="e">
        <f t="shared" si="16"/>
        <v>#N/A</v>
      </c>
      <c r="Z57" s="21" t="e">
        <f t="shared" si="17"/>
        <v>#N/A</v>
      </c>
      <c r="AA57" s="21" t="e">
        <f t="shared" si="18"/>
        <v>#N/A</v>
      </c>
      <c r="AB57" s="21" t="e">
        <f t="shared" si="19"/>
        <v>#N/A</v>
      </c>
      <c r="AC57" s="21" t="e">
        <f t="shared" si="20"/>
        <v>#N/A</v>
      </c>
      <c r="AD57" s="21" t="e">
        <f t="shared" si="21"/>
        <v>#N/A</v>
      </c>
      <c r="AE57" s="21" t="e">
        <f t="shared" si="22"/>
        <v>#N/A</v>
      </c>
      <c r="AF57" s="18" t="s">
        <v>95</v>
      </c>
    </row>
    <row r="58" spans="2:32">
      <c r="B58" s="65"/>
      <c r="C58" s="14"/>
      <c r="D58" s="32" t="str">
        <f t="shared" si="0"/>
        <v/>
      </c>
      <c r="E58" s="18"/>
      <c r="F58" s="18"/>
      <c r="G58" s="21" t="s">
        <v>153</v>
      </c>
      <c r="I58" s="33" t="e">
        <f t="shared" si="1"/>
        <v>#N/A</v>
      </c>
      <c r="J58" s="34" t="e">
        <f t="shared" si="2"/>
        <v>#N/A</v>
      </c>
      <c r="K58" s="21" t="e">
        <f t="shared" si="3"/>
        <v>#N/A</v>
      </c>
      <c r="L58" s="35" t="e">
        <f t="shared" si="4"/>
        <v>#N/A</v>
      </c>
      <c r="M58" s="36" t="e">
        <f t="shared" si="5"/>
        <v>#N/A</v>
      </c>
      <c r="N58" s="29" t="s">
        <v>77</v>
      </c>
      <c r="O58" s="21" t="e">
        <f t="shared" si="6"/>
        <v>#N/A</v>
      </c>
      <c r="P58" s="21" t="e">
        <f t="shared" si="7"/>
        <v>#N/A</v>
      </c>
      <c r="Q58" s="21" t="e">
        <f t="shared" si="8"/>
        <v>#N/A</v>
      </c>
      <c r="R58" s="21" t="e">
        <f t="shared" si="9"/>
        <v>#N/A</v>
      </c>
      <c r="S58" s="21" t="e">
        <f t="shared" si="10"/>
        <v>#N/A</v>
      </c>
      <c r="T58" s="21" t="e">
        <f t="shared" si="11"/>
        <v>#N/A</v>
      </c>
      <c r="U58" s="21" t="e">
        <f t="shared" si="12"/>
        <v>#N/A</v>
      </c>
      <c r="V58" s="21" t="e">
        <f t="shared" si="13"/>
        <v>#N/A</v>
      </c>
      <c r="W58" s="21" t="e">
        <f t="shared" si="14"/>
        <v>#N/A</v>
      </c>
      <c r="X58" s="21" t="e">
        <f t="shared" si="15"/>
        <v>#N/A</v>
      </c>
      <c r="Y58" s="21" t="e">
        <f t="shared" si="16"/>
        <v>#N/A</v>
      </c>
      <c r="Z58" s="21" t="e">
        <f t="shared" si="17"/>
        <v>#N/A</v>
      </c>
      <c r="AA58" s="21" t="e">
        <f t="shared" si="18"/>
        <v>#N/A</v>
      </c>
      <c r="AB58" s="21" t="e">
        <f t="shared" si="19"/>
        <v>#N/A</v>
      </c>
      <c r="AC58" s="21" t="e">
        <f t="shared" si="20"/>
        <v>#N/A</v>
      </c>
      <c r="AD58" s="21" t="e">
        <f t="shared" si="21"/>
        <v>#N/A</v>
      </c>
      <c r="AE58" s="21" t="e">
        <f t="shared" si="22"/>
        <v>#N/A</v>
      </c>
      <c r="AF58" s="18" t="s">
        <v>95</v>
      </c>
    </row>
    <row r="59" spans="2:32">
      <c r="B59" s="65"/>
      <c r="C59" s="14"/>
      <c r="D59" s="32" t="str">
        <f t="shared" si="0"/>
        <v/>
      </c>
      <c r="E59" s="18"/>
      <c r="F59" s="18"/>
      <c r="G59" s="21" t="s">
        <v>154</v>
      </c>
      <c r="I59" s="33" t="e">
        <f t="shared" si="1"/>
        <v>#N/A</v>
      </c>
      <c r="J59" s="34" t="e">
        <f t="shared" si="2"/>
        <v>#N/A</v>
      </c>
      <c r="K59" s="21" t="e">
        <f t="shared" si="3"/>
        <v>#N/A</v>
      </c>
      <c r="L59" s="35" t="e">
        <f t="shared" si="4"/>
        <v>#N/A</v>
      </c>
      <c r="M59" s="36" t="e">
        <f t="shared" si="5"/>
        <v>#N/A</v>
      </c>
      <c r="N59" s="29" t="s">
        <v>77</v>
      </c>
      <c r="O59" s="21" t="e">
        <f t="shared" si="6"/>
        <v>#N/A</v>
      </c>
      <c r="P59" s="21" t="e">
        <f t="shared" si="7"/>
        <v>#N/A</v>
      </c>
      <c r="Q59" s="21" t="e">
        <f t="shared" si="8"/>
        <v>#N/A</v>
      </c>
      <c r="R59" s="21" t="e">
        <f t="shared" si="9"/>
        <v>#N/A</v>
      </c>
      <c r="S59" s="21" t="e">
        <f t="shared" si="10"/>
        <v>#N/A</v>
      </c>
      <c r="T59" s="21" t="e">
        <f t="shared" si="11"/>
        <v>#N/A</v>
      </c>
      <c r="U59" s="21" t="e">
        <f t="shared" si="12"/>
        <v>#N/A</v>
      </c>
      <c r="V59" s="21" t="e">
        <f t="shared" si="13"/>
        <v>#N/A</v>
      </c>
      <c r="W59" s="21" t="e">
        <f t="shared" si="14"/>
        <v>#N/A</v>
      </c>
      <c r="X59" s="21" t="e">
        <f t="shared" si="15"/>
        <v>#N/A</v>
      </c>
      <c r="Y59" s="21" t="e">
        <f t="shared" si="16"/>
        <v>#N/A</v>
      </c>
      <c r="Z59" s="21" t="e">
        <f t="shared" si="17"/>
        <v>#N/A</v>
      </c>
      <c r="AA59" s="21" t="e">
        <f t="shared" si="18"/>
        <v>#N/A</v>
      </c>
      <c r="AB59" s="21" t="e">
        <f t="shared" si="19"/>
        <v>#N/A</v>
      </c>
      <c r="AC59" s="21" t="e">
        <f t="shared" si="20"/>
        <v>#N/A</v>
      </c>
      <c r="AD59" s="21" t="e">
        <f t="shared" si="21"/>
        <v>#N/A</v>
      </c>
      <c r="AE59" s="21" t="e">
        <f t="shared" si="22"/>
        <v>#N/A</v>
      </c>
      <c r="AF59" s="18" t="s">
        <v>95</v>
      </c>
    </row>
    <row r="60" spans="2:32">
      <c r="B60" s="65"/>
      <c r="C60" s="14"/>
      <c r="D60" s="32" t="str">
        <f t="shared" si="0"/>
        <v/>
      </c>
      <c r="E60" s="18"/>
      <c r="F60" s="18"/>
      <c r="G60" s="21" t="s">
        <v>155</v>
      </c>
      <c r="I60" s="33" t="e">
        <f t="shared" si="1"/>
        <v>#N/A</v>
      </c>
      <c r="J60" s="34" t="e">
        <f t="shared" si="2"/>
        <v>#N/A</v>
      </c>
      <c r="K60" s="21" t="e">
        <f t="shared" si="3"/>
        <v>#N/A</v>
      </c>
      <c r="L60" s="35" t="e">
        <f t="shared" si="4"/>
        <v>#N/A</v>
      </c>
      <c r="M60" s="36" t="e">
        <f t="shared" si="5"/>
        <v>#N/A</v>
      </c>
      <c r="N60" s="29" t="s">
        <v>77</v>
      </c>
      <c r="O60" s="21" t="e">
        <f t="shared" si="6"/>
        <v>#N/A</v>
      </c>
      <c r="P60" s="21" t="e">
        <f t="shared" si="7"/>
        <v>#N/A</v>
      </c>
      <c r="Q60" s="21" t="e">
        <f t="shared" si="8"/>
        <v>#N/A</v>
      </c>
      <c r="R60" s="21" t="e">
        <f t="shared" si="9"/>
        <v>#N/A</v>
      </c>
      <c r="S60" s="21" t="e">
        <f t="shared" si="10"/>
        <v>#N/A</v>
      </c>
      <c r="T60" s="21" t="e">
        <f t="shared" si="11"/>
        <v>#N/A</v>
      </c>
      <c r="U60" s="21" t="e">
        <f t="shared" si="12"/>
        <v>#N/A</v>
      </c>
      <c r="V60" s="21" t="e">
        <f t="shared" si="13"/>
        <v>#N/A</v>
      </c>
      <c r="W60" s="21" t="e">
        <f t="shared" si="14"/>
        <v>#N/A</v>
      </c>
      <c r="X60" s="21" t="e">
        <f t="shared" si="15"/>
        <v>#N/A</v>
      </c>
      <c r="Y60" s="21" t="e">
        <f t="shared" si="16"/>
        <v>#N/A</v>
      </c>
      <c r="Z60" s="21" t="e">
        <f t="shared" si="17"/>
        <v>#N/A</v>
      </c>
      <c r="AA60" s="21" t="e">
        <f t="shared" si="18"/>
        <v>#N/A</v>
      </c>
      <c r="AB60" s="21" t="e">
        <f t="shared" si="19"/>
        <v>#N/A</v>
      </c>
      <c r="AC60" s="21" t="e">
        <f t="shared" si="20"/>
        <v>#N/A</v>
      </c>
      <c r="AD60" s="21" t="e">
        <f t="shared" si="21"/>
        <v>#N/A</v>
      </c>
      <c r="AE60" s="21" t="e">
        <f t="shared" si="22"/>
        <v>#N/A</v>
      </c>
      <c r="AF60" s="18" t="s">
        <v>95</v>
      </c>
    </row>
    <row r="61" spans="2:32">
      <c r="B61" s="65"/>
      <c r="C61" s="14"/>
      <c r="D61" s="32" t="str">
        <f t="shared" si="0"/>
        <v/>
      </c>
      <c r="E61" s="18"/>
      <c r="F61" s="18"/>
      <c r="G61" s="21" t="s">
        <v>156</v>
      </c>
      <c r="I61" s="33" t="e">
        <f t="shared" si="1"/>
        <v>#N/A</v>
      </c>
      <c r="J61" s="34" t="e">
        <f t="shared" si="2"/>
        <v>#N/A</v>
      </c>
      <c r="K61" s="21" t="e">
        <f t="shared" si="3"/>
        <v>#N/A</v>
      </c>
      <c r="L61" s="35" t="e">
        <f t="shared" si="4"/>
        <v>#N/A</v>
      </c>
      <c r="M61" s="36" t="e">
        <f t="shared" si="5"/>
        <v>#N/A</v>
      </c>
      <c r="N61" s="29" t="s">
        <v>77</v>
      </c>
      <c r="O61" s="21" t="e">
        <f t="shared" si="6"/>
        <v>#N/A</v>
      </c>
      <c r="P61" s="21" t="e">
        <f t="shared" si="7"/>
        <v>#N/A</v>
      </c>
      <c r="Q61" s="21" t="e">
        <f t="shared" si="8"/>
        <v>#N/A</v>
      </c>
      <c r="R61" s="21" t="e">
        <f t="shared" si="9"/>
        <v>#N/A</v>
      </c>
      <c r="S61" s="21" t="e">
        <f t="shared" si="10"/>
        <v>#N/A</v>
      </c>
      <c r="T61" s="21" t="e">
        <f t="shared" si="11"/>
        <v>#N/A</v>
      </c>
      <c r="U61" s="21" t="e">
        <f t="shared" si="12"/>
        <v>#N/A</v>
      </c>
      <c r="V61" s="21" t="e">
        <f t="shared" si="13"/>
        <v>#N/A</v>
      </c>
      <c r="W61" s="21" t="e">
        <f t="shared" si="14"/>
        <v>#N/A</v>
      </c>
      <c r="X61" s="21" t="e">
        <f t="shared" si="15"/>
        <v>#N/A</v>
      </c>
      <c r="Y61" s="21" t="e">
        <f t="shared" si="16"/>
        <v>#N/A</v>
      </c>
      <c r="Z61" s="21" t="e">
        <f t="shared" si="17"/>
        <v>#N/A</v>
      </c>
      <c r="AA61" s="21" t="e">
        <f t="shared" si="18"/>
        <v>#N/A</v>
      </c>
      <c r="AB61" s="21" t="e">
        <f t="shared" si="19"/>
        <v>#N/A</v>
      </c>
      <c r="AC61" s="21" t="e">
        <f t="shared" si="20"/>
        <v>#N/A</v>
      </c>
      <c r="AD61" s="21" t="e">
        <f t="shared" si="21"/>
        <v>#N/A</v>
      </c>
      <c r="AE61" s="21" t="e">
        <f t="shared" si="22"/>
        <v>#N/A</v>
      </c>
      <c r="AF61" s="18" t="s">
        <v>95</v>
      </c>
    </row>
    <row r="62" spans="2:32">
      <c r="B62" s="65"/>
      <c r="C62" s="14"/>
      <c r="D62" s="32" t="str">
        <f t="shared" si="0"/>
        <v/>
      </c>
      <c r="E62" s="18"/>
      <c r="F62" s="18"/>
      <c r="G62" s="21" t="s">
        <v>157</v>
      </c>
      <c r="I62" s="33" t="e">
        <f t="shared" si="1"/>
        <v>#N/A</v>
      </c>
      <c r="J62" s="34" t="e">
        <f t="shared" si="2"/>
        <v>#N/A</v>
      </c>
      <c r="K62" s="21" t="e">
        <f t="shared" si="3"/>
        <v>#N/A</v>
      </c>
      <c r="L62" s="35" t="e">
        <f t="shared" si="4"/>
        <v>#N/A</v>
      </c>
      <c r="M62" s="36" t="e">
        <f t="shared" si="5"/>
        <v>#N/A</v>
      </c>
      <c r="N62" s="29" t="s">
        <v>77</v>
      </c>
      <c r="O62" s="21" t="e">
        <f t="shared" si="6"/>
        <v>#N/A</v>
      </c>
      <c r="P62" s="21" t="e">
        <f t="shared" si="7"/>
        <v>#N/A</v>
      </c>
      <c r="Q62" s="21" t="e">
        <f t="shared" si="8"/>
        <v>#N/A</v>
      </c>
      <c r="R62" s="21" t="e">
        <f t="shared" si="9"/>
        <v>#N/A</v>
      </c>
      <c r="S62" s="21" t="e">
        <f t="shared" si="10"/>
        <v>#N/A</v>
      </c>
      <c r="T62" s="21" t="e">
        <f t="shared" si="11"/>
        <v>#N/A</v>
      </c>
      <c r="U62" s="21" t="e">
        <f t="shared" si="12"/>
        <v>#N/A</v>
      </c>
      <c r="V62" s="21" t="e">
        <f t="shared" si="13"/>
        <v>#N/A</v>
      </c>
      <c r="W62" s="21" t="e">
        <f t="shared" si="14"/>
        <v>#N/A</v>
      </c>
      <c r="X62" s="21" t="e">
        <f t="shared" si="15"/>
        <v>#N/A</v>
      </c>
      <c r="Y62" s="21" t="e">
        <f t="shared" si="16"/>
        <v>#N/A</v>
      </c>
      <c r="Z62" s="21" t="e">
        <f t="shared" si="17"/>
        <v>#N/A</v>
      </c>
      <c r="AA62" s="21" t="e">
        <f t="shared" si="18"/>
        <v>#N/A</v>
      </c>
      <c r="AB62" s="21" t="e">
        <f t="shared" si="19"/>
        <v>#N/A</v>
      </c>
      <c r="AC62" s="21" t="e">
        <f t="shared" si="20"/>
        <v>#N/A</v>
      </c>
      <c r="AD62" s="21" t="e">
        <f t="shared" si="21"/>
        <v>#N/A</v>
      </c>
      <c r="AE62" s="21" t="e">
        <f t="shared" si="22"/>
        <v>#N/A</v>
      </c>
      <c r="AF62" s="18" t="s">
        <v>95</v>
      </c>
    </row>
    <row r="63" spans="2:32">
      <c r="B63" s="65"/>
      <c r="C63" s="14"/>
      <c r="D63" s="32" t="str">
        <f t="shared" si="0"/>
        <v/>
      </c>
      <c r="E63" s="18"/>
      <c r="F63" s="18"/>
      <c r="G63" s="21" t="s">
        <v>158</v>
      </c>
      <c r="I63" s="33" t="e">
        <f t="shared" si="1"/>
        <v>#N/A</v>
      </c>
      <c r="J63" s="34" t="e">
        <f t="shared" si="2"/>
        <v>#N/A</v>
      </c>
      <c r="K63" s="21" t="e">
        <f t="shared" si="3"/>
        <v>#N/A</v>
      </c>
      <c r="L63" s="35" t="e">
        <f t="shared" si="4"/>
        <v>#N/A</v>
      </c>
      <c r="M63" s="36" t="e">
        <f t="shared" si="5"/>
        <v>#N/A</v>
      </c>
      <c r="N63" s="29" t="s">
        <v>77</v>
      </c>
      <c r="O63" s="21" t="e">
        <f t="shared" si="6"/>
        <v>#N/A</v>
      </c>
      <c r="P63" s="21" t="e">
        <f t="shared" si="7"/>
        <v>#N/A</v>
      </c>
      <c r="Q63" s="21" t="e">
        <f t="shared" si="8"/>
        <v>#N/A</v>
      </c>
      <c r="R63" s="21" t="e">
        <f t="shared" si="9"/>
        <v>#N/A</v>
      </c>
      <c r="S63" s="21" t="e">
        <f t="shared" si="10"/>
        <v>#N/A</v>
      </c>
      <c r="T63" s="21" t="e">
        <f t="shared" si="11"/>
        <v>#N/A</v>
      </c>
      <c r="U63" s="21" t="e">
        <f t="shared" si="12"/>
        <v>#N/A</v>
      </c>
      <c r="V63" s="21" t="e">
        <f t="shared" si="13"/>
        <v>#N/A</v>
      </c>
      <c r="W63" s="21" t="e">
        <f t="shared" si="14"/>
        <v>#N/A</v>
      </c>
      <c r="X63" s="21" t="e">
        <f t="shared" si="15"/>
        <v>#N/A</v>
      </c>
      <c r="Y63" s="21" t="e">
        <f t="shared" si="16"/>
        <v>#N/A</v>
      </c>
      <c r="Z63" s="21" t="e">
        <f t="shared" si="17"/>
        <v>#N/A</v>
      </c>
      <c r="AA63" s="21" t="e">
        <f t="shared" si="18"/>
        <v>#N/A</v>
      </c>
      <c r="AB63" s="21" t="e">
        <f t="shared" si="19"/>
        <v>#N/A</v>
      </c>
      <c r="AC63" s="21" t="e">
        <f t="shared" si="20"/>
        <v>#N/A</v>
      </c>
      <c r="AD63" s="21" t="e">
        <f t="shared" si="21"/>
        <v>#N/A</v>
      </c>
      <c r="AE63" s="21" t="e">
        <f t="shared" si="22"/>
        <v>#N/A</v>
      </c>
      <c r="AF63" s="18" t="s">
        <v>95</v>
      </c>
    </row>
    <row r="64" spans="2:32">
      <c r="B64" s="65"/>
      <c r="C64" s="14"/>
      <c r="D64" s="32" t="str">
        <f t="shared" si="0"/>
        <v/>
      </c>
      <c r="E64" s="18"/>
      <c r="F64" s="18"/>
      <c r="G64" s="21" t="s">
        <v>159</v>
      </c>
      <c r="I64" s="33" t="e">
        <f t="shared" si="1"/>
        <v>#N/A</v>
      </c>
      <c r="J64" s="34" t="e">
        <f t="shared" si="2"/>
        <v>#N/A</v>
      </c>
      <c r="K64" s="21" t="e">
        <f t="shared" si="3"/>
        <v>#N/A</v>
      </c>
      <c r="L64" s="35" t="e">
        <f t="shared" si="4"/>
        <v>#N/A</v>
      </c>
      <c r="M64" s="36" t="e">
        <f t="shared" si="5"/>
        <v>#N/A</v>
      </c>
      <c r="N64" s="29" t="s">
        <v>77</v>
      </c>
      <c r="O64" s="21" t="e">
        <f t="shared" si="6"/>
        <v>#N/A</v>
      </c>
      <c r="P64" s="21" t="e">
        <f t="shared" si="7"/>
        <v>#N/A</v>
      </c>
      <c r="Q64" s="21" t="e">
        <f t="shared" si="8"/>
        <v>#N/A</v>
      </c>
      <c r="R64" s="21" t="e">
        <f t="shared" si="9"/>
        <v>#N/A</v>
      </c>
      <c r="S64" s="21" t="e">
        <f t="shared" si="10"/>
        <v>#N/A</v>
      </c>
      <c r="T64" s="21" t="e">
        <f t="shared" si="11"/>
        <v>#N/A</v>
      </c>
      <c r="U64" s="21" t="e">
        <f t="shared" si="12"/>
        <v>#N/A</v>
      </c>
      <c r="V64" s="21" t="e">
        <f t="shared" si="13"/>
        <v>#N/A</v>
      </c>
      <c r="W64" s="21" t="e">
        <f t="shared" si="14"/>
        <v>#N/A</v>
      </c>
      <c r="X64" s="21" t="e">
        <f t="shared" si="15"/>
        <v>#N/A</v>
      </c>
      <c r="Y64" s="21" t="e">
        <f t="shared" si="16"/>
        <v>#N/A</v>
      </c>
      <c r="Z64" s="21" t="e">
        <f t="shared" si="17"/>
        <v>#N/A</v>
      </c>
      <c r="AA64" s="21" t="e">
        <f t="shared" si="18"/>
        <v>#N/A</v>
      </c>
      <c r="AB64" s="21" t="e">
        <f t="shared" si="19"/>
        <v>#N/A</v>
      </c>
      <c r="AC64" s="21" t="e">
        <f t="shared" si="20"/>
        <v>#N/A</v>
      </c>
      <c r="AD64" s="21" t="e">
        <f t="shared" si="21"/>
        <v>#N/A</v>
      </c>
      <c r="AE64" s="21" t="e">
        <f t="shared" si="22"/>
        <v>#N/A</v>
      </c>
      <c r="AF64" s="18" t="s">
        <v>95</v>
      </c>
    </row>
    <row r="65" spans="2:34">
      <c r="B65" s="65"/>
      <c r="C65" s="14"/>
      <c r="D65" s="32" t="str">
        <f t="shared" si="0"/>
        <v/>
      </c>
      <c r="E65" s="18"/>
      <c r="F65" s="18"/>
      <c r="G65" s="21" t="s">
        <v>160</v>
      </c>
      <c r="H65" s="21"/>
      <c r="I65" s="33" t="e">
        <f t="shared" si="1"/>
        <v>#N/A</v>
      </c>
      <c r="J65" s="34" t="e">
        <f t="shared" si="2"/>
        <v>#N/A</v>
      </c>
      <c r="K65" s="21" t="e">
        <f t="shared" si="3"/>
        <v>#N/A</v>
      </c>
      <c r="L65" s="35" t="e">
        <f t="shared" si="4"/>
        <v>#N/A</v>
      </c>
      <c r="M65" s="36" t="e">
        <f t="shared" si="5"/>
        <v>#N/A</v>
      </c>
      <c r="N65" s="29" t="s">
        <v>77</v>
      </c>
      <c r="O65" s="21" t="e">
        <f t="shared" si="6"/>
        <v>#N/A</v>
      </c>
      <c r="P65" s="21" t="e">
        <f t="shared" si="7"/>
        <v>#N/A</v>
      </c>
      <c r="Q65" s="21" t="e">
        <f t="shared" si="8"/>
        <v>#N/A</v>
      </c>
      <c r="R65" s="21" t="e">
        <f t="shared" si="9"/>
        <v>#N/A</v>
      </c>
      <c r="S65" s="21" t="e">
        <f t="shared" si="10"/>
        <v>#N/A</v>
      </c>
      <c r="T65" s="21" t="e">
        <f t="shared" si="11"/>
        <v>#N/A</v>
      </c>
      <c r="U65" s="21" t="e">
        <f t="shared" si="12"/>
        <v>#N/A</v>
      </c>
      <c r="V65" s="21" t="e">
        <f t="shared" si="13"/>
        <v>#N/A</v>
      </c>
      <c r="W65" s="21" t="e">
        <f t="shared" si="14"/>
        <v>#N/A</v>
      </c>
      <c r="X65" s="21" t="e">
        <f t="shared" si="15"/>
        <v>#N/A</v>
      </c>
      <c r="Y65" s="21" t="e">
        <f t="shared" si="16"/>
        <v>#N/A</v>
      </c>
      <c r="Z65" s="21" t="e">
        <f t="shared" si="17"/>
        <v>#N/A</v>
      </c>
      <c r="AA65" s="21" t="e">
        <f t="shared" si="18"/>
        <v>#N/A</v>
      </c>
      <c r="AB65" s="21" t="e">
        <f t="shared" si="19"/>
        <v>#N/A</v>
      </c>
      <c r="AC65" s="21" t="e">
        <f t="shared" si="20"/>
        <v>#N/A</v>
      </c>
      <c r="AD65" s="21" t="e">
        <f t="shared" si="21"/>
        <v>#N/A</v>
      </c>
      <c r="AE65" s="21" t="e">
        <f t="shared" si="22"/>
        <v>#N/A</v>
      </c>
      <c r="AF65" s="18" t="s">
        <v>95</v>
      </c>
      <c r="AH65" t="str">
        <f>Instructions!I10</f>
        <v>over</v>
      </c>
    </row>
    <row r="66" spans="2:34">
      <c r="B66" s="65"/>
      <c r="C66" s="14"/>
      <c r="D66" s="32" t="str">
        <f t="shared" si="0"/>
        <v/>
      </c>
      <c r="E66" s="18"/>
      <c r="F66" s="18"/>
      <c r="G66" s="21" t="s">
        <v>161</v>
      </c>
      <c r="I66" s="33" t="e">
        <f t="shared" si="1"/>
        <v>#N/A</v>
      </c>
      <c r="J66" s="34" t="e">
        <f t="shared" si="2"/>
        <v>#N/A</v>
      </c>
      <c r="K66" s="21" t="e">
        <f t="shared" si="3"/>
        <v>#N/A</v>
      </c>
      <c r="L66" s="35" t="e">
        <f t="shared" si="4"/>
        <v>#N/A</v>
      </c>
      <c r="M66" s="36" t="e">
        <f t="shared" si="5"/>
        <v>#N/A</v>
      </c>
      <c r="N66" s="29" t="s">
        <v>77</v>
      </c>
      <c r="O66" s="21" t="e">
        <f t="shared" si="6"/>
        <v>#N/A</v>
      </c>
      <c r="P66" s="21" t="e">
        <f t="shared" si="7"/>
        <v>#N/A</v>
      </c>
      <c r="Q66" s="21" t="e">
        <f t="shared" si="8"/>
        <v>#N/A</v>
      </c>
      <c r="R66" s="21" t="e">
        <f t="shared" si="9"/>
        <v>#N/A</v>
      </c>
      <c r="S66" s="21" t="e">
        <f t="shared" si="10"/>
        <v>#N/A</v>
      </c>
      <c r="T66" s="21" t="e">
        <f t="shared" si="11"/>
        <v>#N/A</v>
      </c>
      <c r="U66" s="21" t="e">
        <f t="shared" si="12"/>
        <v>#N/A</v>
      </c>
      <c r="V66" s="21" t="e">
        <f t="shared" si="13"/>
        <v>#N/A</v>
      </c>
      <c r="W66" s="21" t="e">
        <f t="shared" si="14"/>
        <v>#N/A</v>
      </c>
      <c r="X66" s="21" t="e">
        <f t="shared" si="15"/>
        <v>#N/A</v>
      </c>
      <c r="Y66" s="21" t="e">
        <f t="shared" si="16"/>
        <v>#N/A</v>
      </c>
      <c r="Z66" s="21" t="e">
        <f t="shared" si="17"/>
        <v>#N/A</v>
      </c>
      <c r="AA66" s="21" t="e">
        <f t="shared" si="18"/>
        <v>#N/A</v>
      </c>
      <c r="AB66" s="21" t="e">
        <f t="shared" si="19"/>
        <v>#N/A</v>
      </c>
      <c r="AC66" s="21" t="e">
        <f t="shared" si="20"/>
        <v>#N/A</v>
      </c>
      <c r="AD66" s="21" t="e">
        <f t="shared" si="21"/>
        <v>#N/A</v>
      </c>
      <c r="AE66" s="21" t="e">
        <f t="shared" si="22"/>
        <v>#N/A</v>
      </c>
      <c r="AF66" s="18" t="s">
        <v>95</v>
      </c>
      <c r="AH66">
        <f>Instructions!I11</f>
        <v>6</v>
      </c>
    </row>
    <row r="67" spans="2:34">
      <c r="B67" s="65"/>
      <c r="C67" s="14"/>
      <c r="D67" s="32" t="str">
        <f t="shared" si="0"/>
        <v/>
      </c>
      <c r="E67" s="18"/>
      <c r="F67" s="18"/>
      <c r="G67" s="21" t="s">
        <v>162</v>
      </c>
      <c r="I67" s="33" t="e">
        <f t="shared" si="1"/>
        <v>#N/A</v>
      </c>
      <c r="J67" s="34" t="e">
        <f t="shared" si="2"/>
        <v>#N/A</v>
      </c>
      <c r="K67" s="21" t="e">
        <f t="shared" si="3"/>
        <v>#N/A</v>
      </c>
      <c r="L67" s="35" t="e">
        <f t="shared" si="4"/>
        <v>#N/A</v>
      </c>
      <c r="M67" s="36" t="e">
        <f t="shared" si="5"/>
        <v>#N/A</v>
      </c>
      <c r="N67" s="29" t="s">
        <v>77</v>
      </c>
      <c r="O67" s="21" t="e">
        <f t="shared" si="6"/>
        <v>#N/A</v>
      </c>
      <c r="P67" s="21" t="e">
        <f t="shared" si="7"/>
        <v>#N/A</v>
      </c>
      <c r="Q67" s="21" t="e">
        <f t="shared" si="8"/>
        <v>#N/A</v>
      </c>
      <c r="R67" s="21" t="e">
        <f t="shared" si="9"/>
        <v>#N/A</v>
      </c>
      <c r="S67" s="21" t="e">
        <f t="shared" si="10"/>
        <v>#N/A</v>
      </c>
      <c r="T67" s="21" t="e">
        <f t="shared" si="11"/>
        <v>#N/A</v>
      </c>
      <c r="U67" s="21" t="e">
        <f t="shared" si="12"/>
        <v>#N/A</v>
      </c>
      <c r="V67" s="21" t="e">
        <f t="shared" si="13"/>
        <v>#N/A</v>
      </c>
      <c r="W67" s="21" t="e">
        <f t="shared" si="14"/>
        <v>#N/A</v>
      </c>
      <c r="X67" s="21" t="e">
        <f t="shared" si="15"/>
        <v>#N/A</v>
      </c>
      <c r="Y67" s="21" t="e">
        <f t="shared" si="16"/>
        <v>#N/A</v>
      </c>
      <c r="Z67" s="21" t="e">
        <f t="shared" si="17"/>
        <v>#N/A</v>
      </c>
      <c r="AA67" s="21" t="e">
        <f t="shared" si="18"/>
        <v>#N/A</v>
      </c>
      <c r="AB67" s="21" t="e">
        <f t="shared" si="19"/>
        <v>#N/A</v>
      </c>
      <c r="AC67" s="21" t="e">
        <f t="shared" si="20"/>
        <v>#N/A</v>
      </c>
      <c r="AD67" s="21" t="e">
        <f t="shared" si="21"/>
        <v>#N/A</v>
      </c>
      <c r="AE67" s="21" t="e">
        <f t="shared" si="22"/>
        <v>#N/A</v>
      </c>
      <c r="AF67" s="18" t="s">
        <v>95</v>
      </c>
      <c r="AH67">
        <f>Instructions!I6</f>
        <v>28</v>
      </c>
    </row>
    <row r="68" spans="2:34">
      <c r="B68" s="65"/>
      <c r="C68" s="14"/>
      <c r="D68" s="32" t="str">
        <f t="shared" si="0"/>
        <v/>
      </c>
      <c r="E68" s="18"/>
      <c r="F68" s="18"/>
      <c r="G68" s="21" t="s">
        <v>163</v>
      </c>
      <c r="I68" s="33" t="e">
        <f t="shared" si="1"/>
        <v>#N/A</v>
      </c>
      <c r="J68" s="34" t="e">
        <f t="shared" si="2"/>
        <v>#N/A</v>
      </c>
      <c r="K68" s="21" t="e">
        <f t="shared" si="3"/>
        <v>#N/A</v>
      </c>
      <c r="L68" s="35" t="e">
        <f t="shared" si="4"/>
        <v>#N/A</v>
      </c>
      <c r="M68" s="36" t="e">
        <f t="shared" si="5"/>
        <v>#N/A</v>
      </c>
      <c r="N68" s="29" t="s">
        <v>77</v>
      </c>
      <c r="O68" s="21" t="e">
        <f t="shared" si="6"/>
        <v>#N/A</v>
      </c>
      <c r="P68" s="21" t="e">
        <f t="shared" si="7"/>
        <v>#N/A</v>
      </c>
      <c r="Q68" s="21" t="e">
        <f t="shared" si="8"/>
        <v>#N/A</v>
      </c>
      <c r="R68" s="21" t="e">
        <f t="shared" si="9"/>
        <v>#N/A</v>
      </c>
      <c r="S68" s="21" t="e">
        <f t="shared" si="10"/>
        <v>#N/A</v>
      </c>
      <c r="T68" s="21" t="e">
        <f t="shared" si="11"/>
        <v>#N/A</v>
      </c>
      <c r="U68" s="21" t="e">
        <f t="shared" si="12"/>
        <v>#N/A</v>
      </c>
      <c r="V68" s="21" t="e">
        <f t="shared" si="13"/>
        <v>#N/A</v>
      </c>
      <c r="W68" s="21" t="e">
        <f t="shared" si="14"/>
        <v>#N/A</v>
      </c>
      <c r="X68" s="21" t="e">
        <f t="shared" si="15"/>
        <v>#N/A</v>
      </c>
      <c r="Y68" s="21" t="e">
        <f t="shared" si="16"/>
        <v>#N/A</v>
      </c>
      <c r="Z68" s="21" t="e">
        <f t="shared" si="17"/>
        <v>#N/A</v>
      </c>
      <c r="AA68" s="21" t="e">
        <f t="shared" si="18"/>
        <v>#N/A</v>
      </c>
      <c r="AB68" s="21" t="e">
        <f t="shared" si="19"/>
        <v>#N/A</v>
      </c>
      <c r="AC68" s="21" t="e">
        <f t="shared" si="20"/>
        <v>#N/A</v>
      </c>
      <c r="AD68" s="21" t="e">
        <f t="shared" si="21"/>
        <v>#N/A</v>
      </c>
      <c r="AE68" s="21" t="e">
        <f t="shared" si="22"/>
        <v>#N/A</v>
      </c>
      <c r="AF68" s="18" t="s">
        <v>95</v>
      </c>
      <c r="AH68" t="str">
        <f>Instructions!I7</f>
        <v>.</v>
      </c>
    </row>
    <row r="69" spans="2:34">
      <c r="B69" s="65"/>
      <c r="C69" s="14"/>
      <c r="D69" s="32" t="str">
        <f t="shared" si="0"/>
        <v/>
      </c>
      <c r="E69" s="18"/>
      <c r="F69" s="18"/>
      <c r="G69" s="21" t="s">
        <v>164</v>
      </c>
      <c r="I69" s="33" t="e">
        <f t="shared" si="1"/>
        <v>#N/A</v>
      </c>
      <c r="J69" s="34" t="e">
        <f t="shared" si="2"/>
        <v>#N/A</v>
      </c>
      <c r="K69" s="21" t="e">
        <f t="shared" si="3"/>
        <v>#N/A</v>
      </c>
      <c r="L69" s="35" t="e">
        <f t="shared" si="4"/>
        <v>#N/A</v>
      </c>
      <c r="M69" s="36" t="e">
        <f t="shared" si="5"/>
        <v>#N/A</v>
      </c>
      <c r="N69" s="29" t="s">
        <v>77</v>
      </c>
      <c r="O69" s="21" t="e">
        <f t="shared" si="6"/>
        <v>#N/A</v>
      </c>
      <c r="P69" s="21" t="e">
        <f t="shared" si="7"/>
        <v>#N/A</v>
      </c>
      <c r="Q69" s="21" t="e">
        <f t="shared" si="8"/>
        <v>#N/A</v>
      </c>
      <c r="R69" s="21" t="e">
        <f t="shared" si="9"/>
        <v>#N/A</v>
      </c>
      <c r="S69" s="21" t="e">
        <f t="shared" si="10"/>
        <v>#N/A</v>
      </c>
      <c r="T69" s="21" t="e">
        <f t="shared" si="11"/>
        <v>#N/A</v>
      </c>
      <c r="U69" s="21" t="e">
        <f t="shared" si="12"/>
        <v>#N/A</v>
      </c>
      <c r="V69" s="21" t="e">
        <f t="shared" si="13"/>
        <v>#N/A</v>
      </c>
      <c r="W69" s="21" t="e">
        <f t="shared" si="14"/>
        <v>#N/A</v>
      </c>
      <c r="X69" s="21" t="e">
        <f t="shared" si="15"/>
        <v>#N/A</v>
      </c>
      <c r="Y69" s="21" t="e">
        <f t="shared" si="16"/>
        <v>#N/A</v>
      </c>
      <c r="Z69" s="21" t="e">
        <f t="shared" si="17"/>
        <v>#N/A</v>
      </c>
      <c r="AA69" s="21" t="e">
        <f t="shared" si="18"/>
        <v>#N/A</v>
      </c>
      <c r="AB69" s="21" t="e">
        <f t="shared" si="19"/>
        <v>#N/A</v>
      </c>
      <c r="AC69" s="21" t="e">
        <f t="shared" si="20"/>
        <v>#N/A</v>
      </c>
      <c r="AD69" s="21" t="e">
        <f t="shared" si="21"/>
        <v>#N/A</v>
      </c>
      <c r="AE69" s="21" t="e">
        <f t="shared" si="22"/>
        <v>#N/A</v>
      </c>
      <c r="AF69" s="18" t="s">
        <v>95</v>
      </c>
      <c r="AH69">
        <f>Instructions!I5</f>
        <v>40</v>
      </c>
    </row>
    <row r="70" spans="2:34">
      <c r="B70" s="65"/>
      <c r="C70" s="14"/>
      <c r="D70" s="32" t="str">
        <f t="shared" si="0"/>
        <v/>
      </c>
      <c r="E70" s="18"/>
      <c r="F70" s="18"/>
      <c r="G70" s="21" t="s">
        <v>165</v>
      </c>
      <c r="I70" s="33" t="e">
        <f t="shared" si="1"/>
        <v>#N/A</v>
      </c>
      <c r="J70" s="34" t="e">
        <f t="shared" si="2"/>
        <v>#N/A</v>
      </c>
      <c r="K70" s="21" t="e">
        <f t="shared" si="3"/>
        <v>#N/A</v>
      </c>
      <c r="L70" s="35" t="e">
        <f t="shared" si="4"/>
        <v>#N/A</v>
      </c>
      <c r="M70" s="36" t="e">
        <f t="shared" si="5"/>
        <v>#N/A</v>
      </c>
      <c r="N70" s="29" t="s">
        <v>77</v>
      </c>
      <c r="O70" s="21" t="e">
        <f t="shared" si="6"/>
        <v>#N/A</v>
      </c>
      <c r="P70" s="21" t="e">
        <f t="shared" si="7"/>
        <v>#N/A</v>
      </c>
      <c r="Q70" s="21" t="e">
        <f t="shared" si="8"/>
        <v>#N/A</v>
      </c>
      <c r="R70" s="21" t="e">
        <f t="shared" si="9"/>
        <v>#N/A</v>
      </c>
      <c r="S70" s="21" t="e">
        <f t="shared" si="10"/>
        <v>#N/A</v>
      </c>
      <c r="T70" s="21" t="e">
        <f t="shared" si="11"/>
        <v>#N/A</v>
      </c>
      <c r="U70" s="21" t="e">
        <f t="shared" si="12"/>
        <v>#N/A</v>
      </c>
      <c r="V70" s="21" t="e">
        <f t="shared" si="13"/>
        <v>#N/A</v>
      </c>
      <c r="W70" s="21" t="e">
        <f t="shared" si="14"/>
        <v>#N/A</v>
      </c>
      <c r="X70" s="21" t="e">
        <f t="shared" si="15"/>
        <v>#N/A</v>
      </c>
      <c r="Y70" s="21" t="e">
        <f t="shared" si="16"/>
        <v>#N/A</v>
      </c>
      <c r="Z70" s="21" t="e">
        <f t="shared" si="17"/>
        <v>#N/A</v>
      </c>
      <c r="AA70" s="21" t="e">
        <f t="shared" si="18"/>
        <v>#N/A</v>
      </c>
      <c r="AB70" s="21" t="e">
        <f t="shared" si="19"/>
        <v>#N/A</v>
      </c>
      <c r="AC70" s="21" t="e">
        <f t="shared" si="20"/>
        <v>#N/A</v>
      </c>
      <c r="AD70" s="21" t="e">
        <f t="shared" si="21"/>
        <v>#N/A</v>
      </c>
      <c r="AE70" s="21" t="e">
        <f t="shared" si="22"/>
        <v>#N/A</v>
      </c>
      <c r="AF70" s="18" t="s">
        <v>95</v>
      </c>
      <c r="AH70">
        <f>Instructions!I14</f>
        <v>60</v>
      </c>
    </row>
    <row r="71" spans="2:34">
      <c r="B71" s="65"/>
      <c r="C71" s="14"/>
      <c r="D71" s="32" t="str">
        <f t="shared" si="0"/>
        <v/>
      </c>
      <c r="E71" s="18"/>
      <c r="F71" s="18"/>
      <c r="G71" s="21" t="s">
        <v>166</v>
      </c>
      <c r="I71" s="33" t="e">
        <f t="shared" si="1"/>
        <v>#N/A</v>
      </c>
      <c r="J71" s="34" t="e">
        <f t="shared" si="2"/>
        <v>#N/A</v>
      </c>
      <c r="K71" s="21" t="e">
        <f t="shared" si="3"/>
        <v>#N/A</v>
      </c>
      <c r="L71" s="35" t="e">
        <f t="shared" si="4"/>
        <v>#N/A</v>
      </c>
      <c r="M71" s="36" t="e">
        <f t="shared" si="5"/>
        <v>#N/A</v>
      </c>
      <c r="N71" s="29" t="s">
        <v>77</v>
      </c>
      <c r="O71" s="21" t="e">
        <f t="shared" si="6"/>
        <v>#N/A</v>
      </c>
      <c r="P71" s="21" t="e">
        <f t="shared" si="7"/>
        <v>#N/A</v>
      </c>
      <c r="Q71" s="21" t="e">
        <f t="shared" si="8"/>
        <v>#N/A</v>
      </c>
      <c r="R71" s="21" t="e">
        <f t="shared" si="9"/>
        <v>#N/A</v>
      </c>
      <c r="S71" s="21" t="e">
        <f t="shared" si="10"/>
        <v>#N/A</v>
      </c>
      <c r="T71" s="21" t="e">
        <f t="shared" si="11"/>
        <v>#N/A</v>
      </c>
      <c r="U71" s="21" t="e">
        <f t="shared" si="12"/>
        <v>#N/A</v>
      </c>
      <c r="V71" s="21" t="e">
        <f t="shared" si="13"/>
        <v>#N/A</v>
      </c>
      <c r="W71" s="21" t="e">
        <f t="shared" si="14"/>
        <v>#N/A</v>
      </c>
      <c r="X71" s="21" t="e">
        <f t="shared" si="15"/>
        <v>#N/A</v>
      </c>
      <c r="Y71" s="21" t="e">
        <f t="shared" si="16"/>
        <v>#N/A</v>
      </c>
      <c r="Z71" s="21" t="e">
        <f t="shared" si="17"/>
        <v>#N/A</v>
      </c>
      <c r="AA71" s="21" t="e">
        <f t="shared" si="18"/>
        <v>#N/A</v>
      </c>
      <c r="AB71" s="21" t="e">
        <f t="shared" si="19"/>
        <v>#N/A</v>
      </c>
      <c r="AC71" s="21" t="e">
        <f t="shared" si="20"/>
        <v>#N/A</v>
      </c>
      <c r="AD71" s="21" t="e">
        <f t="shared" si="21"/>
        <v>#N/A</v>
      </c>
      <c r="AE71" s="21" t="e">
        <f t="shared" si="22"/>
        <v>#N/A</v>
      </c>
      <c r="AF71" s="18" t="s">
        <v>95</v>
      </c>
      <c r="AH71" t="str">
        <f>Instructions!I19</f>
        <v>Black</v>
      </c>
    </row>
    <row r="72" spans="2:34">
      <c r="B72" s="66"/>
      <c r="C72" s="14"/>
      <c r="D72" s="32" t="str">
        <f t="shared" si="0"/>
        <v/>
      </c>
      <c r="E72" s="18"/>
      <c r="F72" s="18"/>
      <c r="G72" s="21" t="s">
        <v>167</v>
      </c>
      <c r="I72" s="33" t="e">
        <f t="shared" si="1"/>
        <v>#N/A</v>
      </c>
      <c r="J72" s="34" t="e">
        <f t="shared" si="2"/>
        <v>#N/A</v>
      </c>
      <c r="K72" s="21" t="e">
        <f t="shared" si="3"/>
        <v>#N/A</v>
      </c>
      <c r="L72" s="35" t="e">
        <f t="shared" si="4"/>
        <v>#N/A</v>
      </c>
      <c r="M72" s="36" t="e">
        <f t="shared" si="5"/>
        <v>#N/A</v>
      </c>
      <c r="N72" s="29" t="s">
        <v>77</v>
      </c>
      <c r="O72" s="21" t="e">
        <f t="shared" si="6"/>
        <v>#N/A</v>
      </c>
      <c r="P72" s="21" t="e">
        <f t="shared" si="7"/>
        <v>#N/A</v>
      </c>
      <c r="Q72" s="21" t="e">
        <f t="shared" si="8"/>
        <v>#N/A</v>
      </c>
      <c r="R72" s="21" t="e">
        <f t="shared" si="9"/>
        <v>#N/A</v>
      </c>
      <c r="S72" s="21" t="e">
        <f t="shared" si="10"/>
        <v>#N/A</v>
      </c>
      <c r="T72" s="21" t="e">
        <f t="shared" si="11"/>
        <v>#N/A</v>
      </c>
      <c r="U72" s="21" t="e">
        <f t="shared" si="12"/>
        <v>#N/A</v>
      </c>
      <c r="V72" s="21" t="e">
        <f t="shared" si="13"/>
        <v>#N/A</v>
      </c>
      <c r="W72" s="21" t="e">
        <f t="shared" si="14"/>
        <v>#N/A</v>
      </c>
      <c r="X72" s="21" t="e">
        <f t="shared" si="15"/>
        <v>#N/A</v>
      </c>
      <c r="Y72" s="21" t="e">
        <f t="shared" si="16"/>
        <v>#N/A</v>
      </c>
      <c r="Z72" s="21" t="e">
        <f t="shared" si="17"/>
        <v>#N/A</v>
      </c>
      <c r="AA72" s="21" t="e">
        <f t="shared" si="18"/>
        <v>#N/A</v>
      </c>
      <c r="AB72" s="21" t="e">
        <f t="shared" si="19"/>
        <v>#N/A</v>
      </c>
      <c r="AC72" s="21" t="e">
        <f t="shared" si="20"/>
        <v>#N/A</v>
      </c>
      <c r="AD72" s="21" t="e">
        <f t="shared" si="21"/>
        <v>#N/A</v>
      </c>
      <c r="AE72" s="21" t="e">
        <f t="shared" si="22"/>
        <v>#N/A</v>
      </c>
      <c r="AF72" s="18" t="s">
        <v>95</v>
      </c>
      <c r="AH72" t="str">
        <f>Instructions!I20</f>
        <v>Red</v>
      </c>
    </row>
    <row r="73" spans="2:34">
      <c r="B73" s="66"/>
      <c r="C73" s="14"/>
      <c r="D73" s="32" t="str">
        <f t="shared" si="0"/>
        <v/>
      </c>
      <c r="E73" s="18"/>
      <c r="F73" s="18"/>
      <c r="G73" s="21" t="s">
        <v>168</v>
      </c>
      <c r="I73" s="33" t="e">
        <f t="shared" si="1"/>
        <v>#N/A</v>
      </c>
      <c r="J73" s="34" t="e">
        <f t="shared" si="2"/>
        <v>#N/A</v>
      </c>
      <c r="K73" s="21" t="e">
        <f t="shared" si="3"/>
        <v>#N/A</v>
      </c>
      <c r="L73" s="35" t="e">
        <f t="shared" si="4"/>
        <v>#N/A</v>
      </c>
      <c r="M73" s="36" t="e">
        <f t="shared" si="5"/>
        <v>#N/A</v>
      </c>
      <c r="N73" s="29" t="s">
        <v>77</v>
      </c>
      <c r="O73" s="21" t="e">
        <f t="shared" si="6"/>
        <v>#N/A</v>
      </c>
      <c r="P73" s="21" t="e">
        <f t="shared" si="7"/>
        <v>#N/A</v>
      </c>
      <c r="Q73" s="21" t="e">
        <f t="shared" si="8"/>
        <v>#N/A</v>
      </c>
      <c r="R73" s="21" t="e">
        <f t="shared" si="9"/>
        <v>#N/A</v>
      </c>
      <c r="S73" s="21" t="e">
        <f t="shared" si="10"/>
        <v>#N/A</v>
      </c>
      <c r="T73" s="21" t="e">
        <f t="shared" si="11"/>
        <v>#N/A</v>
      </c>
      <c r="U73" s="21" t="e">
        <f t="shared" si="12"/>
        <v>#N/A</v>
      </c>
      <c r="V73" s="21" t="e">
        <f t="shared" si="13"/>
        <v>#N/A</v>
      </c>
      <c r="W73" s="21" t="e">
        <f t="shared" si="14"/>
        <v>#N/A</v>
      </c>
      <c r="X73" s="21" t="e">
        <f t="shared" si="15"/>
        <v>#N/A</v>
      </c>
      <c r="Y73" s="21" t="e">
        <f t="shared" si="16"/>
        <v>#N/A</v>
      </c>
      <c r="Z73" s="21" t="e">
        <f t="shared" si="17"/>
        <v>#N/A</v>
      </c>
      <c r="AA73" s="21" t="e">
        <f t="shared" si="18"/>
        <v>#N/A</v>
      </c>
      <c r="AB73" s="21" t="e">
        <f t="shared" si="19"/>
        <v>#N/A</v>
      </c>
      <c r="AC73" s="21" t="e">
        <f t="shared" si="20"/>
        <v>#N/A</v>
      </c>
      <c r="AD73" s="21" t="e">
        <f t="shared" si="21"/>
        <v>#N/A</v>
      </c>
      <c r="AE73" s="21" t="e">
        <f t="shared" si="22"/>
        <v>#N/A</v>
      </c>
      <c r="AF73" s="18" t="s">
        <v>95</v>
      </c>
      <c r="AH73">
        <f>Instructions!I18</f>
        <v>0</v>
      </c>
    </row>
    <row r="74" spans="2:34">
      <c r="B74" s="66"/>
      <c r="C74" s="14"/>
      <c r="D74" s="32" t="str">
        <f t="shared" si="0"/>
        <v/>
      </c>
      <c r="E74" s="18"/>
      <c r="F74" s="18"/>
      <c r="G74" s="21" t="s">
        <v>169</v>
      </c>
      <c r="I74" s="33" t="e">
        <f t="shared" si="1"/>
        <v>#N/A</v>
      </c>
      <c r="J74" s="34" t="e">
        <f t="shared" si="2"/>
        <v>#N/A</v>
      </c>
      <c r="K74" s="21" t="e">
        <f t="shared" si="3"/>
        <v>#N/A</v>
      </c>
      <c r="L74" s="35" t="e">
        <f t="shared" si="4"/>
        <v>#N/A</v>
      </c>
      <c r="M74" s="36" t="e">
        <f t="shared" si="5"/>
        <v>#N/A</v>
      </c>
      <c r="N74" s="29" t="s">
        <v>77</v>
      </c>
      <c r="O74" s="21" t="e">
        <f t="shared" si="6"/>
        <v>#N/A</v>
      </c>
      <c r="P74" s="21" t="e">
        <f t="shared" si="7"/>
        <v>#N/A</v>
      </c>
      <c r="Q74" s="21" t="e">
        <f t="shared" si="8"/>
        <v>#N/A</v>
      </c>
      <c r="R74" s="21" t="e">
        <f t="shared" si="9"/>
        <v>#N/A</v>
      </c>
      <c r="S74" s="21" t="e">
        <f t="shared" si="10"/>
        <v>#N/A</v>
      </c>
      <c r="T74" s="21" t="e">
        <f t="shared" si="11"/>
        <v>#N/A</v>
      </c>
      <c r="U74" s="21" t="e">
        <f t="shared" si="12"/>
        <v>#N/A</v>
      </c>
      <c r="V74" s="21" t="e">
        <f t="shared" si="13"/>
        <v>#N/A</v>
      </c>
      <c r="W74" s="21" t="e">
        <f t="shared" si="14"/>
        <v>#N/A</v>
      </c>
      <c r="X74" s="21" t="e">
        <f t="shared" si="15"/>
        <v>#N/A</v>
      </c>
      <c r="Y74" s="21" t="e">
        <f t="shared" si="16"/>
        <v>#N/A</v>
      </c>
      <c r="Z74" s="21" t="e">
        <f t="shared" si="17"/>
        <v>#N/A</v>
      </c>
      <c r="AA74" s="21" t="e">
        <f t="shared" si="18"/>
        <v>#N/A</v>
      </c>
      <c r="AB74" s="21" t="e">
        <f t="shared" si="19"/>
        <v>#N/A</v>
      </c>
      <c r="AC74" s="21" t="e">
        <f t="shared" si="20"/>
        <v>#N/A</v>
      </c>
      <c r="AD74" s="21" t="e">
        <f t="shared" si="21"/>
        <v>#N/A</v>
      </c>
      <c r="AE74" s="21" t="e">
        <f t="shared" si="22"/>
        <v>#N/A</v>
      </c>
      <c r="AF74" s="18" t="s">
        <v>95</v>
      </c>
      <c r="AH74" t="str">
        <f>Instructions!I12</f>
        <v>No pick yet</v>
      </c>
    </row>
    <row r="75" spans="2:34">
      <c r="B75" s="58"/>
      <c r="C75" s="14"/>
      <c r="D75" s="32" t="str">
        <f t="shared" si="0"/>
        <v/>
      </c>
      <c r="E75" s="18"/>
      <c r="F75" s="18"/>
      <c r="G75" s="21" t="s">
        <v>170</v>
      </c>
      <c r="I75" s="33" t="e">
        <f t="shared" si="1"/>
        <v>#N/A</v>
      </c>
      <c r="J75" s="34" t="e">
        <f t="shared" si="2"/>
        <v>#N/A</v>
      </c>
      <c r="K75" s="21" t="e">
        <f t="shared" si="3"/>
        <v>#N/A</v>
      </c>
      <c r="L75" s="35" t="e">
        <f t="shared" si="4"/>
        <v>#N/A</v>
      </c>
      <c r="M75" s="36" t="e">
        <f t="shared" si="5"/>
        <v>#N/A</v>
      </c>
      <c r="N75" s="29" t="s">
        <v>77</v>
      </c>
      <c r="O75" s="21" t="e">
        <f t="shared" si="6"/>
        <v>#N/A</v>
      </c>
      <c r="P75" s="21" t="e">
        <f t="shared" si="7"/>
        <v>#N/A</v>
      </c>
      <c r="Q75" s="21" t="e">
        <f t="shared" si="8"/>
        <v>#N/A</v>
      </c>
      <c r="R75" s="21" t="e">
        <f t="shared" si="9"/>
        <v>#N/A</v>
      </c>
      <c r="S75" s="21" t="e">
        <f t="shared" si="10"/>
        <v>#N/A</v>
      </c>
      <c r="T75" s="21" t="e">
        <f t="shared" si="11"/>
        <v>#N/A</v>
      </c>
      <c r="U75" s="21" t="e">
        <f t="shared" si="12"/>
        <v>#N/A</v>
      </c>
      <c r="V75" s="21" t="e">
        <f t="shared" si="13"/>
        <v>#N/A</v>
      </c>
      <c r="W75" s="21" t="e">
        <f t="shared" si="14"/>
        <v>#N/A</v>
      </c>
      <c r="X75" s="21" t="e">
        <f t="shared" si="15"/>
        <v>#N/A</v>
      </c>
      <c r="Y75" s="21" t="e">
        <f t="shared" si="16"/>
        <v>#N/A</v>
      </c>
      <c r="Z75" s="21" t="e">
        <f t="shared" si="17"/>
        <v>#N/A</v>
      </c>
      <c r="AA75" s="21" t="e">
        <f t="shared" si="18"/>
        <v>#N/A</v>
      </c>
      <c r="AB75" s="21" t="e">
        <f t="shared" si="19"/>
        <v>#N/A</v>
      </c>
      <c r="AC75" s="21" t="e">
        <f t="shared" si="20"/>
        <v>#N/A</v>
      </c>
      <c r="AD75" s="21" t="e">
        <f t="shared" si="21"/>
        <v>#N/A</v>
      </c>
      <c r="AE75" s="21" t="e">
        <f t="shared" si="22"/>
        <v>#N/A</v>
      </c>
      <c r="AF75" s="18" t="s">
        <v>95</v>
      </c>
      <c r="AH75">
        <f>Instructions!I17</f>
        <v>40</v>
      </c>
    </row>
    <row r="76" spans="2:34">
      <c r="B76" s="68"/>
      <c r="C76" s="14"/>
      <c r="D76" s="32" t="str">
        <f t="shared" si="0"/>
        <v/>
      </c>
      <c r="E76" s="18"/>
      <c r="F76" s="18"/>
      <c r="G76" s="21" t="s">
        <v>171</v>
      </c>
      <c r="I76" s="33" t="e">
        <f t="shared" si="1"/>
        <v>#N/A</v>
      </c>
      <c r="J76" s="34" t="e">
        <f t="shared" si="2"/>
        <v>#N/A</v>
      </c>
      <c r="K76" s="21" t="e">
        <f t="shared" si="3"/>
        <v>#N/A</v>
      </c>
      <c r="L76" s="35" t="e">
        <f t="shared" si="4"/>
        <v>#N/A</v>
      </c>
      <c r="M76" s="36" t="e">
        <f t="shared" si="5"/>
        <v>#N/A</v>
      </c>
      <c r="N76" s="29" t="s">
        <v>77</v>
      </c>
      <c r="O76" s="21" t="e">
        <f t="shared" si="6"/>
        <v>#N/A</v>
      </c>
      <c r="P76" s="21" t="e">
        <f t="shared" si="7"/>
        <v>#N/A</v>
      </c>
      <c r="Q76" s="21" t="e">
        <f t="shared" si="8"/>
        <v>#N/A</v>
      </c>
      <c r="R76" s="21" t="e">
        <f t="shared" si="9"/>
        <v>#N/A</v>
      </c>
      <c r="S76" s="21" t="e">
        <f t="shared" si="10"/>
        <v>#N/A</v>
      </c>
      <c r="T76" s="21" t="e">
        <f t="shared" si="11"/>
        <v>#N/A</v>
      </c>
      <c r="U76" s="21" t="e">
        <f t="shared" si="12"/>
        <v>#N/A</v>
      </c>
      <c r="V76" s="21" t="e">
        <f t="shared" si="13"/>
        <v>#N/A</v>
      </c>
      <c r="W76" s="21" t="e">
        <f t="shared" si="14"/>
        <v>#N/A</v>
      </c>
      <c r="X76" s="21" t="e">
        <f t="shared" si="15"/>
        <v>#N/A</v>
      </c>
      <c r="Y76" s="21" t="e">
        <f t="shared" si="16"/>
        <v>#N/A</v>
      </c>
      <c r="Z76" s="21" t="e">
        <f t="shared" si="17"/>
        <v>#N/A</v>
      </c>
      <c r="AA76" s="21" t="e">
        <f t="shared" si="18"/>
        <v>#N/A</v>
      </c>
      <c r="AB76" s="21" t="e">
        <f t="shared" si="19"/>
        <v>#N/A</v>
      </c>
      <c r="AC76" s="21" t="e">
        <f t="shared" si="20"/>
        <v>#N/A</v>
      </c>
      <c r="AD76" s="21" t="e">
        <f t="shared" si="21"/>
        <v>#N/A</v>
      </c>
      <c r="AE76" s="21" t="e">
        <f t="shared" si="22"/>
        <v>#N/A</v>
      </c>
      <c r="AF76" s="18" t="s">
        <v>95</v>
      </c>
      <c r="AH76" t="str">
        <f>Instructions!J12</f>
        <v>k yet</v>
      </c>
    </row>
    <row r="77" spans="2:34">
      <c r="B77" s="58"/>
      <c r="C77" s="14"/>
      <c r="D77" s="32" t="str">
        <f t="shared" si="0"/>
        <v/>
      </c>
      <c r="E77" s="18"/>
      <c r="F77" s="18"/>
      <c r="G77" s="21" t="s">
        <v>172</v>
      </c>
      <c r="I77" s="33" t="e">
        <f t="shared" si="1"/>
        <v>#N/A</v>
      </c>
      <c r="J77" s="34" t="e">
        <f t="shared" si="2"/>
        <v>#N/A</v>
      </c>
      <c r="K77" s="21" t="e">
        <f t="shared" si="3"/>
        <v>#N/A</v>
      </c>
      <c r="L77" s="35" t="e">
        <f t="shared" si="4"/>
        <v>#N/A</v>
      </c>
      <c r="M77" s="36" t="e">
        <f t="shared" si="5"/>
        <v>#N/A</v>
      </c>
      <c r="N77" s="29" t="s">
        <v>77</v>
      </c>
      <c r="O77" s="21" t="e">
        <f t="shared" si="6"/>
        <v>#N/A</v>
      </c>
      <c r="P77" s="21" t="e">
        <f t="shared" si="7"/>
        <v>#N/A</v>
      </c>
      <c r="Q77" s="21" t="e">
        <f t="shared" si="8"/>
        <v>#N/A</v>
      </c>
      <c r="R77" s="21" t="e">
        <f t="shared" si="9"/>
        <v>#N/A</v>
      </c>
      <c r="S77" s="21" t="e">
        <f t="shared" si="10"/>
        <v>#N/A</v>
      </c>
      <c r="T77" s="21" t="e">
        <f t="shared" si="11"/>
        <v>#N/A</v>
      </c>
      <c r="U77" s="21" t="e">
        <f t="shared" si="12"/>
        <v>#N/A</v>
      </c>
      <c r="V77" s="21" t="e">
        <f t="shared" si="13"/>
        <v>#N/A</v>
      </c>
      <c r="W77" s="21" t="e">
        <f t="shared" si="14"/>
        <v>#N/A</v>
      </c>
      <c r="X77" s="21" t="e">
        <f t="shared" si="15"/>
        <v>#N/A</v>
      </c>
      <c r="Y77" s="21" t="e">
        <f t="shared" si="16"/>
        <v>#N/A</v>
      </c>
      <c r="Z77" s="21" t="e">
        <f t="shared" si="17"/>
        <v>#N/A</v>
      </c>
      <c r="AA77" s="21" t="e">
        <f t="shared" si="18"/>
        <v>#N/A</v>
      </c>
      <c r="AB77" s="21" t="e">
        <f t="shared" si="19"/>
        <v>#N/A</v>
      </c>
      <c r="AC77" s="21" t="e">
        <f t="shared" si="20"/>
        <v>#N/A</v>
      </c>
      <c r="AD77" s="21" t="e">
        <f t="shared" si="21"/>
        <v>#N/A</v>
      </c>
      <c r="AE77" s="21" t="e">
        <f t="shared" si="22"/>
        <v>#N/A</v>
      </c>
      <c r="AF77" s="18" t="s">
        <v>95</v>
      </c>
    </row>
    <row r="78" spans="2:34">
      <c r="B78" s="58"/>
      <c r="C78" s="14"/>
      <c r="D78" s="32" t="str">
        <f t="shared" si="0"/>
        <v/>
      </c>
      <c r="E78" s="18"/>
      <c r="F78" s="18"/>
      <c r="G78" s="21" t="s">
        <v>173</v>
      </c>
      <c r="I78" s="33" t="e">
        <f t="shared" si="1"/>
        <v>#N/A</v>
      </c>
      <c r="J78" s="34" t="e">
        <f t="shared" si="2"/>
        <v>#N/A</v>
      </c>
      <c r="K78" s="21" t="e">
        <f t="shared" si="3"/>
        <v>#N/A</v>
      </c>
      <c r="L78" s="35" t="e">
        <f t="shared" si="4"/>
        <v>#N/A</v>
      </c>
      <c r="M78" s="36" t="e">
        <f t="shared" si="5"/>
        <v>#N/A</v>
      </c>
      <c r="N78" s="29" t="s">
        <v>77</v>
      </c>
      <c r="O78" s="21" t="e">
        <f t="shared" si="6"/>
        <v>#N/A</v>
      </c>
      <c r="P78" s="21" t="e">
        <f t="shared" si="7"/>
        <v>#N/A</v>
      </c>
      <c r="Q78" s="21" t="e">
        <f t="shared" si="8"/>
        <v>#N/A</v>
      </c>
      <c r="R78" s="21" t="e">
        <f t="shared" si="9"/>
        <v>#N/A</v>
      </c>
      <c r="S78" s="21" t="e">
        <f t="shared" si="10"/>
        <v>#N/A</v>
      </c>
      <c r="T78" s="21" t="e">
        <f t="shared" si="11"/>
        <v>#N/A</v>
      </c>
      <c r="U78" s="21" t="e">
        <f t="shared" si="12"/>
        <v>#N/A</v>
      </c>
      <c r="V78" s="21" t="e">
        <f t="shared" si="13"/>
        <v>#N/A</v>
      </c>
      <c r="W78" s="21" t="e">
        <f t="shared" si="14"/>
        <v>#N/A</v>
      </c>
      <c r="X78" s="21" t="e">
        <f t="shared" si="15"/>
        <v>#N/A</v>
      </c>
      <c r="Y78" s="21" t="e">
        <f t="shared" si="16"/>
        <v>#N/A</v>
      </c>
      <c r="Z78" s="21" t="e">
        <f t="shared" si="17"/>
        <v>#N/A</v>
      </c>
      <c r="AA78" s="21" t="e">
        <f t="shared" si="18"/>
        <v>#N/A</v>
      </c>
      <c r="AB78" s="21" t="e">
        <f t="shared" si="19"/>
        <v>#N/A</v>
      </c>
      <c r="AC78" s="21" t="e">
        <f t="shared" si="20"/>
        <v>#N/A</v>
      </c>
      <c r="AD78" s="21" t="e">
        <f t="shared" si="21"/>
        <v>#N/A</v>
      </c>
      <c r="AE78" s="21" t="e">
        <f t="shared" si="22"/>
        <v>#N/A</v>
      </c>
      <c r="AF78" s="18" t="s">
        <v>95</v>
      </c>
    </row>
    <row r="79" spans="2:34">
      <c r="B79" s="37"/>
      <c r="C79" s="14"/>
      <c r="D79" s="32" t="str">
        <f t="shared" si="0"/>
        <v/>
      </c>
      <c r="E79" s="18"/>
      <c r="F79" s="18"/>
      <c r="G79" s="21" t="s">
        <v>174</v>
      </c>
      <c r="I79" s="33" t="e">
        <f t="shared" si="1"/>
        <v>#N/A</v>
      </c>
      <c r="J79" s="34" t="e">
        <f t="shared" si="2"/>
        <v>#N/A</v>
      </c>
      <c r="K79" s="21" t="e">
        <f t="shared" si="3"/>
        <v>#N/A</v>
      </c>
      <c r="L79" s="35" t="e">
        <f t="shared" si="4"/>
        <v>#N/A</v>
      </c>
      <c r="M79" s="36" t="e">
        <f t="shared" si="5"/>
        <v>#N/A</v>
      </c>
      <c r="N79" s="29" t="s">
        <v>77</v>
      </c>
      <c r="O79" s="21" t="e">
        <f t="shared" si="6"/>
        <v>#N/A</v>
      </c>
      <c r="P79" s="21" t="e">
        <f t="shared" si="7"/>
        <v>#N/A</v>
      </c>
      <c r="Q79" s="21" t="e">
        <f t="shared" si="8"/>
        <v>#N/A</v>
      </c>
      <c r="R79" s="21" t="e">
        <f t="shared" si="9"/>
        <v>#N/A</v>
      </c>
      <c r="S79" s="21" t="e">
        <f t="shared" si="10"/>
        <v>#N/A</v>
      </c>
      <c r="T79" s="21" t="e">
        <f t="shared" si="11"/>
        <v>#N/A</v>
      </c>
      <c r="U79" s="21" t="e">
        <f t="shared" si="12"/>
        <v>#N/A</v>
      </c>
      <c r="V79" s="21" t="e">
        <f t="shared" si="13"/>
        <v>#N/A</v>
      </c>
      <c r="W79" s="21" t="e">
        <f t="shared" si="14"/>
        <v>#N/A</v>
      </c>
      <c r="X79" s="21" t="e">
        <f t="shared" si="15"/>
        <v>#N/A</v>
      </c>
      <c r="Y79" s="21" t="e">
        <f t="shared" si="16"/>
        <v>#N/A</v>
      </c>
      <c r="Z79" s="21" t="e">
        <f t="shared" si="17"/>
        <v>#N/A</v>
      </c>
      <c r="AA79" s="21" t="e">
        <f t="shared" si="18"/>
        <v>#N/A</v>
      </c>
      <c r="AB79" s="21" t="e">
        <f t="shared" si="19"/>
        <v>#N/A</v>
      </c>
      <c r="AC79" s="21" t="e">
        <f t="shared" si="20"/>
        <v>#N/A</v>
      </c>
      <c r="AD79" s="21" t="e">
        <f t="shared" si="21"/>
        <v>#N/A</v>
      </c>
      <c r="AE79" s="21" t="e">
        <f t="shared" si="22"/>
        <v>#N/A</v>
      </c>
      <c r="AF79" s="18" t="s">
        <v>95</v>
      </c>
    </row>
    <row r="80" spans="2:34">
      <c r="B80" s="58"/>
      <c r="C80" s="14"/>
      <c r="D80" s="32" t="str">
        <f t="shared" si="0"/>
        <v/>
      </c>
      <c r="E80" s="18"/>
      <c r="F80" s="18"/>
      <c r="G80" s="21" t="s">
        <v>175</v>
      </c>
      <c r="H80" s="4"/>
      <c r="I80" s="33" t="e">
        <f t="shared" si="1"/>
        <v>#N/A</v>
      </c>
      <c r="J80" s="34" t="e">
        <f t="shared" si="2"/>
        <v>#N/A</v>
      </c>
      <c r="K80" s="21" t="e">
        <f t="shared" si="3"/>
        <v>#N/A</v>
      </c>
      <c r="L80" s="35" t="e">
        <f t="shared" si="4"/>
        <v>#N/A</v>
      </c>
      <c r="M80" s="36" t="e">
        <f t="shared" si="5"/>
        <v>#N/A</v>
      </c>
      <c r="N80" s="29" t="s">
        <v>77</v>
      </c>
      <c r="O80" s="21" t="e">
        <f t="shared" si="6"/>
        <v>#N/A</v>
      </c>
      <c r="P80" s="21" t="e">
        <f t="shared" si="7"/>
        <v>#N/A</v>
      </c>
      <c r="Q80" s="21" t="e">
        <f t="shared" si="8"/>
        <v>#N/A</v>
      </c>
      <c r="R80" s="21" t="e">
        <f t="shared" si="9"/>
        <v>#N/A</v>
      </c>
      <c r="S80" s="21" t="e">
        <f t="shared" si="10"/>
        <v>#N/A</v>
      </c>
      <c r="T80" s="21" t="e">
        <f t="shared" si="11"/>
        <v>#N/A</v>
      </c>
      <c r="U80" s="21" t="e">
        <f t="shared" si="12"/>
        <v>#N/A</v>
      </c>
      <c r="V80" s="21" t="e">
        <f t="shared" si="13"/>
        <v>#N/A</v>
      </c>
      <c r="W80" s="21" t="e">
        <f t="shared" si="14"/>
        <v>#N/A</v>
      </c>
      <c r="X80" s="21" t="e">
        <f t="shared" si="15"/>
        <v>#N/A</v>
      </c>
      <c r="Y80" s="21" t="e">
        <f t="shared" si="16"/>
        <v>#N/A</v>
      </c>
      <c r="Z80" s="21" t="e">
        <f t="shared" si="17"/>
        <v>#N/A</v>
      </c>
      <c r="AA80" s="21" t="e">
        <f t="shared" si="18"/>
        <v>#N/A</v>
      </c>
      <c r="AB80" s="21" t="e">
        <f t="shared" si="19"/>
        <v>#N/A</v>
      </c>
      <c r="AC80" s="21" t="e">
        <f t="shared" si="20"/>
        <v>#N/A</v>
      </c>
      <c r="AD80" s="21" t="e">
        <f t="shared" si="21"/>
        <v>#N/A</v>
      </c>
      <c r="AE80" s="21" t="e">
        <f t="shared" si="22"/>
        <v>#N/A</v>
      </c>
      <c r="AF80" s="18" t="s">
        <v>95</v>
      </c>
    </row>
    <row r="81" spans="1:32">
      <c r="A81" s="38"/>
      <c r="B81" s="37"/>
      <c r="C81" s="38"/>
      <c r="D81" s="32" t="str">
        <f t="shared" si="0"/>
        <v/>
      </c>
      <c r="E81" s="38"/>
      <c r="F81" s="18"/>
      <c r="G81" s="21" t="s">
        <v>176</v>
      </c>
      <c r="H81" s="39"/>
      <c r="I81" s="33" t="e">
        <f t="shared" si="1"/>
        <v>#N/A</v>
      </c>
      <c r="J81" s="34" t="e">
        <f t="shared" si="2"/>
        <v>#N/A</v>
      </c>
      <c r="K81" s="21" t="e">
        <f t="shared" si="3"/>
        <v>#N/A</v>
      </c>
      <c r="L81" s="35" t="e">
        <f t="shared" si="4"/>
        <v>#N/A</v>
      </c>
      <c r="M81" s="36" t="e">
        <f t="shared" si="5"/>
        <v>#N/A</v>
      </c>
      <c r="N81" s="29" t="s">
        <v>77</v>
      </c>
      <c r="O81" s="21" t="e">
        <f t="shared" si="6"/>
        <v>#N/A</v>
      </c>
      <c r="P81" s="21" t="e">
        <f t="shared" si="7"/>
        <v>#N/A</v>
      </c>
      <c r="Q81" s="21" t="e">
        <f t="shared" si="8"/>
        <v>#N/A</v>
      </c>
      <c r="R81" s="21" t="e">
        <f t="shared" si="9"/>
        <v>#N/A</v>
      </c>
      <c r="S81" s="21" t="e">
        <f t="shared" si="10"/>
        <v>#N/A</v>
      </c>
      <c r="T81" s="21" t="e">
        <f t="shared" si="11"/>
        <v>#N/A</v>
      </c>
      <c r="U81" s="21" t="e">
        <f t="shared" si="12"/>
        <v>#N/A</v>
      </c>
      <c r="V81" s="21" t="e">
        <f t="shared" si="13"/>
        <v>#N/A</v>
      </c>
      <c r="W81" s="21" t="e">
        <f t="shared" si="14"/>
        <v>#N/A</v>
      </c>
      <c r="X81" s="21" t="e">
        <f t="shared" si="15"/>
        <v>#N/A</v>
      </c>
      <c r="Y81" s="21" t="e">
        <f t="shared" si="16"/>
        <v>#N/A</v>
      </c>
      <c r="Z81" s="21" t="e">
        <f t="shared" si="17"/>
        <v>#N/A</v>
      </c>
      <c r="AA81" s="21" t="e">
        <f t="shared" si="18"/>
        <v>#N/A</v>
      </c>
      <c r="AB81" s="21" t="e">
        <f t="shared" si="19"/>
        <v>#N/A</v>
      </c>
      <c r="AC81" s="21" t="e">
        <f t="shared" si="20"/>
        <v>#N/A</v>
      </c>
      <c r="AD81" s="21" t="e">
        <f t="shared" si="21"/>
        <v>#N/A</v>
      </c>
      <c r="AE81" s="21" t="e">
        <f t="shared" si="22"/>
        <v>#N/A</v>
      </c>
      <c r="AF81" s="18" t="s">
        <v>95</v>
      </c>
    </row>
    <row r="82" spans="1:32">
      <c r="A82" s="38"/>
      <c r="B82" s="58"/>
      <c r="C82" s="40"/>
      <c r="D82" s="32" t="str">
        <f t="shared" si="0"/>
        <v/>
      </c>
      <c r="E82" s="38"/>
      <c r="F82"/>
      <c r="G82" s="21" t="s">
        <v>177</v>
      </c>
      <c r="H82" s="9"/>
      <c r="I82" s="33" t="e">
        <f t="shared" si="1"/>
        <v>#N/A</v>
      </c>
      <c r="J82" s="34" t="e">
        <f t="shared" si="2"/>
        <v>#N/A</v>
      </c>
      <c r="K82" s="21" t="e">
        <f t="shared" si="3"/>
        <v>#N/A</v>
      </c>
      <c r="L82" s="35" t="e">
        <f t="shared" si="4"/>
        <v>#N/A</v>
      </c>
      <c r="M82" s="36" t="e">
        <f t="shared" si="5"/>
        <v>#N/A</v>
      </c>
      <c r="N82" s="29" t="s">
        <v>77</v>
      </c>
      <c r="O82" s="21" t="e">
        <f t="shared" si="6"/>
        <v>#N/A</v>
      </c>
      <c r="P82" s="21" t="e">
        <f t="shared" si="7"/>
        <v>#N/A</v>
      </c>
      <c r="Q82" s="21" t="e">
        <f t="shared" si="8"/>
        <v>#N/A</v>
      </c>
      <c r="R82" s="21" t="e">
        <f t="shared" si="9"/>
        <v>#N/A</v>
      </c>
      <c r="S82" s="21" t="e">
        <f t="shared" si="10"/>
        <v>#N/A</v>
      </c>
      <c r="T82" s="21" t="e">
        <f t="shared" si="11"/>
        <v>#N/A</v>
      </c>
      <c r="U82" s="21" t="e">
        <f t="shared" si="12"/>
        <v>#N/A</v>
      </c>
      <c r="V82" s="21" t="e">
        <f t="shared" si="13"/>
        <v>#N/A</v>
      </c>
      <c r="W82" s="21" t="e">
        <f t="shared" si="14"/>
        <v>#N/A</v>
      </c>
      <c r="X82" s="21" t="e">
        <f t="shared" si="15"/>
        <v>#N/A</v>
      </c>
      <c r="Y82" s="21" t="e">
        <f t="shared" si="16"/>
        <v>#N/A</v>
      </c>
      <c r="Z82" s="21" t="e">
        <f t="shared" si="17"/>
        <v>#N/A</v>
      </c>
      <c r="AA82" s="21" t="e">
        <f t="shared" si="18"/>
        <v>#N/A</v>
      </c>
      <c r="AB82" s="21" t="e">
        <f t="shared" si="19"/>
        <v>#N/A</v>
      </c>
      <c r="AC82" s="21" t="e">
        <f t="shared" si="20"/>
        <v>#N/A</v>
      </c>
      <c r="AD82" s="21" t="e">
        <f t="shared" si="21"/>
        <v>#N/A</v>
      </c>
      <c r="AE82" s="21" t="e">
        <f t="shared" si="22"/>
        <v>#N/A</v>
      </c>
      <c r="AF82" s="18" t="s">
        <v>95</v>
      </c>
    </row>
    <row r="83" spans="1:32">
      <c r="A83" s="38"/>
      <c r="B83" s="58"/>
      <c r="C83" s="40"/>
      <c r="D83" s="32" t="str">
        <f t="shared" si="0"/>
        <v/>
      </c>
      <c r="E83" s="41"/>
      <c r="F83" s="22"/>
      <c r="G83" s="21" t="s">
        <v>178</v>
      </c>
      <c r="H83" s="13"/>
      <c r="I83" s="33" t="e">
        <f t="shared" si="1"/>
        <v>#N/A</v>
      </c>
      <c r="J83" s="34" t="e">
        <f t="shared" si="2"/>
        <v>#N/A</v>
      </c>
      <c r="K83" s="21" t="e">
        <f t="shared" si="3"/>
        <v>#N/A</v>
      </c>
      <c r="L83" s="35" t="e">
        <f t="shared" si="4"/>
        <v>#N/A</v>
      </c>
      <c r="M83" s="36" t="e">
        <f t="shared" si="5"/>
        <v>#N/A</v>
      </c>
      <c r="N83" s="29" t="s">
        <v>77</v>
      </c>
      <c r="O83" s="21" t="e">
        <f t="shared" si="6"/>
        <v>#N/A</v>
      </c>
      <c r="P83" s="21" t="e">
        <f t="shared" si="7"/>
        <v>#N/A</v>
      </c>
      <c r="Q83" s="21" t="e">
        <f t="shared" si="8"/>
        <v>#N/A</v>
      </c>
      <c r="R83" s="21" t="e">
        <f t="shared" si="9"/>
        <v>#N/A</v>
      </c>
      <c r="S83" s="21" t="e">
        <f t="shared" si="10"/>
        <v>#N/A</v>
      </c>
      <c r="T83" s="21" t="e">
        <f t="shared" si="11"/>
        <v>#N/A</v>
      </c>
      <c r="U83" s="21" t="e">
        <f t="shared" si="12"/>
        <v>#N/A</v>
      </c>
      <c r="V83" s="21" t="e">
        <f t="shared" si="13"/>
        <v>#N/A</v>
      </c>
      <c r="W83" s="21" t="e">
        <f t="shared" si="14"/>
        <v>#N/A</v>
      </c>
      <c r="X83" s="21" t="e">
        <f t="shared" si="15"/>
        <v>#N/A</v>
      </c>
      <c r="Y83" s="21" t="e">
        <f t="shared" si="16"/>
        <v>#N/A</v>
      </c>
      <c r="Z83" s="21" t="e">
        <f t="shared" si="17"/>
        <v>#N/A</v>
      </c>
      <c r="AA83" s="21" t="e">
        <f t="shared" si="18"/>
        <v>#N/A</v>
      </c>
      <c r="AB83" s="21" t="e">
        <f t="shared" si="19"/>
        <v>#N/A</v>
      </c>
      <c r="AC83" s="21" t="e">
        <f t="shared" si="20"/>
        <v>#N/A</v>
      </c>
      <c r="AD83" s="21" t="e">
        <f t="shared" si="21"/>
        <v>#N/A</v>
      </c>
      <c r="AE83" s="21" t="e">
        <f t="shared" si="22"/>
        <v>#N/A</v>
      </c>
      <c r="AF83" s="18" t="s">
        <v>95</v>
      </c>
    </row>
    <row r="84" spans="1:32">
      <c r="A84" s="40"/>
      <c r="B84" s="58"/>
      <c r="C84" s="40"/>
      <c r="D84" s="32" t="str">
        <f t="shared" si="0"/>
        <v/>
      </c>
      <c r="E84" s="38"/>
      <c r="G84" s="21" t="s">
        <v>179</v>
      </c>
      <c r="H84" s="13"/>
      <c r="I84" s="33" t="e">
        <f t="shared" si="1"/>
        <v>#N/A</v>
      </c>
      <c r="J84" s="34" t="e">
        <f t="shared" si="2"/>
        <v>#N/A</v>
      </c>
      <c r="K84" s="21" t="e">
        <f t="shared" si="3"/>
        <v>#N/A</v>
      </c>
      <c r="L84" s="35" t="e">
        <f t="shared" si="4"/>
        <v>#N/A</v>
      </c>
      <c r="M84" s="36" t="e">
        <f t="shared" si="5"/>
        <v>#N/A</v>
      </c>
      <c r="N84" s="29" t="s">
        <v>77</v>
      </c>
      <c r="O84" s="21" t="e">
        <f t="shared" si="6"/>
        <v>#N/A</v>
      </c>
      <c r="P84" s="21" t="e">
        <f t="shared" si="7"/>
        <v>#N/A</v>
      </c>
      <c r="Q84" s="21" t="e">
        <f t="shared" si="8"/>
        <v>#N/A</v>
      </c>
      <c r="R84" s="21" t="e">
        <f t="shared" si="9"/>
        <v>#N/A</v>
      </c>
      <c r="S84" s="21" t="e">
        <f t="shared" si="10"/>
        <v>#N/A</v>
      </c>
      <c r="T84" s="21" t="e">
        <f t="shared" si="11"/>
        <v>#N/A</v>
      </c>
      <c r="U84" s="21" t="e">
        <f t="shared" si="12"/>
        <v>#N/A</v>
      </c>
      <c r="V84" s="21" t="e">
        <f t="shared" si="13"/>
        <v>#N/A</v>
      </c>
      <c r="W84" s="21" t="e">
        <f t="shared" si="14"/>
        <v>#N/A</v>
      </c>
      <c r="X84" s="21" t="e">
        <f t="shared" si="15"/>
        <v>#N/A</v>
      </c>
      <c r="Y84" s="21" t="e">
        <f t="shared" si="16"/>
        <v>#N/A</v>
      </c>
      <c r="Z84" s="21" t="e">
        <f t="shared" si="17"/>
        <v>#N/A</v>
      </c>
      <c r="AA84" s="21" t="e">
        <f t="shared" si="18"/>
        <v>#N/A</v>
      </c>
      <c r="AB84" s="21" t="e">
        <f t="shared" si="19"/>
        <v>#N/A</v>
      </c>
      <c r="AC84" s="21" t="e">
        <f t="shared" si="20"/>
        <v>#N/A</v>
      </c>
      <c r="AD84" s="21" t="e">
        <f t="shared" si="21"/>
        <v>#N/A</v>
      </c>
      <c r="AE84" s="21" t="e">
        <f t="shared" si="22"/>
        <v>#N/A</v>
      </c>
      <c r="AF84" s="18" t="s">
        <v>95</v>
      </c>
    </row>
    <row r="85" spans="1:32">
      <c r="A85" s="42"/>
      <c r="B85" s="37"/>
      <c r="C85" s="40"/>
      <c r="D85" s="32" t="str">
        <f t="shared" si="0"/>
        <v/>
      </c>
      <c r="E85" s="18"/>
      <c r="G85" s="21" t="s">
        <v>180</v>
      </c>
      <c r="H85" s="13"/>
      <c r="I85" s="33" t="e">
        <f t="shared" si="1"/>
        <v>#N/A</v>
      </c>
      <c r="J85" s="34" t="e">
        <f t="shared" si="2"/>
        <v>#N/A</v>
      </c>
      <c r="K85" s="21" t="e">
        <f t="shared" si="3"/>
        <v>#N/A</v>
      </c>
      <c r="L85" s="35" t="e">
        <f t="shared" si="4"/>
        <v>#N/A</v>
      </c>
      <c r="M85" s="36" t="e">
        <f t="shared" si="5"/>
        <v>#N/A</v>
      </c>
      <c r="N85" s="29" t="s">
        <v>77</v>
      </c>
      <c r="O85" s="21" t="e">
        <f t="shared" si="6"/>
        <v>#N/A</v>
      </c>
      <c r="P85" s="21" t="e">
        <f t="shared" si="7"/>
        <v>#N/A</v>
      </c>
      <c r="Q85" s="21" t="e">
        <f t="shared" si="8"/>
        <v>#N/A</v>
      </c>
      <c r="R85" s="21" t="e">
        <f t="shared" si="9"/>
        <v>#N/A</v>
      </c>
      <c r="S85" s="21" t="e">
        <f t="shared" si="10"/>
        <v>#N/A</v>
      </c>
      <c r="T85" s="21" t="e">
        <f t="shared" si="11"/>
        <v>#N/A</v>
      </c>
      <c r="U85" s="21" t="e">
        <f t="shared" si="12"/>
        <v>#N/A</v>
      </c>
      <c r="V85" s="21" t="e">
        <f t="shared" si="13"/>
        <v>#N/A</v>
      </c>
      <c r="W85" s="21" t="e">
        <f t="shared" si="14"/>
        <v>#N/A</v>
      </c>
      <c r="X85" s="21" t="e">
        <f t="shared" si="15"/>
        <v>#N/A</v>
      </c>
      <c r="Y85" s="21" t="e">
        <f t="shared" si="16"/>
        <v>#N/A</v>
      </c>
      <c r="Z85" s="21" t="e">
        <f t="shared" si="17"/>
        <v>#N/A</v>
      </c>
      <c r="AA85" s="21" t="e">
        <f t="shared" si="18"/>
        <v>#N/A</v>
      </c>
      <c r="AB85" s="21" t="e">
        <f t="shared" si="19"/>
        <v>#N/A</v>
      </c>
      <c r="AC85" s="21" t="e">
        <f t="shared" si="20"/>
        <v>#N/A</v>
      </c>
      <c r="AD85" s="21" t="e">
        <f t="shared" si="21"/>
        <v>#N/A</v>
      </c>
      <c r="AE85" s="21" t="e">
        <f t="shared" si="22"/>
        <v>#N/A</v>
      </c>
      <c r="AF85" s="18" t="s">
        <v>95</v>
      </c>
    </row>
    <row r="86" spans="1:32">
      <c r="A86" s="42"/>
      <c r="B86" s="37"/>
      <c r="C86" s="40"/>
      <c r="D86" s="32" t="str">
        <f t="shared" si="0"/>
        <v/>
      </c>
      <c r="E86" s="18"/>
      <c r="G86" s="21" t="s">
        <v>181</v>
      </c>
      <c r="H86" s="13"/>
      <c r="I86" s="33" t="e">
        <f t="shared" si="1"/>
        <v>#N/A</v>
      </c>
      <c r="J86" s="34" t="e">
        <f t="shared" si="2"/>
        <v>#N/A</v>
      </c>
      <c r="K86" s="21" t="e">
        <f t="shared" si="3"/>
        <v>#N/A</v>
      </c>
      <c r="L86" s="35" t="e">
        <f t="shared" si="4"/>
        <v>#N/A</v>
      </c>
      <c r="M86" s="36" t="e">
        <f t="shared" si="5"/>
        <v>#N/A</v>
      </c>
      <c r="N86" s="29" t="s">
        <v>77</v>
      </c>
      <c r="O86" s="21" t="e">
        <f t="shared" si="6"/>
        <v>#N/A</v>
      </c>
      <c r="P86" s="21" t="e">
        <f t="shared" si="7"/>
        <v>#N/A</v>
      </c>
      <c r="Q86" s="21" t="e">
        <f t="shared" si="8"/>
        <v>#N/A</v>
      </c>
      <c r="R86" s="21" t="e">
        <f t="shared" si="9"/>
        <v>#N/A</v>
      </c>
      <c r="S86" s="21" t="e">
        <f t="shared" si="10"/>
        <v>#N/A</v>
      </c>
      <c r="T86" s="21" t="e">
        <f t="shared" si="11"/>
        <v>#N/A</v>
      </c>
      <c r="U86" s="21" t="e">
        <f t="shared" si="12"/>
        <v>#N/A</v>
      </c>
      <c r="V86" s="21" t="e">
        <f t="shared" si="13"/>
        <v>#N/A</v>
      </c>
      <c r="W86" s="21" t="e">
        <f t="shared" si="14"/>
        <v>#N/A</v>
      </c>
      <c r="X86" s="21" t="e">
        <f t="shared" si="15"/>
        <v>#N/A</v>
      </c>
      <c r="Y86" s="21" t="e">
        <f t="shared" si="16"/>
        <v>#N/A</v>
      </c>
      <c r="Z86" s="21" t="e">
        <f t="shared" si="17"/>
        <v>#N/A</v>
      </c>
      <c r="AA86" s="21" t="e">
        <f t="shared" si="18"/>
        <v>#N/A</v>
      </c>
      <c r="AB86" s="21" t="e">
        <f t="shared" si="19"/>
        <v>#N/A</v>
      </c>
      <c r="AC86" s="21" t="e">
        <f t="shared" si="20"/>
        <v>#N/A</v>
      </c>
      <c r="AD86" s="21" t="e">
        <f t="shared" si="21"/>
        <v>#N/A</v>
      </c>
      <c r="AE86" s="21" t="e">
        <f t="shared" si="22"/>
        <v>#N/A</v>
      </c>
      <c r="AF86" s="18" t="s">
        <v>95</v>
      </c>
    </row>
    <row r="87" spans="1:32">
      <c r="A87" s="42"/>
      <c r="B87" s="37"/>
      <c r="C87" s="40"/>
      <c r="D87" s="32" t="str">
        <f t="shared" si="0"/>
        <v/>
      </c>
      <c r="E87" s="18"/>
      <c r="G87" s="21" t="s">
        <v>182</v>
      </c>
      <c r="H87" s="13"/>
      <c r="I87" s="33" t="e">
        <f t="shared" si="1"/>
        <v>#N/A</v>
      </c>
      <c r="J87" s="34" t="e">
        <f t="shared" si="2"/>
        <v>#N/A</v>
      </c>
      <c r="K87" s="21" t="e">
        <f t="shared" si="3"/>
        <v>#N/A</v>
      </c>
      <c r="L87" s="35" t="e">
        <f t="shared" si="4"/>
        <v>#N/A</v>
      </c>
      <c r="M87" s="36" t="e">
        <f t="shared" si="5"/>
        <v>#N/A</v>
      </c>
      <c r="N87" s="29" t="s">
        <v>77</v>
      </c>
      <c r="O87" s="21" t="e">
        <f t="shared" si="6"/>
        <v>#N/A</v>
      </c>
      <c r="P87" s="21" t="e">
        <f t="shared" si="7"/>
        <v>#N/A</v>
      </c>
      <c r="Q87" s="21" t="e">
        <f t="shared" si="8"/>
        <v>#N/A</v>
      </c>
      <c r="R87" s="21" t="e">
        <f t="shared" si="9"/>
        <v>#N/A</v>
      </c>
      <c r="S87" s="21" t="e">
        <f t="shared" si="10"/>
        <v>#N/A</v>
      </c>
      <c r="T87" s="21" t="e">
        <f t="shared" si="11"/>
        <v>#N/A</v>
      </c>
      <c r="U87" s="21" t="e">
        <f t="shared" si="12"/>
        <v>#N/A</v>
      </c>
      <c r="V87" s="21" t="e">
        <f t="shared" si="13"/>
        <v>#N/A</v>
      </c>
      <c r="W87" s="21" t="e">
        <f t="shared" si="14"/>
        <v>#N/A</v>
      </c>
      <c r="X87" s="21" t="e">
        <f t="shared" si="15"/>
        <v>#N/A</v>
      </c>
      <c r="Y87" s="21" t="e">
        <f t="shared" si="16"/>
        <v>#N/A</v>
      </c>
      <c r="Z87" s="21" t="e">
        <f t="shared" si="17"/>
        <v>#N/A</v>
      </c>
      <c r="AA87" s="21" t="e">
        <f t="shared" si="18"/>
        <v>#N/A</v>
      </c>
      <c r="AB87" s="21" t="e">
        <f t="shared" si="19"/>
        <v>#N/A</v>
      </c>
      <c r="AC87" s="21" t="e">
        <f t="shared" si="20"/>
        <v>#N/A</v>
      </c>
      <c r="AD87" s="21" t="e">
        <f t="shared" si="21"/>
        <v>#N/A</v>
      </c>
      <c r="AE87" s="21" t="e">
        <f t="shared" si="22"/>
        <v>#N/A</v>
      </c>
      <c r="AF87" s="18" t="s">
        <v>95</v>
      </c>
    </row>
    <row r="88" spans="1:32">
      <c r="A88" s="42"/>
      <c r="B88" s="37"/>
      <c r="C88" s="40"/>
      <c r="D88" s="32" t="str">
        <f t="shared" si="0"/>
        <v/>
      </c>
      <c r="E88" s="38"/>
      <c r="F88" s="18"/>
      <c r="G88" s="21" t="s">
        <v>183</v>
      </c>
      <c r="H88" s="13"/>
      <c r="I88" s="33" t="e">
        <f t="shared" si="1"/>
        <v>#N/A</v>
      </c>
      <c r="J88" s="34" t="e">
        <f t="shared" si="2"/>
        <v>#N/A</v>
      </c>
      <c r="K88" s="21" t="e">
        <f t="shared" si="3"/>
        <v>#N/A</v>
      </c>
      <c r="L88" s="35" t="e">
        <f t="shared" si="4"/>
        <v>#N/A</v>
      </c>
      <c r="M88" s="36" t="e">
        <f t="shared" si="5"/>
        <v>#N/A</v>
      </c>
      <c r="N88" s="29" t="s">
        <v>77</v>
      </c>
      <c r="O88" s="21" t="e">
        <f t="shared" si="6"/>
        <v>#N/A</v>
      </c>
      <c r="P88" s="21" t="e">
        <f t="shared" si="7"/>
        <v>#N/A</v>
      </c>
      <c r="Q88" s="21" t="e">
        <f t="shared" si="8"/>
        <v>#N/A</v>
      </c>
      <c r="R88" s="21" t="e">
        <f t="shared" si="9"/>
        <v>#N/A</v>
      </c>
      <c r="S88" s="21" t="e">
        <f t="shared" si="10"/>
        <v>#N/A</v>
      </c>
      <c r="T88" s="21" t="e">
        <f t="shared" si="11"/>
        <v>#N/A</v>
      </c>
      <c r="U88" s="21" t="e">
        <f t="shared" si="12"/>
        <v>#N/A</v>
      </c>
      <c r="V88" s="21" t="e">
        <f t="shared" si="13"/>
        <v>#N/A</v>
      </c>
      <c r="W88" s="21" t="e">
        <f t="shared" si="14"/>
        <v>#N/A</v>
      </c>
      <c r="X88" s="21" t="e">
        <f t="shared" si="15"/>
        <v>#N/A</v>
      </c>
      <c r="Y88" s="21" t="e">
        <f t="shared" si="16"/>
        <v>#N/A</v>
      </c>
      <c r="Z88" s="21" t="e">
        <f t="shared" si="17"/>
        <v>#N/A</v>
      </c>
      <c r="AA88" s="21" t="e">
        <f t="shared" si="18"/>
        <v>#N/A</v>
      </c>
      <c r="AB88" s="21" t="e">
        <f t="shared" si="19"/>
        <v>#N/A</v>
      </c>
      <c r="AC88" s="21" t="e">
        <f t="shared" si="20"/>
        <v>#N/A</v>
      </c>
      <c r="AD88" s="21" t="e">
        <f t="shared" si="21"/>
        <v>#N/A</v>
      </c>
      <c r="AE88" s="21" t="e">
        <f t="shared" si="22"/>
        <v>#N/A</v>
      </c>
      <c r="AF88" s="18" t="s">
        <v>95</v>
      </c>
    </row>
    <row r="89" spans="1:32">
      <c r="A89" s="42"/>
      <c r="B89" s="37"/>
      <c r="C89" s="40"/>
      <c r="D89" s="32" t="str">
        <f t="shared" si="0"/>
        <v/>
      </c>
      <c r="E89" s="38"/>
      <c r="F89" s="18"/>
      <c r="G89" s="21" t="s">
        <v>184</v>
      </c>
      <c r="H89" s="13"/>
      <c r="I89" s="33" t="e">
        <f t="shared" si="1"/>
        <v>#N/A</v>
      </c>
      <c r="J89" s="34" t="e">
        <f t="shared" si="2"/>
        <v>#N/A</v>
      </c>
      <c r="K89" s="21" t="e">
        <f t="shared" si="3"/>
        <v>#N/A</v>
      </c>
      <c r="L89" s="35" t="e">
        <f t="shared" si="4"/>
        <v>#N/A</v>
      </c>
      <c r="M89" s="36" t="e">
        <f t="shared" si="5"/>
        <v>#N/A</v>
      </c>
      <c r="N89" s="29" t="s">
        <v>77</v>
      </c>
      <c r="O89" s="21" t="e">
        <f t="shared" si="6"/>
        <v>#N/A</v>
      </c>
      <c r="P89" s="21" t="e">
        <f t="shared" si="7"/>
        <v>#N/A</v>
      </c>
      <c r="Q89" s="21" t="e">
        <f t="shared" si="8"/>
        <v>#N/A</v>
      </c>
      <c r="R89" s="21" t="e">
        <f t="shared" si="9"/>
        <v>#N/A</v>
      </c>
      <c r="S89" s="21" t="e">
        <f t="shared" si="10"/>
        <v>#N/A</v>
      </c>
      <c r="T89" s="21" t="e">
        <f t="shared" si="11"/>
        <v>#N/A</v>
      </c>
      <c r="U89" s="21" t="e">
        <f t="shared" si="12"/>
        <v>#N/A</v>
      </c>
      <c r="V89" s="21" t="e">
        <f t="shared" si="13"/>
        <v>#N/A</v>
      </c>
      <c r="W89" s="21" t="e">
        <f t="shared" si="14"/>
        <v>#N/A</v>
      </c>
      <c r="X89" s="21" t="e">
        <f t="shared" si="15"/>
        <v>#N/A</v>
      </c>
      <c r="Y89" s="21" t="e">
        <f t="shared" si="16"/>
        <v>#N/A</v>
      </c>
      <c r="Z89" s="21" t="e">
        <f t="shared" si="17"/>
        <v>#N/A</v>
      </c>
      <c r="AA89" s="21" t="e">
        <f t="shared" si="18"/>
        <v>#N/A</v>
      </c>
      <c r="AB89" s="21" t="e">
        <f t="shared" si="19"/>
        <v>#N/A</v>
      </c>
      <c r="AC89" s="21" t="e">
        <f t="shared" si="20"/>
        <v>#N/A</v>
      </c>
      <c r="AD89" s="21" t="e">
        <f t="shared" si="21"/>
        <v>#N/A</v>
      </c>
      <c r="AE89" s="21" t="e">
        <f t="shared" si="22"/>
        <v>#N/A</v>
      </c>
      <c r="AF89" s="18" t="s">
        <v>95</v>
      </c>
    </row>
    <row r="90" spans="1:32">
      <c r="A90" s="42"/>
      <c r="B90" s="37"/>
      <c r="C90" s="40"/>
      <c r="D90" s="32" t="str">
        <f t="shared" si="0"/>
        <v/>
      </c>
      <c r="E90" s="41"/>
      <c r="F90" s="18"/>
      <c r="G90" s="21" t="s">
        <v>185</v>
      </c>
      <c r="H90" s="13"/>
      <c r="I90" s="33" t="e">
        <f t="shared" si="1"/>
        <v>#N/A</v>
      </c>
      <c r="J90" s="34" t="e">
        <f t="shared" si="2"/>
        <v>#N/A</v>
      </c>
      <c r="K90" s="21" t="e">
        <f t="shared" si="3"/>
        <v>#N/A</v>
      </c>
      <c r="L90" s="35" t="e">
        <f t="shared" si="4"/>
        <v>#N/A</v>
      </c>
      <c r="M90" s="36" t="e">
        <f t="shared" si="5"/>
        <v>#N/A</v>
      </c>
      <c r="N90" s="29" t="s">
        <v>77</v>
      </c>
      <c r="O90" s="21" t="e">
        <f t="shared" si="6"/>
        <v>#N/A</v>
      </c>
      <c r="P90" s="21" t="e">
        <f t="shared" si="7"/>
        <v>#N/A</v>
      </c>
      <c r="Q90" s="21" t="e">
        <f t="shared" si="8"/>
        <v>#N/A</v>
      </c>
      <c r="R90" s="21" t="e">
        <f t="shared" si="9"/>
        <v>#N/A</v>
      </c>
      <c r="S90" s="21" t="e">
        <f t="shared" si="10"/>
        <v>#N/A</v>
      </c>
      <c r="T90" s="21" t="e">
        <f t="shared" si="11"/>
        <v>#N/A</v>
      </c>
      <c r="U90" s="21" t="e">
        <f t="shared" si="12"/>
        <v>#N/A</v>
      </c>
      <c r="V90" s="21" t="e">
        <f t="shared" si="13"/>
        <v>#N/A</v>
      </c>
      <c r="W90" s="21" t="e">
        <f t="shared" si="14"/>
        <v>#N/A</v>
      </c>
      <c r="X90" s="21" t="e">
        <f t="shared" si="15"/>
        <v>#N/A</v>
      </c>
      <c r="Y90" s="21" t="e">
        <f t="shared" si="16"/>
        <v>#N/A</v>
      </c>
      <c r="Z90" s="21" t="e">
        <f t="shared" si="17"/>
        <v>#N/A</v>
      </c>
      <c r="AA90" s="21" t="e">
        <f t="shared" si="18"/>
        <v>#N/A</v>
      </c>
      <c r="AB90" s="21" t="e">
        <f t="shared" si="19"/>
        <v>#N/A</v>
      </c>
      <c r="AC90" s="21" t="e">
        <f t="shared" si="20"/>
        <v>#N/A</v>
      </c>
      <c r="AD90" s="21" t="e">
        <f t="shared" si="21"/>
        <v>#N/A</v>
      </c>
      <c r="AE90" s="21" t="e">
        <f t="shared" si="22"/>
        <v>#N/A</v>
      </c>
      <c r="AF90" s="18" t="s">
        <v>95</v>
      </c>
    </row>
    <row r="91" spans="1:32">
      <c r="A91" s="42"/>
      <c r="B91" s="37"/>
      <c r="C91" s="40"/>
      <c r="D91" s="32" t="str">
        <f t="shared" si="0"/>
        <v/>
      </c>
      <c r="E91" s="38"/>
      <c r="F91" s="18"/>
      <c r="G91" s="21" t="s">
        <v>186</v>
      </c>
      <c r="H91" s="13"/>
      <c r="I91" s="33" t="e">
        <f t="shared" si="1"/>
        <v>#N/A</v>
      </c>
      <c r="J91" s="34" t="e">
        <f t="shared" si="2"/>
        <v>#N/A</v>
      </c>
      <c r="K91" s="21" t="e">
        <f t="shared" si="3"/>
        <v>#N/A</v>
      </c>
      <c r="L91" s="35" t="e">
        <f t="shared" si="4"/>
        <v>#N/A</v>
      </c>
      <c r="M91" s="36" t="e">
        <f t="shared" si="5"/>
        <v>#N/A</v>
      </c>
      <c r="N91" s="29" t="s">
        <v>77</v>
      </c>
      <c r="O91" s="21" t="e">
        <f t="shared" si="6"/>
        <v>#N/A</v>
      </c>
      <c r="P91" s="21" t="e">
        <f t="shared" si="7"/>
        <v>#N/A</v>
      </c>
      <c r="Q91" s="21" t="e">
        <f t="shared" si="8"/>
        <v>#N/A</v>
      </c>
      <c r="R91" s="21" t="e">
        <f t="shared" si="9"/>
        <v>#N/A</v>
      </c>
      <c r="S91" s="21" t="e">
        <f t="shared" si="10"/>
        <v>#N/A</v>
      </c>
      <c r="T91" s="21" t="e">
        <f t="shared" si="11"/>
        <v>#N/A</v>
      </c>
      <c r="U91" s="21" t="e">
        <f t="shared" si="12"/>
        <v>#N/A</v>
      </c>
      <c r="V91" s="21" t="e">
        <f t="shared" si="13"/>
        <v>#N/A</v>
      </c>
      <c r="W91" s="21" t="e">
        <f t="shared" si="14"/>
        <v>#N/A</v>
      </c>
      <c r="X91" s="21" t="e">
        <f t="shared" si="15"/>
        <v>#N/A</v>
      </c>
      <c r="Y91" s="21" t="e">
        <f t="shared" si="16"/>
        <v>#N/A</v>
      </c>
      <c r="Z91" s="21" t="e">
        <f t="shared" si="17"/>
        <v>#N/A</v>
      </c>
      <c r="AA91" s="21" t="e">
        <f t="shared" si="18"/>
        <v>#N/A</v>
      </c>
      <c r="AB91" s="21" t="e">
        <f t="shared" si="19"/>
        <v>#N/A</v>
      </c>
      <c r="AC91" s="21" t="e">
        <f t="shared" si="20"/>
        <v>#N/A</v>
      </c>
      <c r="AD91" s="21" t="e">
        <f t="shared" si="21"/>
        <v>#N/A</v>
      </c>
      <c r="AE91" s="21" t="e">
        <f t="shared" si="22"/>
        <v>#N/A</v>
      </c>
      <c r="AF91" s="18" t="s">
        <v>95</v>
      </c>
    </row>
    <row r="92" spans="1:32">
      <c r="A92" s="42"/>
      <c r="B92" s="37"/>
      <c r="C92" s="40"/>
      <c r="D92" s="32" t="str">
        <f t="shared" si="0"/>
        <v/>
      </c>
      <c r="E92" s="18"/>
      <c r="F92" s="18"/>
      <c r="G92" s="21" t="s">
        <v>187</v>
      </c>
      <c r="H92" s="13"/>
      <c r="I92" s="33" t="e">
        <f t="shared" si="1"/>
        <v>#N/A</v>
      </c>
      <c r="J92" s="34" t="e">
        <f t="shared" si="2"/>
        <v>#N/A</v>
      </c>
      <c r="K92" s="21" t="e">
        <f t="shared" si="3"/>
        <v>#N/A</v>
      </c>
      <c r="L92" s="35" t="e">
        <f t="shared" si="4"/>
        <v>#N/A</v>
      </c>
      <c r="M92" s="36" t="e">
        <f t="shared" si="5"/>
        <v>#N/A</v>
      </c>
      <c r="N92" s="29" t="s">
        <v>77</v>
      </c>
      <c r="O92" s="21" t="e">
        <f t="shared" si="6"/>
        <v>#N/A</v>
      </c>
      <c r="P92" s="21" t="e">
        <f t="shared" si="7"/>
        <v>#N/A</v>
      </c>
      <c r="Q92" s="21" t="e">
        <f t="shared" si="8"/>
        <v>#N/A</v>
      </c>
      <c r="R92" s="21" t="e">
        <f t="shared" si="9"/>
        <v>#N/A</v>
      </c>
      <c r="S92" s="21" t="e">
        <f t="shared" si="10"/>
        <v>#N/A</v>
      </c>
      <c r="T92" s="21" t="e">
        <f t="shared" si="11"/>
        <v>#N/A</v>
      </c>
      <c r="U92" s="21" t="e">
        <f t="shared" si="12"/>
        <v>#N/A</v>
      </c>
      <c r="V92" s="21" t="e">
        <f t="shared" si="13"/>
        <v>#N/A</v>
      </c>
      <c r="W92" s="21" t="e">
        <f t="shared" si="14"/>
        <v>#N/A</v>
      </c>
      <c r="X92" s="21" t="e">
        <f t="shared" si="15"/>
        <v>#N/A</v>
      </c>
      <c r="Y92" s="21" t="e">
        <f t="shared" si="16"/>
        <v>#N/A</v>
      </c>
      <c r="Z92" s="21" t="e">
        <f t="shared" si="17"/>
        <v>#N/A</v>
      </c>
      <c r="AA92" s="21" t="e">
        <f t="shared" si="18"/>
        <v>#N/A</v>
      </c>
      <c r="AB92" s="21" t="e">
        <f t="shared" si="19"/>
        <v>#N/A</v>
      </c>
      <c r="AC92" s="21" t="e">
        <f t="shared" si="20"/>
        <v>#N/A</v>
      </c>
      <c r="AD92" s="21" t="e">
        <f t="shared" si="21"/>
        <v>#N/A</v>
      </c>
      <c r="AE92" s="21" t="e">
        <f t="shared" si="22"/>
        <v>#N/A</v>
      </c>
      <c r="AF92" s="18" t="s">
        <v>95</v>
      </c>
    </row>
    <row r="93" spans="1:32">
      <c r="A93" s="42"/>
      <c r="B93" s="37"/>
      <c r="C93" s="40"/>
      <c r="D93" s="32" t="str">
        <f t="shared" si="0"/>
        <v/>
      </c>
      <c r="E93" s="18"/>
      <c r="F93" s="18"/>
      <c r="G93" s="21" t="s">
        <v>188</v>
      </c>
      <c r="H93" s="13"/>
      <c r="I93" s="33" t="e">
        <f t="shared" si="1"/>
        <v>#N/A</v>
      </c>
      <c r="J93" s="34" t="e">
        <f t="shared" si="2"/>
        <v>#N/A</v>
      </c>
      <c r="K93" s="21" t="e">
        <f t="shared" si="3"/>
        <v>#N/A</v>
      </c>
      <c r="L93" s="35" t="e">
        <f t="shared" si="4"/>
        <v>#N/A</v>
      </c>
      <c r="M93" s="36" t="e">
        <f t="shared" si="5"/>
        <v>#N/A</v>
      </c>
      <c r="N93" s="29" t="s">
        <v>77</v>
      </c>
      <c r="O93" s="21" t="e">
        <f t="shared" si="6"/>
        <v>#N/A</v>
      </c>
      <c r="P93" s="21" t="e">
        <f t="shared" si="7"/>
        <v>#N/A</v>
      </c>
      <c r="Q93" s="21" t="e">
        <f t="shared" si="8"/>
        <v>#N/A</v>
      </c>
      <c r="R93" s="21" t="e">
        <f t="shared" si="9"/>
        <v>#N/A</v>
      </c>
      <c r="S93" s="21" t="e">
        <f t="shared" si="10"/>
        <v>#N/A</v>
      </c>
      <c r="T93" s="21" t="e">
        <f t="shared" si="11"/>
        <v>#N/A</v>
      </c>
      <c r="U93" s="21" t="e">
        <f t="shared" si="12"/>
        <v>#N/A</v>
      </c>
      <c r="V93" s="21" t="e">
        <f t="shared" si="13"/>
        <v>#N/A</v>
      </c>
      <c r="W93" s="21" t="e">
        <f t="shared" si="14"/>
        <v>#N/A</v>
      </c>
      <c r="X93" s="21" t="e">
        <f t="shared" si="15"/>
        <v>#N/A</v>
      </c>
      <c r="Y93" s="21" t="e">
        <f t="shared" si="16"/>
        <v>#N/A</v>
      </c>
      <c r="Z93" s="21" t="e">
        <f t="shared" si="17"/>
        <v>#N/A</v>
      </c>
      <c r="AA93" s="21" t="e">
        <f t="shared" si="18"/>
        <v>#N/A</v>
      </c>
      <c r="AB93" s="21" t="e">
        <f t="shared" si="19"/>
        <v>#N/A</v>
      </c>
      <c r="AC93" s="21" t="e">
        <f t="shared" si="20"/>
        <v>#N/A</v>
      </c>
      <c r="AD93" s="21" t="e">
        <f t="shared" si="21"/>
        <v>#N/A</v>
      </c>
      <c r="AE93" s="21" t="e">
        <f t="shared" si="22"/>
        <v>#N/A</v>
      </c>
      <c r="AF93" s="18" t="s">
        <v>95</v>
      </c>
    </row>
    <row r="94" spans="1:32">
      <c r="A94" s="42"/>
      <c r="B94" s="37"/>
      <c r="C94" s="40"/>
      <c r="D94" s="32" t="str">
        <f t="shared" si="0"/>
        <v/>
      </c>
      <c r="E94" s="18"/>
      <c r="F94" s="18"/>
      <c r="G94" s="21" t="s">
        <v>189</v>
      </c>
      <c r="H94" s="13"/>
      <c r="I94" s="33" t="e">
        <f t="shared" si="1"/>
        <v>#N/A</v>
      </c>
      <c r="J94" s="34" t="e">
        <f t="shared" si="2"/>
        <v>#N/A</v>
      </c>
      <c r="K94" s="21" t="e">
        <f t="shared" si="3"/>
        <v>#N/A</v>
      </c>
      <c r="L94" s="35" t="e">
        <f t="shared" si="4"/>
        <v>#N/A</v>
      </c>
      <c r="M94" s="36" t="e">
        <f t="shared" si="5"/>
        <v>#N/A</v>
      </c>
      <c r="N94" s="29" t="s">
        <v>77</v>
      </c>
      <c r="O94" s="21" t="e">
        <f t="shared" si="6"/>
        <v>#N/A</v>
      </c>
      <c r="P94" s="21" t="e">
        <f t="shared" si="7"/>
        <v>#N/A</v>
      </c>
      <c r="Q94" s="21" t="e">
        <f t="shared" si="8"/>
        <v>#N/A</v>
      </c>
      <c r="R94" s="21" t="e">
        <f t="shared" si="9"/>
        <v>#N/A</v>
      </c>
      <c r="S94" s="21" t="e">
        <f t="shared" si="10"/>
        <v>#N/A</v>
      </c>
      <c r="T94" s="21" t="e">
        <f t="shared" si="11"/>
        <v>#N/A</v>
      </c>
      <c r="U94" s="21" t="e">
        <f t="shared" si="12"/>
        <v>#N/A</v>
      </c>
      <c r="V94" s="21" t="e">
        <f t="shared" si="13"/>
        <v>#N/A</v>
      </c>
      <c r="W94" s="21" t="e">
        <f t="shared" si="14"/>
        <v>#N/A</v>
      </c>
      <c r="X94" s="21" t="e">
        <f t="shared" si="15"/>
        <v>#N/A</v>
      </c>
      <c r="Y94" s="21" t="e">
        <f t="shared" si="16"/>
        <v>#N/A</v>
      </c>
      <c r="Z94" s="21" t="e">
        <f t="shared" si="17"/>
        <v>#N/A</v>
      </c>
      <c r="AA94" s="21" t="e">
        <f t="shared" si="18"/>
        <v>#N/A</v>
      </c>
      <c r="AB94" s="21" t="e">
        <f t="shared" si="19"/>
        <v>#N/A</v>
      </c>
      <c r="AC94" s="21" t="e">
        <f t="shared" si="20"/>
        <v>#N/A</v>
      </c>
      <c r="AD94" s="21" t="e">
        <f t="shared" si="21"/>
        <v>#N/A</v>
      </c>
      <c r="AE94" s="21" t="e">
        <f t="shared" si="22"/>
        <v>#N/A</v>
      </c>
      <c r="AF94" s="18" t="s">
        <v>95</v>
      </c>
    </row>
    <row r="95" spans="1:32">
      <c r="A95" s="42"/>
      <c r="B95" s="37"/>
      <c r="C95" s="40"/>
      <c r="D95" s="32" t="str">
        <f t="shared" si="0"/>
        <v/>
      </c>
      <c r="E95" s="38"/>
      <c r="F95" s="18"/>
      <c r="G95" s="21" t="s">
        <v>190</v>
      </c>
      <c r="H95" s="13"/>
      <c r="I95" s="33" t="e">
        <f t="shared" si="1"/>
        <v>#N/A</v>
      </c>
      <c r="J95" s="34" t="e">
        <f t="shared" si="2"/>
        <v>#N/A</v>
      </c>
      <c r="K95" s="21" t="e">
        <f t="shared" si="3"/>
        <v>#N/A</v>
      </c>
      <c r="L95" s="35" t="e">
        <f t="shared" si="4"/>
        <v>#N/A</v>
      </c>
      <c r="M95" s="36" t="e">
        <f t="shared" si="5"/>
        <v>#N/A</v>
      </c>
      <c r="N95" s="29" t="s">
        <v>77</v>
      </c>
      <c r="O95" s="21" t="e">
        <f t="shared" si="6"/>
        <v>#N/A</v>
      </c>
      <c r="P95" s="21" t="e">
        <f t="shared" si="7"/>
        <v>#N/A</v>
      </c>
      <c r="Q95" s="21" t="e">
        <f t="shared" si="8"/>
        <v>#N/A</v>
      </c>
      <c r="R95" s="21" t="e">
        <f t="shared" si="9"/>
        <v>#N/A</v>
      </c>
      <c r="S95" s="21" t="e">
        <f t="shared" si="10"/>
        <v>#N/A</v>
      </c>
      <c r="T95" s="21" t="e">
        <f t="shared" si="11"/>
        <v>#N/A</v>
      </c>
      <c r="U95" s="21" t="e">
        <f t="shared" si="12"/>
        <v>#N/A</v>
      </c>
      <c r="V95" s="21" t="e">
        <f t="shared" si="13"/>
        <v>#N/A</v>
      </c>
      <c r="W95" s="21" t="e">
        <f t="shared" si="14"/>
        <v>#N/A</v>
      </c>
      <c r="X95" s="21" t="e">
        <f t="shared" si="15"/>
        <v>#N/A</v>
      </c>
      <c r="Y95" s="21" t="e">
        <f t="shared" si="16"/>
        <v>#N/A</v>
      </c>
      <c r="Z95" s="21" t="e">
        <f t="shared" si="17"/>
        <v>#N/A</v>
      </c>
      <c r="AA95" s="21" t="e">
        <f t="shared" si="18"/>
        <v>#N/A</v>
      </c>
      <c r="AB95" s="21" t="e">
        <f t="shared" si="19"/>
        <v>#N/A</v>
      </c>
      <c r="AC95" s="21" t="e">
        <f t="shared" si="20"/>
        <v>#N/A</v>
      </c>
      <c r="AD95" s="21" t="e">
        <f t="shared" si="21"/>
        <v>#N/A</v>
      </c>
      <c r="AE95" s="21" t="e">
        <f t="shared" si="22"/>
        <v>#N/A</v>
      </c>
      <c r="AF95" s="18" t="s">
        <v>95</v>
      </c>
    </row>
    <row r="96" spans="1:32">
      <c r="A96" s="42"/>
      <c r="B96" s="37"/>
      <c r="C96" s="40"/>
      <c r="D96" s="32" t="str">
        <f t="shared" si="0"/>
        <v/>
      </c>
      <c r="E96" s="38"/>
      <c r="F96" s="18"/>
      <c r="G96" s="21" t="s">
        <v>191</v>
      </c>
      <c r="H96" s="13"/>
      <c r="I96" s="33" t="e">
        <f t="shared" si="1"/>
        <v>#N/A</v>
      </c>
      <c r="J96" s="34" t="e">
        <f t="shared" si="2"/>
        <v>#N/A</v>
      </c>
      <c r="K96" s="21" t="e">
        <f t="shared" si="3"/>
        <v>#N/A</v>
      </c>
      <c r="L96" s="35" t="e">
        <f t="shared" si="4"/>
        <v>#N/A</v>
      </c>
      <c r="M96" s="36" t="e">
        <f t="shared" si="5"/>
        <v>#N/A</v>
      </c>
      <c r="N96" s="29" t="s">
        <v>77</v>
      </c>
      <c r="O96" s="21" t="e">
        <f t="shared" si="6"/>
        <v>#N/A</v>
      </c>
      <c r="P96" s="21" t="e">
        <f t="shared" si="7"/>
        <v>#N/A</v>
      </c>
      <c r="Q96" s="21" t="e">
        <f t="shared" si="8"/>
        <v>#N/A</v>
      </c>
      <c r="R96" s="21" t="e">
        <f t="shared" si="9"/>
        <v>#N/A</v>
      </c>
      <c r="S96" s="21" t="e">
        <f t="shared" si="10"/>
        <v>#N/A</v>
      </c>
      <c r="T96" s="21" t="e">
        <f t="shared" si="11"/>
        <v>#N/A</v>
      </c>
      <c r="U96" s="21" t="e">
        <f t="shared" si="12"/>
        <v>#N/A</v>
      </c>
      <c r="V96" s="21" t="e">
        <f t="shared" si="13"/>
        <v>#N/A</v>
      </c>
      <c r="W96" s="21" t="e">
        <f t="shared" si="14"/>
        <v>#N/A</v>
      </c>
      <c r="X96" s="21" t="e">
        <f t="shared" si="15"/>
        <v>#N/A</v>
      </c>
      <c r="Y96" s="21" t="e">
        <f t="shared" si="16"/>
        <v>#N/A</v>
      </c>
      <c r="Z96" s="21" t="e">
        <f t="shared" si="17"/>
        <v>#N/A</v>
      </c>
      <c r="AA96" s="21" t="e">
        <f t="shared" si="18"/>
        <v>#N/A</v>
      </c>
      <c r="AB96" s="21" t="e">
        <f t="shared" si="19"/>
        <v>#N/A</v>
      </c>
      <c r="AC96" s="21" t="e">
        <f t="shared" si="20"/>
        <v>#N/A</v>
      </c>
      <c r="AD96" s="21" t="e">
        <f t="shared" si="21"/>
        <v>#N/A</v>
      </c>
      <c r="AE96" s="21" t="e">
        <f t="shared" si="22"/>
        <v>#N/A</v>
      </c>
      <c r="AF96" s="18" t="s">
        <v>95</v>
      </c>
    </row>
    <row r="97" spans="1:32">
      <c r="A97" s="42"/>
      <c r="B97" s="37"/>
      <c r="C97" s="40"/>
      <c r="D97" s="32" t="str">
        <f t="shared" si="0"/>
        <v/>
      </c>
      <c r="E97" s="41"/>
      <c r="F97" s="18"/>
      <c r="G97" s="21" t="s">
        <v>192</v>
      </c>
      <c r="H97" s="13"/>
      <c r="I97" s="33" t="e">
        <f t="shared" si="1"/>
        <v>#N/A</v>
      </c>
      <c r="J97" s="34" t="e">
        <f t="shared" si="2"/>
        <v>#N/A</v>
      </c>
      <c r="K97" s="21" t="e">
        <f t="shared" si="3"/>
        <v>#N/A</v>
      </c>
      <c r="L97" s="35" t="e">
        <f t="shared" si="4"/>
        <v>#N/A</v>
      </c>
      <c r="M97" s="36" t="e">
        <f t="shared" si="5"/>
        <v>#N/A</v>
      </c>
      <c r="N97" s="29" t="s">
        <v>77</v>
      </c>
      <c r="O97" s="21" t="e">
        <f t="shared" si="6"/>
        <v>#N/A</v>
      </c>
      <c r="P97" s="21" t="e">
        <f t="shared" si="7"/>
        <v>#N/A</v>
      </c>
      <c r="Q97" s="21" t="e">
        <f t="shared" si="8"/>
        <v>#N/A</v>
      </c>
      <c r="R97" s="21" t="e">
        <f t="shared" si="9"/>
        <v>#N/A</v>
      </c>
      <c r="S97" s="21" t="e">
        <f t="shared" si="10"/>
        <v>#N/A</v>
      </c>
      <c r="T97" s="21" t="e">
        <f t="shared" si="11"/>
        <v>#N/A</v>
      </c>
      <c r="U97" s="21" t="e">
        <f t="shared" si="12"/>
        <v>#N/A</v>
      </c>
      <c r="V97" s="21" t="e">
        <f t="shared" si="13"/>
        <v>#N/A</v>
      </c>
      <c r="W97" s="21" t="e">
        <f t="shared" si="14"/>
        <v>#N/A</v>
      </c>
      <c r="X97" s="21" t="e">
        <f t="shared" si="15"/>
        <v>#N/A</v>
      </c>
      <c r="Y97" s="21" t="e">
        <f t="shared" si="16"/>
        <v>#N/A</v>
      </c>
      <c r="Z97" s="21" t="e">
        <f t="shared" si="17"/>
        <v>#N/A</v>
      </c>
      <c r="AA97" s="21" t="e">
        <f t="shared" si="18"/>
        <v>#N/A</v>
      </c>
      <c r="AB97" s="21" t="e">
        <f t="shared" si="19"/>
        <v>#N/A</v>
      </c>
      <c r="AC97" s="21" t="e">
        <f t="shared" si="20"/>
        <v>#N/A</v>
      </c>
      <c r="AD97" s="21" t="e">
        <f t="shared" si="21"/>
        <v>#N/A</v>
      </c>
      <c r="AE97" s="21" t="e">
        <f t="shared" si="22"/>
        <v>#N/A</v>
      </c>
      <c r="AF97" s="18" t="s">
        <v>95</v>
      </c>
    </row>
    <row r="98" spans="1:32">
      <c r="A98" s="38"/>
      <c r="B98" s="37"/>
      <c r="C98" s="40"/>
      <c r="D98" s="32" t="str">
        <f t="shared" si="0"/>
        <v/>
      </c>
      <c r="E98" s="38"/>
      <c r="F98" s="22"/>
      <c r="G98" s="21" t="s">
        <v>193</v>
      </c>
      <c r="H98" s="13"/>
      <c r="I98" s="33" t="e">
        <f t="shared" si="1"/>
        <v>#N/A</v>
      </c>
      <c r="J98" s="34" t="e">
        <f t="shared" si="2"/>
        <v>#N/A</v>
      </c>
      <c r="K98" s="21" t="e">
        <f t="shared" si="3"/>
        <v>#N/A</v>
      </c>
      <c r="L98" s="35" t="e">
        <f t="shared" si="4"/>
        <v>#N/A</v>
      </c>
      <c r="M98" s="36" t="e">
        <f t="shared" si="5"/>
        <v>#N/A</v>
      </c>
      <c r="N98" s="29" t="s">
        <v>77</v>
      </c>
      <c r="O98" s="21" t="e">
        <f t="shared" si="6"/>
        <v>#N/A</v>
      </c>
      <c r="P98" s="21" t="e">
        <f t="shared" si="7"/>
        <v>#N/A</v>
      </c>
      <c r="Q98" s="21" t="e">
        <f t="shared" si="8"/>
        <v>#N/A</v>
      </c>
      <c r="R98" s="21" t="e">
        <f t="shared" si="9"/>
        <v>#N/A</v>
      </c>
      <c r="S98" s="21" t="e">
        <f t="shared" si="10"/>
        <v>#N/A</v>
      </c>
      <c r="T98" s="21" t="e">
        <f t="shared" si="11"/>
        <v>#N/A</v>
      </c>
      <c r="U98" s="21" t="e">
        <f t="shared" si="12"/>
        <v>#N/A</v>
      </c>
      <c r="V98" s="21" t="e">
        <f t="shared" si="13"/>
        <v>#N/A</v>
      </c>
      <c r="W98" s="21" t="e">
        <f t="shared" si="14"/>
        <v>#N/A</v>
      </c>
      <c r="X98" s="21" t="e">
        <f t="shared" si="15"/>
        <v>#N/A</v>
      </c>
      <c r="Y98" s="21" t="e">
        <f t="shared" si="16"/>
        <v>#N/A</v>
      </c>
      <c r="Z98" s="21" t="e">
        <f t="shared" si="17"/>
        <v>#N/A</v>
      </c>
      <c r="AA98" s="21" t="e">
        <f t="shared" si="18"/>
        <v>#N/A</v>
      </c>
      <c r="AB98" s="21" t="e">
        <f t="shared" si="19"/>
        <v>#N/A</v>
      </c>
      <c r="AC98" s="21" t="e">
        <f t="shared" si="20"/>
        <v>#N/A</v>
      </c>
      <c r="AD98" s="21" t="e">
        <f t="shared" si="21"/>
        <v>#N/A</v>
      </c>
      <c r="AE98" s="21" t="e">
        <f t="shared" si="22"/>
        <v>#N/A</v>
      </c>
      <c r="AF98" s="18" t="s">
        <v>95</v>
      </c>
    </row>
    <row r="99" spans="1:32">
      <c r="A99" s="40"/>
      <c r="B99" s="37"/>
      <c r="C99" s="40"/>
      <c r="D99" s="32" t="str">
        <f t="shared" si="0"/>
        <v/>
      </c>
      <c r="E99" s="18"/>
      <c r="G99" s="21" t="s">
        <v>194</v>
      </c>
      <c r="H99" s="13"/>
      <c r="I99" s="33" t="e">
        <f t="shared" si="1"/>
        <v>#N/A</v>
      </c>
      <c r="J99" s="34" t="e">
        <f t="shared" si="2"/>
        <v>#N/A</v>
      </c>
      <c r="K99" s="21" t="e">
        <f t="shared" si="3"/>
        <v>#N/A</v>
      </c>
      <c r="L99" s="35" t="e">
        <f t="shared" si="4"/>
        <v>#N/A</v>
      </c>
      <c r="M99" s="36" t="e">
        <f t="shared" si="5"/>
        <v>#N/A</v>
      </c>
      <c r="N99" s="29" t="s">
        <v>77</v>
      </c>
      <c r="O99" s="21" t="e">
        <f t="shared" si="6"/>
        <v>#N/A</v>
      </c>
      <c r="P99" s="21" t="e">
        <f t="shared" si="7"/>
        <v>#N/A</v>
      </c>
      <c r="Q99" s="21" t="e">
        <f t="shared" si="8"/>
        <v>#N/A</v>
      </c>
      <c r="R99" s="21" t="e">
        <f t="shared" si="9"/>
        <v>#N/A</v>
      </c>
      <c r="S99" s="21" t="e">
        <f t="shared" si="10"/>
        <v>#N/A</v>
      </c>
      <c r="T99" s="21" t="e">
        <f t="shared" si="11"/>
        <v>#N/A</v>
      </c>
      <c r="U99" s="21" t="e">
        <f t="shared" si="12"/>
        <v>#N/A</v>
      </c>
      <c r="V99" s="21" t="e">
        <f t="shared" si="13"/>
        <v>#N/A</v>
      </c>
      <c r="W99" s="21" t="e">
        <f t="shared" si="14"/>
        <v>#N/A</v>
      </c>
      <c r="X99" s="21" t="e">
        <f t="shared" si="15"/>
        <v>#N/A</v>
      </c>
      <c r="Y99" s="21" t="e">
        <f t="shared" si="16"/>
        <v>#N/A</v>
      </c>
      <c r="Z99" s="21" t="e">
        <f t="shared" si="17"/>
        <v>#N/A</v>
      </c>
      <c r="AA99" s="21" t="e">
        <f t="shared" si="18"/>
        <v>#N/A</v>
      </c>
      <c r="AB99" s="21" t="e">
        <f t="shared" si="19"/>
        <v>#N/A</v>
      </c>
      <c r="AC99" s="21" t="e">
        <f t="shared" si="20"/>
        <v>#N/A</v>
      </c>
      <c r="AD99" s="21" t="e">
        <f t="shared" si="21"/>
        <v>#N/A</v>
      </c>
      <c r="AE99" s="21" t="e">
        <f t="shared" si="22"/>
        <v>#N/A</v>
      </c>
      <c r="AF99" s="18" t="s">
        <v>95</v>
      </c>
    </row>
    <row r="100" spans="1:32">
      <c r="A100" s="42"/>
      <c r="B100" s="37"/>
      <c r="C100" s="40"/>
      <c r="D100" s="32" t="str">
        <f t="shared" si="0"/>
        <v/>
      </c>
      <c r="E100" s="18"/>
      <c r="G100" s="21" t="s">
        <v>195</v>
      </c>
      <c r="H100" s="13"/>
      <c r="I100" s="33" t="e">
        <f t="shared" si="1"/>
        <v>#N/A</v>
      </c>
      <c r="J100" s="34" t="e">
        <f t="shared" si="2"/>
        <v>#N/A</v>
      </c>
      <c r="K100" s="21" t="e">
        <f t="shared" si="3"/>
        <v>#N/A</v>
      </c>
      <c r="L100" s="35" t="e">
        <f t="shared" si="4"/>
        <v>#N/A</v>
      </c>
      <c r="M100" s="36" t="e">
        <f t="shared" si="5"/>
        <v>#N/A</v>
      </c>
      <c r="N100" s="29" t="s">
        <v>77</v>
      </c>
      <c r="O100" s="21" t="e">
        <f t="shared" si="6"/>
        <v>#N/A</v>
      </c>
      <c r="P100" s="21" t="e">
        <f t="shared" si="7"/>
        <v>#N/A</v>
      </c>
      <c r="Q100" s="21" t="e">
        <f t="shared" si="8"/>
        <v>#N/A</v>
      </c>
      <c r="R100" s="21" t="e">
        <f t="shared" si="9"/>
        <v>#N/A</v>
      </c>
      <c r="S100" s="21" t="e">
        <f t="shared" si="10"/>
        <v>#N/A</v>
      </c>
      <c r="T100" s="21" t="e">
        <f t="shared" si="11"/>
        <v>#N/A</v>
      </c>
      <c r="U100" s="21" t="e">
        <f t="shared" si="12"/>
        <v>#N/A</v>
      </c>
      <c r="V100" s="21" t="e">
        <f t="shared" si="13"/>
        <v>#N/A</v>
      </c>
      <c r="W100" s="21" t="e">
        <f t="shared" si="14"/>
        <v>#N/A</v>
      </c>
      <c r="X100" s="21" t="e">
        <f t="shared" si="15"/>
        <v>#N/A</v>
      </c>
      <c r="Y100" s="21" t="e">
        <f t="shared" si="16"/>
        <v>#N/A</v>
      </c>
      <c r="Z100" s="21" t="e">
        <f t="shared" si="17"/>
        <v>#N/A</v>
      </c>
      <c r="AA100" s="21" t="e">
        <f t="shared" si="18"/>
        <v>#N/A</v>
      </c>
      <c r="AB100" s="21" t="e">
        <f t="shared" si="19"/>
        <v>#N/A</v>
      </c>
      <c r="AC100" s="21" t="e">
        <f t="shared" si="20"/>
        <v>#N/A</v>
      </c>
      <c r="AD100" s="21" t="e">
        <f t="shared" si="21"/>
        <v>#N/A</v>
      </c>
      <c r="AE100" s="21" t="e">
        <f t="shared" si="22"/>
        <v>#N/A</v>
      </c>
      <c r="AF100" s="18" t="s">
        <v>95</v>
      </c>
    </row>
    <row r="101" spans="1:32">
      <c r="A101" s="42"/>
      <c r="B101" s="37"/>
      <c r="C101" s="40"/>
      <c r="D101" s="32" t="str">
        <f t="shared" si="0"/>
        <v/>
      </c>
      <c r="E101" s="18"/>
      <c r="G101" s="21" t="s">
        <v>196</v>
      </c>
      <c r="H101" s="13"/>
      <c r="I101" s="33" t="e">
        <f t="shared" si="1"/>
        <v>#N/A</v>
      </c>
      <c r="J101" s="34" t="e">
        <f t="shared" si="2"/>
        <v>#N/A</v>
      </c>
      <c r="K101" s="21" t="e">
        <f t="shared" si="3"/>
        <v>#N/A</v>
      </c>
      <c r="L101" s="35" t="e">
        <f t="shared" si="4"/>
        <v>#N/A</v>
      </c>
      <c r="M101" s="36" t="e">
        <f t="shared" si="5"/>
        <v>#N/A</v>
      </c>
      <c r="N101" s="29" t="s">
        <v>77</v>
      </c>
      <c r="O101" s="21" t="e">
        <f t="shared" si="6"/>
        <v>#N/A</v>
      </c>
      <c r="P101" s="21" t="e">
        <f t="shared" si="7"/>
        <v>#N/A</v>
      </c>
      <c r="Q101" s="21" t="e">
        <f t="shared" si="8"/>
        <v>#N/A</v>
      </c>
      <c r="R101" s="21" t="e">
        <f t="shared" si="9"/>
        <v>#N/A</v>
      </c>
      <c r="S101" s="21" t="e">
        <f t="shared" si="10"/>
        <v>#N/A</v>
      </c>
      <c r="T101" s="21" t="e">
        <f t="shared" si="11"/>
        <v>#N/A</v>
      </c>
      <c r="U101" s="21" t="e">
        <f t="shared" si="12"/>
        <v>#N/A</v>
      </c>
      <c r="V101" s="21" t="e">
        <f t="shared" si="13"/>
        <v>#N/A</v>
      </c>
      <c r="W101" s="21" t="e">
        <f t="shared" si="14"/>
        <v>#N/A</v>
      </c>
      <c r="X101" s="21" t="e">
        <f t="shared" si="15"/>
        <v>#N/A</v>
      </c>
      <c r="Y101" s="21" t="e">
        <f t="shared" si="16"/>
        <v>#N/A</v>
      </c>
      <c r="Z101" s="21" t="e">
        <f t="shared" si="17"/>
        <v>#N/A</v>
      </c>
      <c r="AA101" s="21" t="e">
        <f t="shared" si="18"/>
        <v>#N/A</v>
      </c>
      <c r="AB101" s="21" t="e">
        <f t="shared" si="19"/>
        <v>#N/A</v>
      </c>
      <c r="AC101" s="21" t="e">
        <f t="shared" si="20"/>
        <v>#N/A</v>
      </c>
      <c r="AD101" s="21" t="e">
        <f t="shared" si="21"/>
        <v>#N/A</v>
      </c>
      <c r="AE101" s="21" t="e">
        <f t="shared" si="22"/>
        <v>#N/A</v>
      </c>
      <c r="AF101" s="18" t="s">
        <v>95</v>
      </c>
    </row>
    <row r="102" spans="1:32">
      <c r="A102" s="42"/>
      <c r="B102" s="37"/>
      <c r="C102" s="40"/>
      <c r="D102" s="32" t="str">
        <f t="shared" si="0"/>
        <v/>
      </c>
      <c r="E102" s="38"/>
      <c r="G102" s="21" t="s">
        <v>197</v>
      </c>
      <c r="H102" s="13"/>
      <c r="I102" s="33" t="e">
        <f t="shared" si="1"/>
        <v>#N/A</v>
      </c>
      <c r="J102" s="34" t="e">
        <f t="shared" si="2"/>
        <v>#N/A</v>
      </c>
      <c r="K102" s="21" t="e">
        <f t="shared" si="3"/>
        <v>#N/A</v>
      </c>
      <c r="L102" s="35" t="e">
        <f t="shared" si="4"/>
        <v>#N/A</v>
      </c>
      <c r="M102" s="36" t="e">
        <f t="shared" si="5"/>
        <v>#N/A</v>
      </c>
      <c r="N102" s="29" t="s">
        <v>77</v>
      </c>
      <c r="O102" s="21" t="e">
        <f t="shared" si="6"/>
        <v>#N/A</v>
      </c>
      <c r="P102" s="21" t="e">
        <f t="shared" si="7"/>
        <v>#N/A</v>
      </c>
      <c r="Q102" s="21" t="e">
        <f t="shared" si="8"/>
        <v>#N/A</v>
      </c>
      <c r="R102" s="21" t="e">
        <f t="shared" si="9"/>
        <v>#N/A</v>
      </c>
      <c r="S102" s="21" t="e">
        <f t="shared" si="10"/>
        <v>#N/A</v>
      </c>
      <c r="T102" s="21" t="e">
        <f t="shared" si="11"/>
        <v>#N/A</v>
      </c>
      <c r="U102" s="21" t="e">
        <f t="shared" si="12"/>
        <v>#N/A</v>
      </c>
      <c r="V102" s="21" t="e">
        <f t="shared" si="13"/>
        <v>#N/A</v>
      </c>
      <c r="W102" s="21" t="e">
        <f t="shared" si="14"/>
        <v>#N/A</v>
      </c>
      <c r="X102" s="21" t="e">
        <f t="shared" si="15"/>
        <v>#N/A</v>
      </c>
      <c r="Y102" s="21" t="e">
        <f t="shared" si="16"/>
        <v>#N/A</v>
      </c>
      <c r="Z102" s="21" t="e">
        <f t="shared" si="17"/>
        <v>#N/A</v>
      </c>
      <c r="AA102" s="21" t="e">
        <f t="shared" si="18"/>
        <v>#N/A</v>
      </c>
      <c r="AB102" s="21" t="e">
        <f t="shared" si="19"/>
        <v>#N/A</v>
      </c>
      <c r="AC102" s="21" t="e">
        <f t="shared" si="20"/>
        <v>#N/A</v>
      </c>
      <c r="AD102" s="21" t="e">
        <f t="shared" si="21"/>
        <v>#N/A</v>
      </c>
      <c r="AE102" s="21" t="e">
        <f t="shared" si="22"/>
        <v>#N/A</v>
      </c>
      <c r="AF102" s="18" t="s">
        <v>95</v>
      </c>
    </row>
    <row r="103" spans="1:32">
      <c r="A103" s="42"/>
      <c r="B103" s="37"/>
      <c r="C103" s="40"/>
      <c r="D103" s="32" t="str">
        <f t="shared" si="0"/>
        <v/>
      </c>
      <c r="E103" s="38"/>
      <c r="F103" s="18"/>
      <c r="G103" s="21" t="s">
        <v>198</v>
      </c>
      <c r="H103" s="13"/>
      <c r="I103" s="33" t="e">
        <f t="shared" si="1"/>
        <v>#N/A</v>
      </c>
      <c r="J103" s="34" t="e">
        <f t="shared" si="2"/>
        <v>#N/A</v>
      </c>
      <c r="K103" s="21" t="e">
        <f t="shared" si="3"/>
        <v>#N/A</v>
      </c>
      <c r="L103" s="35" t="e">
        <f t="shared" si="4"/>
        <v>#N/A</v>
      </c>
      <c r="M103" s="36" t="e">
        <f t="shared" si="5"/>
        <v>#N/A</v>
      </c>
      <c r="N103" s="29" t="s">
        <v>77</v>
      </c>
      <c r="O103" s="21" t="e">
        <f t="shared" si="6"/>
        <v>#N/A</v>
      </c>
      <c r="P103" s="21" t="e">
        <f t="shared" si="7"/>
        <v>#N/A</v>
      </c>
      <c r="Q103" s="21" t="e">
        <f t="shared" si="8"/>
        <v>#N/A</v>
      </c>
      <c r="R103" s="21" t="e">
        <f t="shared" si="9"/>
        <v>#N/A</v>
      </c>
      <c r="S103" s="21" t="e">
        <f t="shared" si="10"/>
        <v>#N/A</v>
      </c>
      <c r="T103" s="21" t="e">
        <f t="shared" si="11"/>
        <v>#N/A</v>
      </c>
      <c r="U103" s="21" t="e">
        <f t="shared" si="12"/>
        <v>#N/A</v>
      </c>
      <c r="V103" s="21" t="e">
        <f t="shared" si="13"/>
        <v>#N/A</v>
      </c>
      <c r="W103" s="21" t="e">
        <f t="shared" si="14"/>
        <v>#N/A</v>
      </c>
      <c r="X103" s="21" t="e">
        <f t="shared" si="15"/>
        <v>#N/A</v>
      </c>
      <c r="Y103" s="21" t="e">
        <f t="shared" si="16"/>
        <v>#N/A</v>
      </c>
      <c r="Z103" s="21" t="e">
        <f t="shared" si="17"/>
        <v>#N/A</v>
      </c>
      <c r="AA103" s="21" t="e">
        <f t="shared" si="18"/>
        <v>#N/A</v>
      </c>
      <c r="AB103" s="21" t="e">
        <f t="shared" si="19"/>
        <v>#N/A</v>
      </c>
      <c r="AC103" s="21" t="e">
        <f t="shared" si="20"/>
        <v>#N/A</v>
      </c>
      <c r="AD103" s="21" t="e">
        <f t="shared" si="21"/>
        <v>#N/A</v>
      </c>
      <c r="AE103" s="21" t="e">
        <f t="shared" si="22"/>
        <v>#N/A</v>
      </c>
      <c r="AF103" s="18" t="s">
        <v>95</v>
      </c>
    </row>
    <row r="104" spans="1:32">
      <c r="A104" s="42"/>
      <c r="B104" s="37"/>
      <c r="C104" s="40"/>
      <c r="D104" s="32" t="str">
        <f t="shared" si="0"/>
        <v/>
      </c>
      <c r="E104" s="41"/>
      <c r="F104" s="18"/>
      <c r="G104" s="21" t="s">
        <v>199</v>
      </c>
      <c r="H104" s="13"/>
      <c r="I104" s="33" t="e">
        <f t="shared" si="1"/>
        <v>#N/A</v>
      </c>
      <c r="J104" s="34" t="e">
        <f t="shared" si="2"/>
        <v>#N/A</v>
      </c>
      <c r="K104" s="21" t="e">
        <f t="shared" si="3"/>
        <v>#N/A</v>
      </c>
      <c r="L104" s="35" t="e">
        <f t="shared" si="4"/>
        <v>#N/A</v>
      </c>
      <c r="M104" s="36" t="e">
        <f t="shared" si="5"/>
        <v>#N/A</v>
      </c>
      <c r="N104" s="29" t="s">
        <v>77</v>
      </c>
      <c r="O104" s="21" t="e">
        <f t="shared" si="6"/>
        <v>#N/A</v>
      </c>
      <c r="P104" s="21" t="e">
        <f t="shared" si="7"/>
        <v>#N/A</v>
      </c>
      <c r="Q104" s="21" t="e">
        <f t="shared" si="8"/>
        <v>#N/A</v>
      </c>
      <c r="R104" s="21" t="e">
        <f t="shared" si="9"/>
        <v>#N/A</v>
      </c>
      <c r="S104" s="21" t="e">
        <f t="shared" si="10"/>
        <v>#N/A</v>
      </c>
      <c r="T104" s="21" t="e">
        <f t="shared" si="11"/>
        <v>#N/A</v>
      </c>
      <c r="U104" s="21" t="e">
        <f t="shared" si="12"/>
        <v>#N/A</v>
      </c>
      <c r="V104" s="21" t="e">
        <f t="shared" si="13"/>
        <v>#N/A</v>
      </c>
      <c r="W104" s="21" t="e">
        <f t="shared" si="14"/>
        <v>#N/A</v>
      </c>
      <c r="X104" s="21" t="e">
        <f t="shared" si="15"/>
        <v>#N/A</v>
      </c>
      <c r="Y104" s="21" t="e">
        <f t="shared" si="16"/>
        <v>#N/A</v>
      </c>
      <c r="Z104" s="21" t="e">
        <f t="shared" si="17"/>
        <v>#N/A</v>
      </c>
      <c r="AA104" s="21" t="e">
        <f t="shared" si="18"/>
        <v>#N/A</v>
      </c>
      <c r="AB104" s="21" t="e">
        <f t="shared" si="19"/>
        <v>#N/A</v>
      </c>
      <c r="AC104" s="21" t="e">
        <f t="shared" si="20"/>
        <v>#N/A</v>
      </c>
      <c r="AD104" s="21" t="e">
        <f t="shared" si="21"/>
        <v>#N/A</v>
      </c>
      <c r="AE104" s="21" t="e">
        <f t="shared" si="22"/>
        <v>#N/A</v>
      </c>
      <c r="AF104" s="18" t="s">
        <v>95</v>
      </c>
    </row>
    <row r="105" spans="1:32">
      <c r="A105" s="42"/>
      <c r="B105" s="37"/>
      <c r="C105" s="40"/>
      <c r="D105" s="32" t="str">
        <f t="shared" si="0"/>
        <v/>
      </c>
      <c r="E105" s="38"/>
      <c r="F105" s="18"/>
      <c r="G105" s="21" t="s">
        <v>200</v>
      </c>
      <c r="H105" s="13"/>
      <c r="I105" s="33" t="e">
        <f t="shared" si="1"/>
        <v>#N/A</v>
      </c>
      <c r="J105" s="34" t="e">
        <f t="shared" si="2"/>
        <v>#N/A</v>
      </c>
      <c r="K105" s="21" t="e">
        <f t="shared" si="3"/>
        <v>#N/A</v>
      </c>
      <c r="L105" s="35" t="e">
        <f t="shared" si="4"/>
        <v>#N/A</v>
      </c>
      <c r="M105" s="36" t="e">
        <f t="shared" si="5"/>
        <v>#N/A</v>
      </c>
      <c r="N105" s="29" t="s">
        <v>77</v>
      </c>
      <c r="O105" s="21" t="e">
        <f t="shared" si="6"/>
        <v>#N/A</v>
      </c>
      <c r="P105" s="21" t="e">
        <f t="shared" si="7"/>
        <v>#N/A</v>
      </c>
      <c r="Q105" s="21" t="e">
        <f t="shared" si="8"/>
        <v>#N/A</v>
      </c>
      <c r="R105" s="21" t="e">
        <f t="shared" si="9"/>
        <v>#N/A</v>
      </c>
      <c r="S105" s="21" t="e">
        <f t="shared" si="10"/>
        <v>#N/A</v>
      </c>
      <c r="T105" s="21" t="e">
        <f t="shared" si="11"/>
        <v>#N/A</v>
      </c>
      <c r="U105" s="21" t="e">
        <f t="shared" si="12"/>
        <v>#N/A</v>
      </c>
      <c r="V105" s="21" t="e">
        <f t="shared" si="13"/>
        <v>#N/A</v>
      </c>
      <c r="W105" s="21" t="e">
        <f t="shared" si="14"/>
        <v>#N/A</v>
      </c>
      <c r="X105" s="21" t="e">
        <f t="shared" si="15"/>
        <v>#N/A</v>
      </c>
      <c r="Y105" s="21" t="e">
        <f t="shared" si="16"/>
        <v>#N/A</v>
      </c>
      <c r="Z105" s="21" t="e">
        <f t="shared" si="17"/>
        <v>#N/A</v>
      </c>
      <c r="AA105" s="21" t="e">
        <f t="shared" si="18"/>
        <v>#N/A</v>
      </c>
      <c r="AB105" s="21" t="e">
        <f t="shared" si="19"/>
        <v>#N/A</v>
      </c>
      <c r="AC105" s="21" t="e">
        <f t="shared" si="20"/>
        <v>#N/A</v>
      </c>
      <c r="AD105" s="21" t="e">
        <f t="shared" si="21"/>
        <v>#N/A</v>
      </c>
      <c r="AE105" s="21" t="e">
        <f t="shared" si="22"/>
        <v>#N/A</v>
      </c>
      <c r="AF105" s="18" t="s">
        <v>95</v>
      </c>
    </row>
    <row r="106" spans="1:32">
      <c r="A106" s="42"/>
      <c r="B106" s="37"/>
      <c r="C106" s="40"/>
      <c r="D106" s="32" t="str">
        <f t="shared" si="0"/>
        <v/>
      </c>
      <c r="E106" s="18"/>
      <c r="F106" s="18"/>
      <c r="G106" s="21" t="s">
        <v>201</v>
      </c>
      <c r="H106" s="13"/>
      <c r="I106" s="33" t="e">
        <f t="shared" si="1"/>
        <v>#N/A</v>
      </c>
      <c r="J106" s="34" t="e">
        <f t="shared" si="2"/>
        <v>#N/A</v>
      </c>
      <c r="K106" s="21" t="e">
        <f t="shared" si="3"/>
        <v>#N/A</v>
      </c>
      <c r="L106" s="35" t="e">
        <f t="shared" si="4"/>
        <v>#N/A</v>
      </c>
      <c r="M106" s="36" t="e">
        <f t="shared" si="5"/>
        <v>#N/A</v>
      </c>
      <c r="N106" s="29" t="s">
        <v>77</v>
      </c>
      <c r="O106" s="21" t="e">
        <f t="shared" si="6"/>
        <v>#N/A</v>
      </c>
      <c r="P106" s="21" t="e">
        <f t="shared" si="7"/>
        <v>#N/A</v>
      </c>
      <c r="Q106" s="21" t="e">
        <f t="shared" si="8"/>
        <v>#N/A</v>
      </c>
      <c r="R106" s="21" t="e">
        <f t="shared" si="9"/>
        <v>#N/A</v>
      </c>
      <c r="S106" s="21" t="e">
        <f t="shared" si="10"/>
        <v>#N/A</v>
      </c>
      <c r="T106" s="21" t="e">
        <f t="shared" si="11"/>
        <v>#N/A</v>
      </c>
      <c r="U106" s="21" t="e">
        <f t="shared" si="12"/>
        <v>#N/A</v>
      </c>
      <c r="V106" s="21" t="e">
        <f t="shared" si="13"/>
        <v>#N/A</v>
      </c>
      <c r="W106" s="21" t="e">
        <f t="shared" si="14"/>
        <v>#N/A</v>
      </c>
      <c r="X106" s="21" t="e">
        <f t="shared" si="15"/>
        <v>#N/A</v>
      </c>
      <c r="Y106" s="21" t="e">
        <f t="shared" si="16"/>
        <v>#N/A</v>
      </c>
      <c r="Z106" s="21" t="e">
        <f t="shared" si="17"/>
        <v>#N/A</v>
      </c>
      <c r="AA106" s="21" t="e">
        <f t="shared" si="18"/>
        <v>#N/A</v>
      </c>
      <c r="AB106" s="21" t="e">
        <f t="shared" si="19"/>
        <v>#N/A</v>
      </c>
      <c r="AC106" s="21" t="e">
        <f t="shared" si="20"/>
        <v>#N/A</v>
      </c>
      <c r="AD106" s="21" t="e">
        <f t="shared" si="21"/>
        <v>#N/A</v>
      </c>
      <c r="AE106" s="21" t="e">
        <f t="shared" si="22"/>
        <v>#N/A</v>
      </c>
      <c r="AF106" s="18" t="s">
        <v>95</v>
      </c>
    </row>
    <row r="107" spans="1:32">
      <c r="A107" s="42"/>
      <c r="B107" s="37"/>
      <c r="C107" s="40"/>
      <c r="D107" s="32" t="str">
        <f t="shared" si="0"/>
        <v/>
      </c>
      <c r="E107" s="18"/>
      <c r="F107" s="18"/>
      <c r="G107" s="21" t="s">
        <v>202</v>
      </c>
      <c r="H107" s="13"/>
      <c r="I107" s="33" t="e">
        <f t="shared" si="1"/>
        <v>#N/A</v>
      </c>
      <c r="J107" s="34" t="e">
        <f t="shared" si="2"/>
        <v>#N/A</v>
      </c>
      <c r="K107" s="21" t="e">
        <f t="shared" si="3"/>
        <v>#N/A</v>
      </c>
      <c r="L107" s="35" t="e">
        <f t="shared" si="4"/>
        <v>#N/A</v>
      </c>
      <c r="M107" s="36" t="e">
        <f t="shared" si="5"/>
        <v>#N/A</v>
      </c>
      <c r="N107" s="29" t="s">
        <v>77</v>
      </c>
      <c r="O107" s="21" t="e">
        <f t="shared" si="6"/>
        <v>#N/A</v>
      </c>
      <c r="P107" s="21" t="e">
        <f t="shared" si="7"/>
        <v>#N/A</v>
      </c>
      <c r="Q107" s="21" t="e">
        <f t="shared" si="8"/>
        <v>#N/A</v>
      </c>
      <c r="R107" s="21" t="e">
        <f t="shared" si="9"/>
        <v>#N/A</v>
      </c>
      <c r="S107" s="21" t="e">
        <f t="shared" si="10"/>
        <v>#N/A</v>
      </c>
      <c r="T107" s="21" t="e">
        <f t="shared" si="11"/>
        <v>#N/A</v>
      </c>
      <c r="U107" s="21" t="e">
        <f t="shared" si="12"/>
        <v>#N/A</v>
      </c>
      <c r="V107" s="21" t="e">
        <f t="shared" si="13"/>
        <v>#N/A</v>
      </c>
      <c r="W107" s="21" t="e">
        <f t="shared" si="14"/>
        <v>#N/A</v>
      </c>
      <c r="X107" s="21" t="e">
        <f t="shared" si="15"/>
        <v>#N/A</v>
      </c>
      <c r="Y107" s="21" t="e">
        <f t="shared" si="16"/>
        <v>#N/A</v>
      </c>
      <c r="Z107" s="21" t="e">
        <f t="shared" si="17"/>
        <v>#N/A</v>
      </c>
      <c r="AA107" s="21" t="e">
        <f t="shared" si="18"/>
        <v>#N/A</v>
      </c>
      <c r="AB107" s="21" t="e">
        <f t="shared" si="19"/>
        <v>#N/A</v>
      </c>
      <c r="AC107" s="21" t="e">
        <f t="shared" si="20"/>
        <v>#N/A</v>
      </c>
      <c r="AD107" s="21" t="e">
        <f t="shared" si="21"/>
        <v>#N/A</v>
      </c>
      <c r="AE107" s="21" t="e">
        <f t="shared" si="22"/>
        <v>#N/A</v>
      </c>
      <c r="AF107" s="18" t="s">
        <v>95</v>
      </c>
    </row>
    <row r="108" spans="1:32">
      <c r="A108" s="42"/>
      <c r="B108" s="37"/>
      <c r="C108" s="40"/>
      <c r="D108" s="32" t="str">
        <f t="shared" si="0"/>
        <v/>
      </c>
      <c r="E108" s="18"/>
      <c r="F108" s="18"/>
      <c r="G108" s="21" t="s">
        <v>203</v>
      </c>
      <c r="H108" s="13"/>
      <c r="I108" s="33" t="e">
        <f t="shared" si="1"/>
        <v>#N/A</v>
      </c>
      <c r="J108" s="34" t="e">
        <f t="shared" si="2"/>
        <v>#N/A</v>
      </c>
      <c r="K108" s="21" t="e">
        <f t="shared" si="3"/>
        <v>#N/A</v>
      </c>
      <c r="L108" s="35" t="e">
        <f t="shared" si="4"/>
        <v>#N/A</v>
      </c>
      <c r="M108" s="36" t="e">
        <f t="shared" si="5"/>
        <v>#N/A</v>
      </c>
      <c r="N108" s="29" t="s">
        <v>77</v>
      </c>
      <c r="O108" s="21" t="e">
        <f t="shared" si="6"/>
        <v>#N/A</v>
      </c>
      <c r="P108" s="21" t="e">
        <f t="shared" si="7"/>
        <v>#N/A</v>
      </c>
      <c r="Q108" s="21" t="e">
        <f t="shared" si="8"/>
        <v>#N/A</v>
      </c>
      <c r="R108" s="21" t="e">
        <f t="shared" si="9"/>
        <v>#N/A</v>
      </c>
      <c r="S108" s="21" t="e">
        <f t="shared" si="10"/>
        <v>#N/A</v>
      </c>
      <c r="T108" s="21" t="e">
        <f t="shared" si="11"/>
        <v>#N/A</v>
      </c>
      <c r="U108" s="21" t="e">
        <f t="shared" si="12"/>
        <v>#N/A</v>
      </c>
      <c r="V108" s="21" t="e">
        <f t="shared" si="13"/>
        <v>#N/A</v>
      </c>
      <c r="W108" s="21" t="e">
        <f t="shared" si="14"/>
        <v>#N/A</v>
      </c>
      <c r="X108" s="21" t="e">
        <f t="shared" si="15"/>
        <v>#N/A</v>
      </c>
      <c r="Y108" s="21" t="e">
        <f t="shared" si="16"/>
        <v>#N/A</v>
      </c>
      <c r="Z108" s="21" t="e">
        <f t="shared" si="17"/>
        <v>#N/A</v>
      </c>
      <c r="AA108" s="21" t="e">
        <f t="shared" si="18"/>
        <v>#N/A</v>
      </c>
      <c r="AB108" s="21" t="e">
        <f t="shared" si="19"/>
        <v>#N/A</v>
      </c>
      <c r="AC108" s="21" t="e">
        <f t="shared" si="20"/>
        <v>#N/A</v>
      </c>
      <c r="AD108" s="21" t="e">
        <f t="shared" si="21"/>
        <v>#N/A</v>
      </c>
      <c r="AE108" s="21" t="e">
        <f t="shared" si="22"/>
        <v>#N/A</v>
      </c>
      <c r="AF108" s="18" t="s">
        <v>95</v>
      </c>
    </row>
    <row r="109" spans="1:32">
      <c r="A109" s="42"/>
      <c r="B109" s="37"/>
      <c r="C109" s="40"/>
      <c r="D109" s="32" t="str">
        <f t="shared" si="0"/>
        <v/>
      </c>
      <c r="E109" s="38"/>
      <c r="F109" s="18"/>
      <c r="G109" s="21" t="s">
        <v>204</v>
      </c>
      <c r="H109" s="13"/>
      <c r="I109" s="33" t="e">
        <f t="shared" si="1"/>
        <v>#N/A</v>
      </c>
      <c r="J109" s="34" t="e">
        <f t="shared" si="2"/>
        <v>#N/A</v>
      </c>
      <c r="K109" s="21" t="e">
        <f t="shared" si="3"/>
        <v>#N/A</v>
      </c>
      <c r="L109" s="35" t="e">
        <f t="shared" si="4"/>
        <v>#N/A</v>
      </c>
      <c r="M109" s="36" t="e">
        <f t="shared" si="5"/>
        <v>#N/A</v>
      </c>
      <c r="N109" s="29" t="s">
        <v>77</v>
      </c>
      <c r="O109" s="21" t="e">
        <f t="shared" si="6"/>
        <v>#N/A</v>
      </c>
      <c r="P109" s="21" t="e">
        <f t="shared" si="7"/>
        <v>#N/A</v>
      </c>
      <c r="Q109" s="21" t="e">
        <f t="shared" si="8"/>
        <v>#N/A</v>
      </c>
      <c r="R109" s="21" t="e">
        <f t="shared" si="9"/>
        <v>#N/A</v>
      </c>
      <c r="S109" s="21" t="e">
        <f t="shared" si="10"/>
        <v>#N/A</v>
      </c>
      <c r="T109" s="21" t="e">
        <f t="shared" si="11"/>
        <v>#N/A</v>
      </c>
      <c r="U109" s="21" t="e">
        <f t="shared" si="12"/>
        <v>#N/A</v>
      </c>
      <c r="V109" s="21" t="e">
        <f t="shared" si="13"/>
        <v>#N/A</v>
      </c>
      <c r="W109" s="21" t="e">
        <f t="shared" si="14"/>
        <v>#N/A</v>
      </c>
      <c r="X109" s="21" t="e">
        <f t="shared" si="15"/>
        <v>#N/A</v>
      </c>
      <c r="Y109" s="21" t="e">
        <f t="shared" si="16"/>
        <v>#N/A</v>
      </c>
      <c r="Z109" s="21" t="e">
        <f t="shared" si="17"/>
        <v>#N/A</v>
      </c>
      <c r="AA109" s="21" t="e">
        <f t="shared" si="18"/>
        <v>#N/A</v>
      </c>
      <c r="AB109" s="21" t="e">
        <f t="shared" si="19"/>
        <v>#N/A</v>
      </c>
      <c r="AC109" s="21" t="e">
        <f t="shared" si="20"/>
        <v>#N/A</v>
      </c>
      <c r="AD109" s="21" t="e">
        <f t="shared" si="21"/>
        <v>#N/A</v>
      </c>
      <c r="AE109" s="21" t="e">
        <f t="shared" si="22"/>
        <v>#N/A</v>
      </c>
      <c r="AF109" s="18" t="s">
        <v>95</v>
      </c>
    </row>
    <row r="110" spans="1:32">
      <c r="A110" s="42"/>
      <c r="B110" s="37"/>
      <c r="C110" s="40"/>
      <c r="D110" s="32" t="str">
        <f t="shared" si="0"/>
        <v/>
      </c>
      <c r="E110" s="38"/>
      <c r="F110" s="18"/>
      <c r="G110" s="21" t="s">
        <v>205</v>
      </c>
      <c r="H110" s="13"/>
      <c r="I110" s="33" t="e">
        <f t="shared" si="1"/>
        <v>#N/A</v>
      </c>
      <c r="J110" s="34" t="e">
        <f t="shared" si="2"/>
        <v>#N/A</v>
      </c>
      <c r="K110" s="21" t="e">
        <f t="shared" si="3"/>
        <v>#N/A</v>
      </c>
      <c r="L110" s="35" t="e">
        <f t="shared" si="4"/>
        <v>#N/A</v>
      </c>
      <c r="M110" s="36" t="e">
        <f t="shared" si="5"/>
        <v>#N/A</v>
      </c>
      <c r="N110" s="29" t="s">
        <v>77</v>
      </c>
      <c r="O110" s="21" t="e">
        <f t="shared" si="6"/>
        <v>#N/A</v>
      </c>
      <c r="P110" s="21" t="e">
        <f t="shared" si="7"/>
        <v>#N/A</v>
      </c>
      <c r="Q110" s="21" t="e">
        <f t="shared" si="8"/>
        <v>#N/A</v>
      </c>
      <c r="R110" s="21" t="e">
        <f t="shared" si="9"/>
        <v>#N/A</v>
      </c>
      <c r="S110" s="21" t="e">
        <f t="shared" si="10"/>
        <v>#N/A</v>
      </c>
      <c r="T110" s="21" t="e">
        <f t="shared" si="11"/>
        <v>#N/A</v>
      </c>
      <c r="U110" s="21" t="e">
        <f t="shared" si="12"/>
        <v>#N/A</v>
      </c>
      <c r="V110" s="21" t="e">
        <f t="shared" si="13"/>
        <v>#N/A</v>
      </c>
      <c r="W110" s="21" t="e">
        <f t="shared" si="14"/>
        <v>#N/A</v>
      </c>
      <c r="X110" s="21" t="e">
        <f t="shared" si="15"/>
        <v>#N/A</v>
      </c>
      <c r="Y110" s="21" t="e">
        <f t="shared" si="16"/>
        <v>#N/A</v>
      </c>
      <c r="Z110" s="21" t="e">
        <f t="shared" si="17"/>
        <v>#N/A</v>
      </c>
      <c r="AA110" s="21" t="e">
        <f t="shared" si="18"/>
        <v>#N/A</v>
      </c>
      <c r="AB110" s="21" t="e">
        <f t="shared" si="19"/>
        <v>#N/A</v>
      </c>
      <c r="AC110" s="21" t="e">
        <f t="shared" si="20"/>
        <v>#N/A</v>
      </c>
      <c r="AD110" s="21" t="e">
        <f t="shared" si="21"/>
        <v>#N/A</v>
      </c>
      <c r="AE110" s="21" t="e">
        <f t="shared" si="22"/>
        <v>#N/A</v>
      </c>
      <c r="AF110" s="18" t="s">
        <v>95</v>
      </c>
    </row>
    <row r="111" spans="1:32">
      <c r="A111" s="42"/>
      <c r="B111" s="37"/>
      <c r="C111" s="40"/>
      <c r="D111" s="32" t="str">
        <f t="shared" si="0"/>
        <v/>
      </c>
      <c r="E111" s="41"/>
      <c r="F111" s="18"/>
      <c r="G111" s="21" t="s">
        <v>206</v>
      </c>
      <c r="H111" s="13"/>
      <c r="I111" s="33" t="e">
        <f t="shared" si="1"/>
        <v>#N/A</v>
      </c>
      <c r="J111" s="34" t="e">
        <f t="shared" si="2"/>
        <v>#N/A</v>
      </c>
      <c r="K111" s="21" t="e">
        <f t="shared" si="3"/>
        <v>#N/A</v>
      </c>
      <c r="L111" s="35" t="e">
        <f t="shared" si="4"/>
        <v>#N/A</v>
      </c>
      <c r="M111" s="36" t="e">
        <f t="shared" si="5"/>
        <v>#N/A</v>
      </c>
      <c r="N111" s="29" t="s">
        <v>77</v>
      </c>
      <c r="O111" s="21" t="e">
        <f t="shared" si="6"/>
        <v>#N/A</v>
      </c>
      <c r="P111" s="21" t="e">
        <f t="shared" si="7"/>
        <v>#N/A</v>
      </c>
      <c r="Q111" s="21" t="e">
        <f t="shared" si="8"/>
        <v>#N/A</v>
      </c>
      <c r="R111" s="21" t="e">
        <f t="shared" si="9"/>
        <v>#N/A</v>
      </c>
      <c r="S111" s="21" t="e">
        <f t="shared" si="10"/>
        <v>#N/A</v>
      </c>
      <c r="T111" s="21" t="e">
        <f t="shared" si="11"/>
        <v>#N/A</v>
      </c>
      <c r="U111" s="21" t="e">
        <f t="shared" si="12"/>
        <v>#N/A</v>
      </c>
      <c r="V111" s="21" t="e">
        <f t="shared" si="13"/>
        <v>#N/A</v>
      </c>
      <c r="W111" s="21" t="e">
        <f t="shared" si="14"/>
        <v>#N/A</v>
      </c>
      <c r="X111" s="21" t="e">
        <f t="shared" si="15"/>
        <v>#N/A</v>
      </c>
      <c r="Y111" s="21" t="e">
        <f t="shared" si="16"/>
        <v>#N/A</v>
      </c>
      <c r="Z111" s="21" t="e">
        <f t="shared" si="17"/>
        <v>#N/A</v>
      </c>
      <c r="AA111" s="21" t="e">
        <f t="shared" si="18"/>
        <v>#N/A</v>
      </c>
      <c r="AB111" s="21" t="e">
        <f t="shared" si="19"/>
        <v>#N/A</v>
      </c>
      <c r="AC111" s="21" t="e">
        <f t="shared" si="20"/>
        <v>#N/A</v>
      </c>
      <c r="AD111" s="21" t="e">
        <f t="shared" si="21"/>
        <v>#N/A</v>
      </c>
      <c r="AE111" s="21" t="e">
        <f t="shared" si="22"/>
        <v>#N/A</v>
      </c>
      <c r="AF111" s="18" t="s">
        <v>95</v>
      </c>
    </row>
    <row r="112" spans="1:32">
      <c r="A112" s="42"/>
      <c r="B112" s="37"/>
      <c r="C112" s="40"/>
      <c r="D112" s="32" t="str">
        <f t="shared" si="0"/>
        <v/>
      </c>
      <c r="E112" s="38"/>
      <c r="F112" s="18"/>
      <c r="G112" s="21" t="s">
        <v>207</v>
      </c>
      <c r="H112" s="13"/>
      <c r="I112" s="33" t="e">
        <f t="shared" si="1"/>
        <v>#N/A</v>
      </c>
      <c r="J112" s="34" t="e">
        <f t="shared" si="2"/>
        <v>#N/A</v>
      </c>
      <c r="K112" s="21" t="e">
        <f t="shared" si="3"/>
        <v>#N/A</v>
      </c>
      <c r="L112" s="35" t="e">
        <f t="shared" si="4"/>
        <v>#N/A</v>
      </c>
      <c r="M112" s="36" t="e">
        <f t="shared" si="5"/>
        <v>#N/A</v>
      </c>
      <c r="N112" s="29" t="s">
        <v>77</v>
      </c>
      <c r="O112" s="21" t="e">
        <f t="shared" si="6"/>
        <v>#N/A</v>
      </c>
      <c r="P112" s="21" t="e">
        <f t="shared" si="7"/>
        <v>#N/A</v>
      </c>
      <c r="Q112" s="21" t="e">
        <f t="shared" si="8"/>
        <v>#N/A</v>
      </c>
      <c r="R112" s="21" t="e">
        <f t="shared" si="9"/>
        <v>#N/A</v>
      </c>
      <c r="S112" s="21" t="e">
        <f t="shared" si="10"/>
        <v>#N/A</v>
      </c>
      <c r="T112" s="21" t="e">
        <f t="shared" si="11"/>
        <v>#N/A</v>
      </c>
      <c r="U112" s="21" t="e">
        <f t="shared" si="12"/>
        <v>#N/A</v>
      </c>
      <c r="V112" s="21" t="e">
        <f t="shared" si="13"/>
        <v>#N/A</v>
      </c>
      <c r="W112" s="21" t="e">
        <f t="shared" si="14"/>
        <v>#N/A</v>
      </c>
      <c r="X112" s="21" t="e">
        <f t="shared" si="15"/>
        <v>#N/A</v>
      </c>
      <c r="Y112" s="21" t="e">
        <f t="shared" si="16"/>
        <v>#N/A</v>
      </c>
      <c r="Z112" s="21" t="e">
        <f t="shared" si="17"/>
        <v>#N/A</v>
      </c>
      <c r="AA112" s="21" t="e">
        <f t="shared" si="18"/>
        <v>#N/A</v>
      </c>
      <c r="AB112" s="21" t="e">
        <f t="shared" si="19"/>
        <v>#N/A</v>
      </c>
      <c r="AC112" s="21" t="e">
        <f t="shared" si="20"/>
        <v>#N/A</v>
      </c>
      <c r="AD112" s="21" t="e">
        <f t="shared" si="21"/>
        <v>#N/A</v>
      </c>
      <c r="AE112" s="21" t="e">
        <f t="shared" si="22"/>
        <v>#N/A</v>
      </c>
      <c r="AF112" s="18" t="s">
        <v>95</v>
      </c>
    </row>
    <row r="113" spans="1:32">
      <c r="A113" s="38"/>
      <c r="B113" s="37"/>
      <c r="C113" s="40"/>
      <c r="D113" s="32" t="str">
        <f t="shared" si="0"/>
        <v/>
      </c>
      <c r="E113" s="18"/>
      <c r="F113" s="22"/>
      <c r="G113" s="21" t="s">
        <v>208</v>
      </c>
      <c r="H113" s="13"/>
      <c r="I113" s="33" t="e">
        <f t="shared" si="1"/>
        <v>#N/A</v>
      </c>
      <c r="J113" s="34" t="e">
        <f t="shared" si="2"/>
        <v>#N/A</v>
      </c>
      <c r="K113" s="21" t="e">
        <f t="shared" si="3"/>
        <v>#N/A</v>
      </c>
      <c r="L113" s="35" t="e">
        <f t="shared" si="4"/>
        <v>#N/A</v>
      </c>
      <c r="M113" s="36" t="e">
        <f t="shared" si="5"/>
        <v>#N/A</v>
      </c>
      <c r="N113" s="29" t="s">
        <v>77</v>
      </c>
      <c r="O113" s="21" t="e">
        <f t="shared" si="6"/>
        <v>#N/A</v>
      </c>
      <c r="P113" s="21" t="e">
        <f t="shared" si="7"/>
        <v>#N/A</v>
      </c>
      <c r="Q113" s="21" t="e">
        <f t="shared" si="8"/>
        <v>#N/A</v>
      </c>
      <c r="R113" s="21" t="e">
        <f t="shared" si="9"/>
        <v>#N/A</v>
      </c>
      <c r="S113" s="21" t="e">
        <f t="shared" si="10"/>
        <v>#N/A</v>
      </c>
      <c r="T113" s="21" t="e">
        <f t="shared" si="11"/>
        <v>#N/A</v>
      </c>
      <c r="U113" s="21" t="e">
        <f t="shared" si="12"/>
        <v>#N/A</v>
      </c>
      <c r="V113" s="21" t="e">
        <f t="shared" si="13"/>
        <v>#N/A</v>
      </c>
      <c r="W113" s="21" t="e">
        <f t="shared" si="14"/>
        <v>#N/A</v>
      </c>
      <c r="X113" s="21" t="e">
        <f t="shared" si="15"/>
        <v>#N/A</v>
      </c>
      <c r="Y113" s="21" t="e">
        <f t="shared" si="16"/>
        <v>#N/A</v>
      </c>
      <c r="Z113" s="21" t="e">
        <f t="shared" si="17"/>
        <v>#N/A</v>
      </c>
      <c r="AA113" s="21" t="e">
        <f t="shared" si="18"/>
        <v>#N/A</v>
      </c>
      <c r="AB113" s="21" t="e">
        <f t="shared" si="19"/>
        <v>#N/A</v>
      </c>
      <c r="AC113" s="21" t="e">
        <f t="shared" si="20"/>
        <v>#N/A</v>
      </c>
      <c r="AD113" s="21" t="e">
        <f t="shared" si="21"/>
        <v>#N/A</v>
      </c>
      <c r="AE113" s="21" t="e">
        <f t="shared" si="22"/>
        <v>#N/A</v>
      </c>
      <c r="AF113" s="18" t="s">
        <v>95</v>
      </c>
    </row>
    <row r="114" spans="1:32">
      <c r="A114" s="40"/>
      <c r="B114" s="37"/>
      <c r="C114" s="40"/>
      <c r="D114" s="32" t="str">
        <f t="shared" si="0"/>
        <v/>
      </c>
      <c r="E114" s="18"/>
      <c r="G114" s="21" t="s">
        <v>209</v>
      </c>
      <c r="H114" s="13"/>
      <c r="I114" s="33" t="e">
        <f t="shared" si="1"/>
        <v>#N/A</v>
      </c>
      <c r="J114" s="34" t="e">
        <f t="shared" si="2"/>
        <v>#N/A</v>
      </c>
      <c r="K114" s="21" t="e">
        <f t="shared" si="3"/>
        <v>#N/A</v>
      </c>
      <c r="L114" s="35" t="e">
        <f t="shared" si="4"/>
        <v>#N/A</v>
      </c>
      <c r="M114" s="36" t="e">
        <f t="shared" si="5"/>
        <v>#N/A</v>
      </c>
      <c r="N114" s="29" t="s">
        <v>77</v>
      </c>
      <c r="O114" s="21" t="e">
        <f t="shared" si="6"/>
        <v>#N/A</v>
      </c>
      <c r="P114" s="21" t="e">
        <f t="shared" si="7"/>
        <v>#N/A</v>
      </c>
      <c r="Q114" s="21" t="e">
        <f t="shared" si="8"/>
        <v>#N/A</v>
      </c>
      <c r="R114" s="21" t="e">
        <f t="shared" si="9"/>
        <v>#N/A</v>
      </c>
      <c r="S114" s="21" t="e">
        <f t="shared" si="10"/>
        <v>#N/A</v>
      </c>
      <c r="T114" s="21" t="e">
        <f t="shared" si="11"/>
        <v>#N/A</v>
      </c>
      <c r="U114" s="21" t="e">
        <f t="shared" si="12"/>
        <v>#N/A</v>
      </c>
      <c r="V114" s="21" t="e">
        <f t="shared" si="13"/>
        <v>#N/A</v>
      </c>
      <c r="W114" s="21" t="e">
        <f t="shared" si="14"/>
        <v>#N/A</v>
      </c>
      <c r="X114" s="21" t="e">
        <f t="shared" si="15"/>
        <v>#N/A</v>
      </c>
      <c r="Y114" s="21" t="e">
        <f t="shared" si="16"/>
        <v>#N/A</v>
      </c>
      <c r="Z114" s="21" t="e">
        <f t="shared" si="17"/>
        <v>#N/A</v>
      </c>
      <c r="AA114" s="21" t="e">
        <f t="shared" si="18"/>
        <v>#N/A</v>
      </c>
      <c r="AB114" s="21" t="e">
        <f t="shared" si="19"/>
        <v>#N/A</v>
      </c>
      <c r="AC114" s="21" t="e">
        <f t="shared" si="20"/>
        <v>#N/A</v>
      </c>
      <c r="AD114" s="21" t="e">
        <f t="shared" si="21"/>
        <v>#N/A</v>
      </c>
      <c r="AE114" s="21" t="e">
        <f t="shared" si="22"/>
        <v>#N/A</v>
      </c>
      <c r="AF114" s="18" t="s">
        <v>95</v>
      </c>
    </row>
    <row r="115" spans="1:32">
      <c r="A115" s="42"/>
      <c r="B115" s="37"/>
      <c r="C115" s="40"/>
      <c r="D115" s="32" t="str">
        <f t="shared" si="0"/>
        <v/>
      </c>
      <c r="E115" s="18"/>
      <c r="G115" s="21" t="s">
        <v>210</v>
      </c>
      <c r="H115" s="9"/>
      <c r="I115" s="33" t="e">
        <f t="shared" si="1"/>
        <v>#N/A</v>
      </c>
      <c r="J115" s="34" t="e">
        <f t="shared" si="2"/>
        <v>#N/A</v>
      </c>
      <c r="K115" s="21" t="e">
        <f t="shared" si="3"/>
        <v>#N/A</v>
      </c>
      <c r="L115" s="35" t="e">
        <f t="shared" si="4"/>
        <v>#N/A</v>
      </c>
      <c r="M115" s="36" t="e">
        <f t="shared" si="5"/>
        <v>#N/A</v>
      </c>
      <c r="N115" s="29" t="s">
        <v>77</v>
      </c>
      <c r="O115" s="21" t="e">
        <f t="shared" si="6"/>
        <v>#N/A</v>
      </c>
      <c r="P115" s="21" t="e">
        <f t="shared" si="7"/>
        <v>#N/A</v>
      </c>
      <c r="Q115" s="21" t="e">
        <f t="shared" si="8"/>
        <v>#N/A</v>
      </c>
      <c r="R115" s="21" t="e">
        <f t="shared" si="9"/>
        <v>#N/A</v>
      </c>
      <c r="S115" s="21" t="e">
        <f t="shared" si="10"/>
        <v>#N/A</v>
      </c>
      <c r="T115" s="21" t="e">
        <f t="shared" si="11"/>
        <v>#N/A</v>
      </c>
      <c r="U115" s="21" t="e">
        <f t="shared" si="12"/>
        <v>#N/A</v>
      </c>
      <c r="V115" s="21" t="e">
        <f t="shared" si="13"/>
        <v>#N/A</v>
      </c>
      <c r="W115" s="21" t="e">
        <f t="shared" si="14"/>
        <v>#N/A</v>
      </c>
      <c r="X115" s="21" t="e">
        <f t="shared" si="15"/>
        <v>#N/A</v>
      </c>
      <c r="Y115" s="21" t="e">
        <f t="shared" si="16"/>
        <v>#N/A</v>
      </c>
      <c r="Z115" s="21" t="e">
        <f t="shared" si="17"/>
        <v>#N/A</v>
      </c>
      <c r="AA115" s="21" t="e">
        <f t="shared" si="18"/>
        <v>#N/A</v>
      </c>
      <c r="AB115" s="21" t="e">
        <f t="shared" si="19"/>
        <v>#N/A</v>
      </c>
      <c r="AC115" s="21" t="e">
        <f t="shared" si="20"/>
        <v>#N/A</v>
      </c>
      <c r="AD115" s="21" t="e">
        <f t="shared" si="21"/>
        <v>#N/A</v>
      </c>
      <c r="AE115" s="21" t="e">
        <f t="shared" si="22"/>
        <v>#N/A</v>
      </c>
      <c r="AF115" s="18" t="s">
        <v>95</v>
      </c>
    </row>
    <row r="116" spans="1:32">
      <c r="A116" s="42"/>
      <c r="B116" s="37"/>
      <c r="C116" s="40"/>
      <c r="D116" s="32" t="str">
        <f t="shared" si="0"/>
        <v/>
      </c>
      <c r="E116" s="38"/>
      <c r="G116" s="21" t="s">
        <v>211</v>
      </c>
      <c r="H116" s="13"/>
      <c r="I116" s="33" t="e">
        <f t="shared" si="1"/>
        <v>#N/A</v>
      </c>
      <c r="J116" s="34" t="e">
        <f t="shared" si="2"/>
        <v>#N/A</v>
      </c>
      <c r="K116" s="21" t="e">
        <f t="shared" si="3"/>
        <v>#N/A</v>
      </c>
      <c r="L116" s="35" t="e">
        <f t="shared" si="4"/>
        <v>#N/A</v>
      </c>
      <c r="M116" s="36" t="e">
        <f t="shared" si="5"/>
        <v>#N/A</v>
      </c>
      <c r="N116" s="29" t="s">
        <v>77</v>
      </c>
      <c r="O116" s="21" t="e">
        <f t="shared" si="6"/>
        <v>#N/A</v>
      </c>
      <c r="P116" s="21" t="e">
        <f t="shared" si="7"/>
        <v>#N/A</v>
      </c>
      <c r="Q116" s="21" t="e">
        <f t="shared" si="8"/>
        <v>#N/A</v>
      </c>
      <c r="R116" s="21" t="e">
        <f t="shared" si="9"/>
        <v>#N/A</v>
      </c>
      <c r="S116" s="21" t="e">
        <f t="shared" si="10"/>
        <v>#N/A</v>
      </c>
      <c r="T116" s="21" t="e">
        <f t="shared" si="11"/>
        <v>#N/A</v>
      </c>
      <c r="U116" s="21" t="e">
        <f t="shared" si="12"/>
        <v>#N/A</v>
      </c>
      <c r="V116" s="21" t="e">
        <f t="shared" si="13"/>
        <v>#N/A</v>
      </c>
      <c r="W116" s="21" t="e">
        <f t="shared" si="14"/>
        <v>#N/A</v>
      </c>
      <c r="X116" s="21" t="e">
        <f t="shared" si="15"/>
        <v>#N/A</v>
      </c>
      <c r="Y116" s="21" t="e">
        <f t="shared" si="16"/>
        <v>#N/A</v>
      </c>
      <c r="Z116" s="21" t="e">
        <f t="shared" si="17"/>
        <v>#N/A</v>
      </c>
      <c r="AA116" s="21" t="e">
        <f t="shared" si="18"/>
        <v>#N/A</v>
      </c>
      <c r="AB116" s="21" t="e">
        <f t="shared" si="19"/>
        <v>#N/A</v>
      </c>
      <c r="AC116" s="21" t="e">
        <f t="shared" si="20"/>
        <v>#N/A</v>
      </c>
      <c r="AD116" s="21" t="e">
        <f t="shared" si="21"/>
        <v>#N/A</v>
      </c>
      <c r="AE116" s="21" t="e">
        <f t="shared" si="22"/>
        <v>#N/A</v>
      </c>
      <c r="AF116" s="18" t="s">
        <v>95</v>
      </c>
    </row>
    <row r="117" spans="1:32">
      <c r="A117" s="42"/>
      <c r="B117" s="37"/>
      <c r="C117" s="40"/>
      <c r="D117" s="32" t="str">
        <f t="shared" si="0"/>
        <v/>
      </c>
      <c r="E117" s="38"/>
      <c r="G117" s="21" t="s">
        <v>212</v>
      </c>
      <c r="H117" s="13"/>
      <c r="I117" s="33" t="e">
        <f t="shared" si="1"/>
        <v>#N/A</v>
      </c>
      <c r="J117" s="34" t="e">
        <f t="shared" si="2"/>
        <v>#N/A</v>
      </c>
      <c r="K117" s="21" t="e">
        <f t="shared" si="3"/>
        <v>#N/A</v>
      </c>
      <c r="L117" s="35" t="e">
        <f t="shared" si="4"/>
        <v>#N/A</v>
      </c>
      <c r="M117" s="36" t="e">
        <f t="shared" si="5"/>
        <v>#N/A</v>
      </c>
      <c r="N117" s="29" t="s">
        <v>77</v>
      </c>
      <c r="O117" s="21" t="e">
        <f t="shared" si="6"/>
        <v>#N/A</v>
      </c>
      <c r="P117" s="21" t="e">
        <f t="shared" si="7"/>
        <v>#N/A</v>
      </c>
      <c r="Q117" s="21" t="e">
        <f t="shared" si="8"/>
        <v>#N/A</v>
      </c>
      <c r="R117" s="21" t="e">
        <f t="shared" si="9"/>
        <v>#N/A</v>
      </c>
      <c r="S117" s="21" t="e">
        <f t="shared" si="10"/>
        <v>#N/A</v>
      </c>
      <c r="T117" s="21" t="e">
        <f t="shared" si="11"/>
        <v>#N/A</v>
      </c>
      <c r="U117" s="21" t="e">
        <f t="shared" si="12"/>
        <v>#N/A</v>
      </c>
      <c r="V117" s="21" t="e">
        <f t="shared" si="13"/>
        <v>#N/A</v>
      </c>
      <c r="W117" s="21" t="e">
        <f t="shared" si="14"/>
        <v>#N/A</v>
      </c>
      <c r="X117" s="21" t="e">
        <f t="shared" si="15"/>
        <v>#N/A</v>
      </c>
      <c r="Y117" s="21" t="e">
        <f t="shared" si="16"/>
        <v>#N/A</v>
      </c>
      <c r="Z117" s="21" t="e">
        <f t="shared" si="17"/>
        <v>#N/A</v>
      </c>
      <c r="AA117" s="21" t="e">
        <f t="shared" si="18"/>
        <v>#N/A</v>
      </c>
      <c r="AB117" s="21" t="e">
        <f t="shared" si="19"/>
        <v>#N/A</v>
      </c>
      <c r="AC117" s="21" t="e">
        <f t="shared" si="20"/>
        <v>#N/A</v>
      </c>
      <c r="AD117" s="21" t="e">
        <f t="shared" si="21"/>
        <v>#N/A</v>
      </c>
      <c r="AE117" s="21" t="e">
        <f t="shared" si="22"/>
        <v>#N/A</v>
      </c>
      <c r="AF117" s="18" t="s">
        <v>95</v>
      </c>
    </row>
    <row r="118" spans="1:32">
      <c r="A118" s="42"/>
      <c r="B118" s="37"/>
      <c r="C118" s="40"/>
      <c r="D118" s="32" t="str">
        <f t="shared" si="0"/>
        <v/>
      </c>
      <c r="E118" s="41"/>
      <c r="F118" s="18"/>
      <c r="G118" s="21" t="s">
        <v>213</v>
      </c>
      <c r="H118" s="13"/>
      <c r="I118" s="33" t="e">
        <f t="shared" si="1"/>
        <v>#N/A</v>
      </c>
      <c r="J118" s="34" t="e">
        <f t="shared" si="2"/>
        <v>#N/A</v>
      </c>
      <c r="K118" s="21" t="e">
        <f t="shared" si="3"/>
        <v>#N/A</v>
      </c>
      <c r="L118" s="35" t="e">
        <f t="shared" si="4"/>
        <v>#N/A</v>
      </c>
      <c r="M118" s="36" t="e">
        <f t="shared" si="5"/>
        <v>#N/A</v>
      </c>
      <c r="N118" s="29" t="s">
        <v>77</v>
      </c>
      <c r="O118" s="21" t="e">
        <f t="shared" si="6"/>
        <v>#N/A</v>
      </c>
      <c r="P118" s="21" t="e">
        <f t="shared" si="7"/>
        <v>#N/A</v>
      </c>
      <c r="Q118" s="21" t="e">
        <f t="shared" si="8"/>
        <v>#N/A</v>
      </c>
      <c r="R118" s="21" t="e">
        <f t="shared" si="9"/>
        <v>#N/A</v>
      </c>
      <c r="S118" s="21" t="e">
        <f t="shared" si="10"/>
        <v>#N/A</v>
      </c>
      <c r="T118" s="21" t="e">
        <f t="shared" si="11"/>
        <v>#N/A</v>
      </c>
      <c r="U118" s="21" t="e">
        <f t="shared" si="12"/>
        <v>#N/A</v>
      </c>
      <c r="V118" s="21" t="e">
        <f t="shared" si="13"/>
        <v>#N/A</v>
      </c>
      <c r="W118" s="21" t="e">
        <f t="shared" si="14"/>
        <v>#N/A</v>
      </c>
      <c r="X118" s="21" t="e">
        <f t="shared" si="15"/>
        <v>#N/A</v>
      </c>
      <c r="Y118" s="21" t="e">
        <f t="shared" si="16"/>
        <v>#N/A</v>
      </c>
      <c r="Z118" s="21" t="e">
        <f t="shared" si="17"/>
        <v>#N/A</v>
      </c>
      <c r="AA118" s="21" t="e">
        <f t="shared" si="18"/>
        <v>#N/A</v>
      </c>
      <c r="AB118" s="21" t="e">
        <f t="shared" si="19"/>
        <v>#N/A</v>
      </c>
      <c r="AC118" s="21" t="e">
        <f t="shared" si="20"/>
        <v>#N/A</v>
      </c>
      <c r="AD118" s="21" t="e">
        <f t="shared" si="21"/>
        <v>#N/A</v>
      </c>
      <c r="AE118" s="21" t="e">
        <f t="shared" si="22"/>
        <v>#N/A</v>
      </c>
      <c r="AF118" s="18" t="s">
        <v>95</v>
      </c>
    </row>
    <row r="119" spans="1:32">
      <c r="A119" s="42"/>
      <c r="B119" s="37"/>
      <c r="C119" s="40"/>
      <c r="D119" s="32" t="str">
        <f t="shared" si="0"/>
        <v/>
      </c>
      <c r="E119" s="38"/>
      <c r="F119" s="18"/>
      <c r="G119" s="21" t="s">
        <v>214</v>
      </c>
      <c r="H119" s="13"/>
      <c r="I119" s="33" t="e">
        <f t="shared" si="1"/>
        <v>#N/A</v>
      </c>
      <c r="J119" s="34" t="e">
        <f t="shared" si="2"/>
        <v>#N/A</v>
      </c>
      <c r="K119" s="21" t="e">
        <f t="shared" si="3"/>
        <v>#N/A</v>
      </c>
      <c r="L119" s="35" t="e">
        <f t="shared" si="4"/>
        <v>#N/A</v>
      </c>
      <c r="M119" s="36" t="e">
        <f t="shared" si="5"/>
        <v>#N/A</v>
      </c>
      <c r="N119" s="29" t="s">
        <v>77</v>
      </c>
      <c r="O119" s="21" t="e">
        <f t="shared" si="6"/>
        <v>#N/A</v>
      </c>
      <c r="P119" s="21" t="e">
        <f t="shared" si="7"/>
        <v>#N/A</v>
      </c>
      <c r="Q119" s="21" t="e">
        <f t="shared" si="8"/>
        <v>#N/A</v>
      </c>
      <c r="R119" s="21" t="e">
        <f t="shared" si="9"/>
        <v>#N/A</v>
      </c>
      <c r="S119" s="21" t="e">
        <f t="shared" si="10"/>
        <v>#N/A</v>
      </c>
      <c r="T119" s="21" t="e">
        <f t="shared" si="11"/>
        <v>#N/A</v>
      </c>
      <c r="U119" s="21" t="e">
        <f t="shared" si="12"/>
        <v>#N/A</v>
      </c>
      <c r="V119" s="21" t="e">
        <f t="shared" si="13"/>
        <v>#N/A</v>
      </c>
      <c r="W119" s="21" t="e">
        <f t="shared" si="14"/>
        <v>#N/A</v>
      </c>
      <c r="X119" s="21" t="e">
        <f t="shared" si="15"/>
        <v>#N/A</v>
      </c>
      <c r="Y119" s="21" t="e">
        <f t="shared" si="16"/>
        <v>#N/A</v>
      </c>
      <c r="Z119" s="21" t="e">
        <f t="shared" si="17"/>
        <v>#N/A</v>
      </c>
      <c r="AA119" s="21" t="e">
        <f t="shared" si="18"/>
        <v>#N/A</v>
      </c>
      <c r="AB119" s="21" t="e">
        <f t="shared" si="19"/>
        <v>#N/A</v>
      </c>
      <c r="AC119" s="21" t="e">
        <f t="shared" si="20"/>
        <v>#N/A</v>
      </c>
      <c r="AD119" s="21" t="e">
        <f t="shared" si="21"/>
        <v>#N/A</v>
      </c>
      <c r="AE119" s="21" t="e">
        <f t="shared" si="22"/>
        <v>#N/A</v>
      </c>
      <c r="AF119" s="18" t="s">
        <v>95</v>
      </c>
    </row>
    <row r="120" spans="1:32">
      <c r="A120" s="42"/>
      <c r="B120" s="37"/>
      <c r="C120" s="40"/>
      <c r="D120" s="32" t="str">
        <f t="shared" si="0"/>
        <v/>
      </c>
      <c r="E120" s="18"/>
      <c r="F120" s="18"/>
      <c r="G120" s="21" t="s">
        <v>215</v>
      </c>
      <c r="H120" s="13"/>
      <c r="I120" s="33" t="e">
        <f t="shared" si="1"/>
        <v>#N/A</v>
      </c>
      <c r="J120" s="34" t="e">
        <f t="shared" si="2"/>
        <v>#N/A</v>
      </c>
      <c r="K120" s="21" t="e">
        <f t="shared" si="3"/>
        <v>#N/A</v>
      </c>
      <c r="L120" s="35" t="e">
        <f t="shared" si="4"/>
        <v>#N/A</v>
      </c>
      <c r="M120" s="36" t="e">
        <f t="shared" si="5"/>
        <v>#N/A</v>
      </c>
      <c r="N120" s="29" t="s">
        <v>77</v>
      </c>
      <c r="O120" s="21" t="e">
        <f t="shared" si="6"/>
        <v>#N/A</v>
      </c>
      <c r="P120" s="21" t="e">
        <f t="shared" si="7"/>
        <v>#N/A</v>
      </c>
      <c r="Q120" s="21" t="e">
        <f t="shared" si="8"/>
        <v>#N/A</v>
      </c>
      <c r="R120" s="21" t="e">
        <f t="shared" si="9"/>
        <v>#N/A</v>
      </c>
      <c r="S120" s="21" t="e">
        <f t="shared" si="10"/>
        <v>#N/A</v>
      </c>
      <c r="T120" s="21" t="e">
        <f t="shared" si="11"/>
        <v>#N/A</v>
      </c>
      <c r="U120" s="21" t="e">
        <f t="shared" si="12"/>
        <v>#N/A</v>
      </c>
      <c r="V120" s="21" t="e">
        <f t="shared" si="13"/>
        <v>#N/A</v>
      </c>
      <c r="W120" s="21" t="e">
        <f t="shared" si="14"/>
        <v>#N/A</v>
      </c>
      <c r="X120" s="21" t="e">
        <f t="shared" si="15"/>
        <v>#N/A</v>
      </c>
      <c r="Y120" s="21" t="e">
        <f t="shared" si="16"/>
        <v>#N/A</v>
      </c>
      <c r="Z120" s="21" t="e">
        <f t="shared" si="17"/>
        <v>#N/A</v>
      </c>
      <c r="AA120" s="21" t="e">
        <f t="shared" si="18"/>
        <v>#N/A</v>
      </c>
      <c r="AB120" s="21" t="e">
        <f t="shared" si="19"/>
        <v>#N/A</v>
      </c>
      <c r="AC120" s="21" t="e">
        <f t="shared" si="20"/>
        <v>#N/A</v>
      </c>
      <c r="AD120" s="21" t="e">
        <f t="shared" si="21"/>
        <v>#N/A</v>
      </c>
      <c r="AE120" s="21" t="e">
        <f t="shared" si="22"/>
        <v>#N/A</v>
      </c>
      <c r="AF120" s="18" t="s">
        <v>95</v>
      </c>
    </row>
    <row r="121" spans="1:32">
      <c r="A121" s="42"/>
      <c r="B121" s="37"/>
      <c r="C121" s="40"/>
      <c r="D121" s="32" t="str">
        <f t="shared" si="0"/>
        <v/>
      </c>
      <c r="E121" s="18"/>
      <c r="F121" s="18"/>
      <c r="G121" s="21" t="s">
        <v>216</v>
      </c>
      <c r="H121" s="13"/>
      <c r="I121" s="33" t="e">
        <f t="shared" si="1"/>
        <v>#N/A</v>
      </c>
      <c r="J121" s="34" t="e">
        <f t="shared" si="2"/>
        <v>#N/A</v>
      </c>
      <c r="K121" s="21" t="e">
        <f t="shared" si="3"/>
        <v>#N/A</v>
      </c>
      <c r="L121" s="35" t="e">
        <f t="shared" si="4"/>
        <v>#N/A</v>
      </c>
      <c r="M121" s="36" t="e">
        <f t="shared" si="5"/>
        <v>#N/A</v>
      </c>
      <c r="N121" s="29" t="s">
        <v>77</v>
      </c>
      <c r="O121" s="21" t="e">
        <f t="shared" si="6"/>
        <v>#N/A</v>
      </c>
      <c r="P121" s="21" t="e">
        <f t="shared" si="7"/>
        <v>#N/A</v>
      </c>
      <c r="Q121" s="21" t="e">
        <f t="shared" si="8"/>
        <v>#N/A</v>
      </c>
      <c r="R121" s="21" t="e">
        <f t="shared" si="9"/>
        <v>#N/A</v>
      </c>
      <c r="S121" s="21" t="e">
        <f t="shared" si="10"/>
        <v>#N/A</v>
      </c>
      <c r="T121" s="21" t="e">
        <f t="shared" si="11"/>
        <v>#N/A</v>
      </c>
      <c r="U121" s="21" t="e">
        <f t="shared" si="12"/>
        <v>#N/A</v>
      </c>
      <c r="V121" s="21" t="e">
        <f t="shared" si="13"/>
        <v>#N/A</v>
      </c>
      <c r="W121" s="21" t="e">
        <f t="shared" si="14"/>
        <v>#N/A</v>
      </c>
      <c r="X121" s="21" t="e">
        <f t="shared" si="15"/>
        <v>#N/A</v>
      </c>
      <c r="Y121" s="21" t="e">
        <f t="shared" si="16"/>
        <v>#N/A</v>
      </c>
      <c r="Z121" s="21" t="e">
        <f t="shared" si="17"/>
        <v>#N/A</v>
      </c>
      <c r="AA121" s="21" t="e">
        <f t="shared" si="18"/>
        <v>#N/A</v>
      </c>
      <c r="AB121" s="21" t="e">
        <f t="shared" si="19"/>
        <v>#N/A</v>
      </c>
      <c r="AC121" s="21" t="e">
        <f t="shared" si="20"/>
        <v>#N/A</v>
      </c>
      <c r="AD121" s="21" t="e">
        <f t="shared" si="21"/>
        <v>#N/A</v>
      </c>
      <c r="AE121" s="21" t="e">
        <f t="shared" si="22"/>
        <v>#N/A</v>
      </c>
      <c r="AF121" s="18" t="s">
        <v>95</v>
      </c>
    </row>
    <row r="122" spans="1:32">
      <c r="A122" s="42"/>
      <c r="B122" s="37"/>
      <c r="C122" s="40"/>
      <c r="D122" s="32" t="str">
        <f t="shared" si="0"/>
        <v/>
      </c>
      <c r="E122" s="18"/>
      <c r="F122" s="18"/>
      <c r="G122" s="21" t="s">
        <v>217</v>
      </c>
      <c r="H122" s="13"/>
      <c r="I122" s="33" t="e">
        <f t="shared" si="1"/>
        <v>#N/A</v>
      </c>
      <c r="J122" s="34" t="e">
        <f t="shared" si="2"/>
        <v>#N/A</v>
      </c>
      <c r="K122" s="21" t="e">
        <f t="shared" si="3"/>
        <v>#N/A</v>
      </c>
      <c r="L122" s="35" t="e">
        <f t="shared" si="4"/>
        <v>#N/A</v>
      </c>
      <c r="M122" s="36" t="e">
        <f t="shared" si="5"/>
        <v>#N/A</v>
      </c>
      <c r="N122" s="29" t="s">
        <v>77</v>
      </c>
      <c r="O122" s="21" t="e">
        <f t="shared" si="6"/>
        <v>#N/A</v>
      </c>
      <c r="P122" s="21" t="e">
        <f t="shared" si="7"/>
        <v>#N/A</v>
      </c>
      <c r="Q122" s="21" t="e">
        <f t="shared" si="8"/>
        <v>#N/A</v>
      </c>
      <c r="R122" s="21" t="e">
        <f t="shared" si="9"/>
        <v>#N/A</v>
      </c>
      <c r="S122" s="21" t="e">
        <f t="shared" si="10"/>
        <v>#N/A</v>
      </c>
      <c r="T122" s="21" t="e">
        <f t="shared" si="11"/>
        <v>#N/A</v>
      </c>
      <c r="U122" s="21" t="e">
        <f t="shared" si="12"/>
        <v>#N/A</v>
      </c>
      <c r="V122" s="21" t="e">
        <f t="shared" si="13"/>
        <v>#N/A</v>
      </c>
      <c r="W122" s="21" t="e">
        <f t="shared" si="14"/>
        <v>#N/A</v>
      </c>
      <c r="X122" s="21" t="e">
        <f t="shared" si="15"/>
        <v>#N/A</v>
      </c>
      <c r="Y122" s="21" t="e">
        <f t="shared" si="16"/>
        <v>#N/A</v>
      </c>
      <c r="Z122" s="21" t="e">
        <f t="shared" si="17"/>
        <v>#N/A</v>
      </c>
      <c r="AA122" s="21" t="e">
        <f t="shared" si="18"/>
        <v>#N/A</v>
      </c>
      <c r="AB122" s="21" t="e">
        <f t="shared" si="19"/>
        <v>#N/A</v>
      </c>
      <c r="AC122" s="21" t="e">
        <f t="shared" si="20"/>
        <v>#N/A</v>
      </c>
      <c r="AD122" s="21" t="e">
        <f t="shared" si="21"/>
        <v>#N/A</v>
      </c>
      <c r="AE122" s="21" t="e">
        <f t="shared" si="22"/>
        <v>#N/A</v>
      </c>
      <c r="AF122" s="18" t="s">
        <v>95</v>
      </c>
    </row>
    <row r="123" spans="1:32">
      <c r="A123" s="42"/>
      <c r="B123" s="37"/>
      <c r="C123" s="40"/>
      <c r="D123" s="32" t="str">
        <f t="shared" si="0"/>
        <v/>
      </c>
      <c r="E123" s="38"/>
      <c r="F123" s="18"/>
      <c r="G123" s="21" t="s">
        <v>218</v>
      </c>
      <c r="H123" s="13"/>
      <c r="I123" s="33" t="e">
        <f t="shared" si="1"/>
        <v>#N/A</v>
      </c>
      <c r="J123" s="34" t="e">
        <f t="shared" si="2"/>
        <v>#N/A</v>
      </c>
      <c r="K123" s="21" t="e">
        <f t="shared" si="3"/>
        <v>#N/A</v>
      </c>
      <c r="L123" s="35" t="e">
        <f t="shared" si="4"/>
        <v>#N/A</v>
      </c>
      <c r="M123" s="36" t="e">
        <f t="shared" si="5"/>
        <v>#N/A</v>
      </c>
      <c r="N123" s="29" t="s">
        <v>77</v>
      </c>
      <c r="O123" s="21" t="e">
        <f t="shared" si="6"/>
        <v>#N/A</v>
      </c>
      <c r="P123" s="21" t="e">
        <f t="shared" si="7"/>
        <v>#N/A</v>
      </c>
      <c r="Q123" s="21" t="e">
        <f t="shared" si="8"/>
        <v>#N/A</v>
      </c>
      <c r="R123" s="21" t="e">
        <f t="shared" si="9"/>
        <v>#N/A</v>
      </c>
      <c r="S123" s="21" t="e">
        <f t="shared" si="10"/>
        <v>#N/A</v>
      </c>
      <c r="T123" s="21" t="e">
        <f t="shared" si="11"/>
        <v>#N/A</v>
      </c>
      <c r="U123" s="21" t="e">
        <f t="shared" si="12"/>
        <v>#N/A</v>
      </c>
      <c r="V123" s="21" t="e">
        <f t="shared" si="13"/>
        <v>#N/A</v>
      </c>
      <c r="W123" s="21" t="e">
        <f t="shared" si="14"/>
        <v>#N/A</v>
      </c>
      <c r="X123" s="21" t="e">
        <f t="shared" si="15"/>
        <v>#N/A</v>
      </c>
      <c r="Y123" s="21" t="e">
        <f t="shared" si="16"/>
        <v>#N/A</v>
      </c>
      <c r="Z123" s="21" t="e">
        <f t="shared" si="17"/>
        <v>#N/A</v>
      </c>
      <c r="AA123" s="21" t="e">
        <f t="shared" si="18"/>
        <v>#N/A</v>
      </c>
      <c r="AB123" s="21" t="e">
        <f t="shared" si="19"/>
        <v>#N/A</v>
      </c>
      <c r="AC123" s="21" t="e">
        <f t="shared" si="20"/>
        <v>#N/A</v>
      </c>
      <c r="AD123" s="21" t="e">
        <f t="shared" si="21"/>
        <v>#N/A</v>
      </c>
      <c r="AE123" s="21" t="e">
        <f t="shared" si="22"/>
        <v>#N/A</v>
      </c>
      <c r="AF123" s="18" t="s">
        <v>95</v>
      </c>
    </row>
    <row r="124" spans="1:32">
      <c r="A124" s="42"/>
      <c r="B124" s="37"/>
      <c r="C124" s="40"/>
      <c r="D124" s="32" t="str">
        <f t="shared" si="0"/>
        <v/>
      </c>
      <c r="E124" s="38"/>
      <c r="F124" s="18"/>
      <c r="G124" s="21" t="s">
        <v>219</v>
      </c>
      <c r="H124" s="13"/>
      <c r="I124" s="33" t="e">
        <f t="shared" si="1"/>
        <v>#N/A</v>
      </c>
      <c r="J124" s="34" t="e">
        <f t="shared" si="2"/>
        <v>#N/A</v>
      </c>
      <c r="K124" s="21" t="e">
        <f t="shared" si="3"/>
        <v>#N/A</v>
      </c>
      <c r="L124" s="35" t="e">
        <f t="shared" si="4"/>
        <v>#N/A</v>
      </c>
      <c r="M124" s="36" t="e">
        <f t="shared" si="5"/>
        <v>#N/A</v>
      </c>
      <c r="N124" s="29" t="s">
        <v>77</v>
      </c>
      <c r="O124" s="21" t="e">
        <f t="shared" si="6"/>
        <v>#N/A</v>
      </c>
      <c r="P124" s="21" t="e">
        <f t="shared" si="7"/>
        <v>#N/A</v>
      </c>
      <c r="Q124" s="21" t="e">
        <f t="shared" si="8"/>
        <v>#N/A</v>
      </c>
      <c r="R124" s="21" t="e">
        <f t="shared" si="9"/>
        <v>#N/A</v>
      </c>
      <c r="S124" s="21" t="e">
        <f t="shared" si="10"/>
        <v>#N/A</v>
      </c>
      <c r="T124" s="21" t="e">
        <f t="shared" si="11"/>
        <v>#N/A</v>
      </c>
      <c r="U124" s="21" t="e">
        <f t="shared" si="12"/>
        <v>#N/A</v>
      </c>
      <c r="V124" s="21" t="e">
        <f t="shared" si="13"/>
        <v>#N/A</v>
      </c>
      <c r="W124" s="21" t="e">
        <f t="shared" si="14"/>
        <v>#N/A</v>
      </c>
      <c r="X124" s="21" t="e">
        <f t="shared" si="15"/>
        <v>#N/A</v>
      </c>
      <c r="Y124" s="21" t="e">
        <f t="shared" si="16"/>
        <v>#N/A</v>
      </c>
      <c r="Z124" s="21" t="e">
        <f t="shared" si="17"/>
        <v>#N/A</v>
      </c>
      <c r="AA124" s="21" t="e">
        <f t="shared" si="18"/>
        <v>#N/A</v>
      </c>
      <c r="AB124" s="21" t="e">
        <f t="shared" si="19"/>
        <v>#N/A</v>
      </c>
      <c r="AC124" s="21" t="e">
        <f t="shared" si="20"/>
        <v>#N/A</v>
      </c>
      <c r="AD124" s="21" t="e">
        <f t="shared" si="21"/>
        <v>#N/A</v>
      </c>
      <c r="AE124" s="21" t="e">
        <f t="shared" si="22"/>
        <v>#N/A</v>
      </c>
      <c r="AF124" s="18" t="s">
        <v>95</v>
      </c>
    </row>
    <row r="125" spans="1:32">
      <c r="A125" s="42"/>
      <c r="B125" s="37"/>
      <c r="C125" s="40"/>
      <c r="D125" s="32" t="str">
        <f t="shared" si="0"/>
        <v/>
      </c>
      <c r="E125" s="41"/>
      <c r="F125" s="18"/>
      <c r="G125" s="21" t="s">
        <v>220</v>
      </c>
      <c r="H125" s="13"/>
      <c r="I125" s="33" t="e">
        <f t="shared" si="1"/>
        <v>#N/A</v>
      </c>
      <c r="J125" s="34" t="e">
        <f t="shared" si="2"/>
        <v>#N/A</v>
      </c>
      <c r="K125" s="21" t="e">
        <f t="shared" si="3"/>
        <v>#N/A</v>
      </c>
      <c r="L125" s="35" t="e">
        <f t="shared" si="4"/>
        <v>#N/A</v>
      </c>
      <c r="M125" s="36" t="e">
        <f t="shared" si="5"/>
        <v>#N/A</v>
      </c>
      <c r="N125" s="29" t="s">
        <v>77</v>
      </c>
      <c r="O125" s="21" t="e">
        <f t="shared" si="6"/>
        <v>#N/A</v>
      </c>
      <c r="P125" s="21" t="e">
        <f t="shared" si="7"/>
        <v>#N/A</v>
      </c>
      <c r="Q125" s="21" t="e">
        <f t="shared" si="8"/>
        <v>#N/A</v>
      </c>
      <c r="R125" s="21" t="e">
        <f t="shared" si="9"/>
        <v>#N/A</v>
      </c>
      <c r="S125" s="21" t="e">
        <f t="shared" si="10"/>
        <v>#N/A</v>
      </c>
      <c r="T125" s="21" t="e">
        <f t="shared" si="11"/>
        <v>#N/A</v>
      </c>
      <c r="U125" s="21" t="e">
        <f t="shared" si="12"/>
        <v>#N/A</v>
      </c>
      <c r="V125" s="21" t="e">
        <f t="shared" si="13"/>
        <v>#N/A</v>
      </c>
      <c r="W125" s="21" t="e">
        <f t="shared" si="14"/>
        <v>#N/A</v>
      </c>
      <c r="X125" s="21" t="e">
        <f t="shared" si="15"/>
        <v>#N/A</v>
      </c>
      <c r="Y125" s="21" t="e">
        <f t="shared" si="16"/>
        <v>#N/A</v>
      </c>
      <c r="Z125" s="21" t="e">
        <f t="shared" si="17"/>
        <v>#N/A</v>
      </c>
      <c r="AA125" s="21" t="e">
        <f t="shared" si="18"/>
        <v>#N/A</v>
      </c>
      <c r="AB125" s="21" t="e">
        <f t="shared" si="19"/>
        <v>#N/A</v>
      </c>
      <c r="AC125" s="21" t="e">
        <f t="shared" si="20"/>
        <v>#N/A</v>
      </c>
      <c r="AD125" s="21" t="e">
        <f t="shared" si="21"/>
        <v>#N/A</v>
      </c>
      <c r="AE125" s="21" t="e">
        <f t="shared" si="22"/>
        <v>#N/A</v>
      </c>
      <c r="AF125" s="18" t="s">
        <v>95</v>
      </c>
    </row>
    <row r="126" spans="1:32">
      <c r="A126" s="42"/>
      <c r="B126" s="37"/>
      <c r="C126" s="40"/>
      <c r="D126" s="32" t="str">
        <f t="shared" si="0"/>
        <v/>
      </c>
      <c r="E126" s="38"/>
      <c r="F126" s="18"/>
      <c r="G126" s="21" t="s">
        <v>221</v>
      </c>
      <c r="H126" s="13"/>
      <c r="I126" s="33" t="e">
        <f t="shared" si="1"/>
        <v>#N/A</v>
      </c>
      <c r="J126" s="34" t="e">
        <f t="shared" si="2"/>
        <v>#N/A</v>
      </c>
      <c r="K126" s="21" t="e">
        <f t="shared" si="3"/>
        <v>#N/A</v>
      </c>
      <c r="L126" s="35" t="e">
        <f t="shared" si="4"/>
        <v>#N/A</v>
      </c>
      <c r="M126" s="36" t="e">
        <f t="shared" si="5"/>
        <v>#N/A</v>
      </c>
      <c r="N126" s="29" t="s">
        <v>77</v>
      </c>
      <c r="O126" s="21" t="e">
        <f t="shared" si="6"/>
        <v>#N/A</v>
      </c>
      <c r="P126" s="21" t="e">
        <f t="shared" si="7"/>
        <v>#N/A</v>
      </c>
      <c r="Q126" s="21" t="e">
        <f t="shared" si="8"/>
        <v>#N/A</v>
      </c>
      <c r="R126" s="21" t="e">
        <f t="shared" si="9"/>
        <v>#N/A</v>
      </c>
      <c r="S126" s="21" t="e">
        <f t="shared" si="10"/>
        <v>#N/A</v>
      </c>
      <c r="T126" s="21" t="e">
        <f t="shared" si="11"/>
        <v>#N/A</v>
      </c>
      <c r="U126" s="21" t="e">
        <f t="shared" si="12"/>
        <v>#N/A</v>
      </c>
      <c r="V126" s="21" t="e">
        <f t="shared" si="13"/>
        <v>#N/A</v>
      </c>
      <c r="W126" s="21" t="e">
        <f t="shared" si="14"/>
        <v>#N/A</v>
      </c>
      <c r="X126" s="21" t="e">
        <f t="shared" si="15"/>
        <v>#N/A</v>
      </c>
      <c r="Y126" s="21" t="e">
        <f t="shared" si="16"/>
        <v>#N/A</v>
      </c>
      <c r="Z126" s="21" t="e">
        <f t="shared" si="17"/>
        <v>#N/A</v>
      </c>
      <c r="AA126" s="21" t="e">
        <f t="shared" si="18"/>
        <v>#N/A</v>
      </c>
      <c r="AB126" s="21" t="e">
        <f t="shared" si="19"/>
        <v>#N/A</v>
      </c>
      <c r="AC126" s="21" t="e">
        <f t="shared" si="20"/>
        <v>#N/A</v>
      </c>
      <c r="AD126" s="21" t="e">
        <f t="shared" si="21"/>
        <v>#N/A</v>
      </c>
      <c r="AE126" s="21" t="e">
        <f t="shared" si="22"/>
        <v>#N/A</v>
      </c>
      <c r="AF126" s="18" t="s">
        <v>95</v>
      </c>
    </row>
    <row r="127" spans="1:32">
      <c r="A127" s="42"/>
      <c r="B127" s="37"/>
      <c r="C127" s="40"/>
      <c r="D127" s="32" t="str">
        <f t="shared" si="0"/>
        <v/>
      </c>
      <c r="E127" s="18"/>
      <c r="F127" s="18"/>
      <c r="G127" s="21" t="s">
        <v>222</v>
      </c>
      <c r="H127" s="13"/>
      <c r="I127" s="33" t="e">
        <f t="shared" si="1"/>
        <v>#N/A</v>
      </c>
      <c r="J127" s="34" t="e">
        <f t="shared" si="2"/>
        <v>#N/A</v>
      </c>
      <c r="K127" s="21" t="e">
        <f t="shared" si="3"/>
        <v>#N/A</v>
      </c>
      <c r="L127" s="35" t="e">
        <f t="shared" si="4"/>
        <v>#N/A</v>
      </c>
      <c r="M127" s="36" t="e">
        <f t="shared" si="5"/>
        <v>#N/A</v>
      </c>
      <c r="N127" s="29" t="s">
        <v>77</v>
      </c>
      <c r="O127" s="21" t="e">
        <f t="shared" si="6"/>
        <v>#N/A</v>
      </c>
      <c r="P127" s="21" t="e">
        <f t="shared" si="7"/>
        <v>#N/A</v>
      </c>
      <c r="Q127" s="21" t="e">
        <f t="shared" si="8"/>
        <v>#N/A</v>
      </c>
      <c r="R127" s="21" t="e">
        <f t="shared" si="9"/>
        <v>#N/A</v>
      </c>
      <c r="S127" s="21" t="e">
        <f t="shared" si="10"/>
        <v>#N/A</v>
      </c>
      <c r="T127" s="21" t="e">
        <f t="shared" si="11"/>
        <v>#N/A</v>
      </c>
      <c r="U127" s="21" t="e">
        <f t="shared" si="12"/>
        <v>#N/A</v>
      </c>
      <c r="V127" s="21" t="e">
        <f t="shared" si="13"/>
        <v>#N/A</v>
      </c>
      <c r="W127" s="21" t="e">
        <f t="shared" si="14"/>
        <v>#N/A</v>
      </c>
      <c r="X127" s="21" t="e">
        <f t="shared" si="15"/>
        <v>#N/A</v>
      </c>
      <c r="Y127" s="21" t="e">
        <f t="shared" si="16"/>
        <v>#N/A</v>
      </c>
      <c r="Z127" s="21" t="e">
        <f t="shared" si="17"/>
        <v>#N/A</v>
      </c>
      <c r="AA127" s="21" t="e">
        <f t="shared" si="18"/>
        <v>#N/A</v>
      </c>
      <c r="AB127" s="21" t="e">
        <f t="shared" si="19"/>
        <v>#N/A</v>
      </c>
      <c r="AC127" s="21" t="e">
        <f t="shared" si="20"/>
        <v>#N/A</v>
      </c>
      <c r="AD127" s="21" t="e">
        <f t="shared" si="21"/>
        <v>#N/A</v>
      </c>
      <c r="AE127" s="21" t="e">
        <f t="shared" si="22"/>
        <v>#N/A</v>
      </c>
      <c r="AF127" s="18" t="s">
        <v>95</v>
      </c>
    </row>
    <row r="128" spans="1:32">
      <c r="A128" s="38"/>
      <c r="B128" s="37"/>
      <c r="C128" s="40"/>
      <c r="D128" s="32" t="str">
        <f t="shared" si="0"/>
        <v/>
      </c>
      <c r="E128" s="18"/>
      <c r="F128" s="22"/>
      <c r="G128" s="21" t="s">
        <v>223</v>
      </c>
      <c r="H128" s="13"/>
      <c r="I128" s="33" t="e">
        <f t="shared" si="1"/>
        <v>#N/A</v>
      </c>
      <c r="J128" s="34" t="e">
        <f t="shared" si="2"/>
        <v>#N/A</v>
      </c>
      <c r="K128" s="21" t="e">
        <f t="shared" si="3"/>
        <v>#N/A</v>
      </c>
      <c r="L128" s="35" t="e">
        <f t="shared" si="4"/>
        <v>#N/A</v>
      </c>
      <c r="M128" s="36" t="e">
        <f t="shared" si="5"/>
        <v>#N/A</v>
      </c>
      <c r="N128" s="29" t="s">
        <v>77</v>
      </c>
      <c r="O128" s="21" t="e">
        <f t="shared" si="6"/>
        <v>#N/A</v>
      </c>
      <c r="P128" s="21" t="e">
        <f t="shared" si="7"/>
        <v>#N/A</v>
      </c>
      <c r="Q128" s="21" t="e">
        <f t="shared" si="8"/>
        <v>#N/A</v>
      </c>
      <c r="R128" s="21" t="e">
        <f t="shared" si="9"/>
        <v>#N/A</v>
      </c>
      <c r="S128" s="21" t="e">
        <f t="shared" si="10"/>
        <v>#N/A</v>
      </c>
      <c r="T128" s="21" t="e">
        <f t="shared" si="11"/>
        <v>#N/A</v>
      </c>
      <c r="U128" s="21" t="e">
        <f t="shared" si="12"/>
        <v>#N/A</v>
      </c>
      <c r="V128" s="21" t="e">
        <f t="shared" si="13"/>
        <v>#N/A</v>
      </c>
      <c r="W128" s="21" t="e">
        <f t="shared" si="14"/>
        <v>#N/A</v>
      </c>
      <c r="X128" s="21" t="e">
        <f t="shared" si="15"/>
        <v>#N/A</v>
      </c>
      <c r="Y128" s="21" t="e">
        <f t="shared" si="16"/>
        <v>#N/A</v>
      </c>
      <c r="Z128" s="21" t="e">
        <f t="shared" si="17"/>
        <v>#N/A</v>
      </c>
      <c r="AA128" s="21" t="e">
        <f t="shared" si="18"/>
        <v>#N/A</v>
      </c>
      <c r="AB128" s="21" t="e">
        <f t="shared" si="19"/>
        <v>#N/A</v>
      </c>
      <c r="AC128" s="21" t="e">
        <f t="shared" si="20"/>
        <v>#N/A</v>
      </c>
      <c r="AD128" s="21" t="e">
        <f t="shared" si="21"/>
        <v>#N/A</v>
      </c>
      <c r="AE128" s="21" t="e">
        <f t="shared" si="22"/>
        <v>#N/A</v>
      </c>
      <c r="AF128" s="18" t="s">
        <v>95</v>
      </c>
    </row>
    <row r="129" spans="1:39">
      <c r="A129" s="40"/>
      <c r="B129" s="37"/>
      <c r="C129" s="40"/>
      <c r="D129" s="32" t="str">
        <f t="shared" si="0"/>
        <v/>
      </c>
      <c r="E129" s="18"/>
      <c r="G129" s="21" t="s">
        <v>224</v>
      </c>
      <c r="H129" s="13"/>
      <c r="I129" s="33" t="e">
        <f t="shared" si="1"/>
        <v>#N/A</v>
      </c>
      <c r="J129" s="34" t="e">
        <f t="shared" si="2"/>
        <v>#N/A</v>
      </c>
      <c r="K129" s="21" t="e">
        <f t="shared" si="3"/>
        <v>#N/A</v>
      </c>
      <c r="L129" s="35" t="e">
        <f t="shared" si="4"/>
        <v>#N/A</v>
      </c>
      <c r="M129" s="36" t="e">
        <f t="shared" si="5"/>
        <v>#N/A</v>
      </c>
      <c r="N129" s="29" t="s">
        <v>77</v>
      </c>
      <c r="O129" s="21" t="e">
        <f t="shared" si="6"/>
        <v>#N/A</v>
      </c>
      <c r="P129" s="21" t="e">
        <f t="shared" si="7"/>
        <v>#N/A</v>
      </c>
      <c r="Q129" s="21" t="e">
        <f t="shared" si="8"/>
        <v>#N/A</v>
      </c>
      <c r="R129" s="21" t="e">
        <f t="shared" si="9"/>
        <v>#N/A</v>
      </c>
      <c r="S129" s="21" t="e">
        <f t="shared" si="10"/>
        <v>#N/A</v>
      </c>
      <c r="T129" s="21" t="e">
        <f t="shared" si="11"/>
        <v>#N/A</v>
      </c>
      <c r="U129" s="21" t="e">
        <f t="shared" si="12"/>
        <v>#N/A</v>
      </c>
      <c r="V129" s="21" t="e">
        <f t="shared" si="13"/>
        <v>#N/A</v>
      </c>
      <c r="W129" s="21" t="e">
        <f t="shared" si="14"/>
        <v>#N/A</v>
      </c>
      <c r="X129" s="21" t="e">
        <f t="shared" si="15"/>
        <v>#N/A</v>
      </c>
      <c r="Y129" s="21" t="e">
        <f t="shared" si="16"/>
        <v>#N/A</v>
      </c>
      <c r="Z129" s="21" t="e">
        <f t="shared" si="17"/>
        <v>#N/A</v>
      </c>
      <c r="AA129" s="21" t="e">
        <f t="shared" si="18"/>
        <v>#N/A</v>
      </c>
      <c r="AB129" s="21" t="e">
        <f t="shared" si="19"/>
        <v>#N/A</v>
      </c>
      <c r="AC129" s="21" t="e">
        <f t="shared" si="20"/>
        <v>#N/A</v>
      </c>
      <c r="AD129" s="21" t="e">
        <f t="shared" si="21"/>
        <v>#N/A</v>
      </c>
      <c r="AE129" s="21" t="e">
        <f t="shared" si="22"/>
        <v>#N/A</v>
      </c>
      <c r="AF129" s="18" t="s">
        <v>95</v>
      </c>
    </row>
    <row r="130" spans="1:39">
      <c r="A130" s="42"/>
      <c r="B130" s="37"/>
      <c r="C130" s="40"/>
      <c r="D130" s="32" t="str">
        <f t="shared" si="0"/>
        <v/>
      </c>
      <c r="E130" s="38"/>
      <c r="G130" s="21" t="s">
        <v>225</v>
      </c>
      <c r="H130" s="13"/>
      <c r="I130" s="33" t="e">
        <f t="shared" si="1"/>
        <v>#N/A</v>
      </c>
      <c r="J130" s="34" t="e">
        <f t="shared" si="2"/>
        <v>#N/A</v>
      </c>
      <c r="K130" s="21" t="e">
        <f t="shared" si="3"/>
        <v>#N/A</v>
      </c>
      <c r="L130" s="35" t="e">
        <f t="shared" si="4"/>
        <v>#N/A</v>
      </c>
      <c r="M130" s="36" t="e">
        <f t="shared" si="5"/>
        <v>#N/A</v>
      </c>
      <c r="N130" s="29" t="s">
        <v>77</v>
      </c>
      <c r="O130" s="21" t="e">
        <f t="shared" si="6"/>
        <v>#N/A</v>
      </c>
      <c r="P130" s="21" t="e">
        <f t="shared" si="7"/>
        <v>#N/A</v>
      </c>
      <c r="Q130" s="21" t="e">
        <f t="shared" si="8"/>
        <v>#N/A</v>
      </c>
      <c r="R130" s="21" t="e">
        <f t="shared" si="9"/>
        <v>#N/A</v>
      </c>
      <c r="S130" s="21" t="e">
        <f t="shared" si="10"/>
        <v>#N/A</v>
      </c>
      <c r="T130" s="21" t="e">
        <f t="shared" si="11"/>
        <v>#N/A</v>
      </c>
      <c r="U130" s="21" t="e">
        <f t="shared" si="12"/>
        <v>#N/A</v>
      </c>
      <c r="V130" s="21" t="e">
        <f t="shared" si="13"/>
        <v>#N/A</v>
      </c>
      <c r="W130" s="21" t="e">
        <f t="shared" si="14"/>
        <v>#N/A</v>
      </c>
      <c r="X130" s="21" t="e">
        <f t="shared" si="15"/>
        <v>#N/A</v>
      </c>
      <c r="Y130" s="21" t="e">
        <f t="shared" si="16"/>
        <v>#N/A</v>
      </c>
      <c r="Z130" s="21" t="e">
        <f t="shared" si="17"/>
        <v>#N/A</v>
      </c>
      <c r="AA130" s="21" t="e">
        <f t="shared" si="18"/>
        <v>#N/A</v>
      </c>
      <c r="AB130" s="21" t="e">
        <f t="shared" si="19"/>
        <v>#N/A</v>
      </c>
      <c r="AC130" s="21" t="e">
        <f t="shared" si="20"/>
        <v>#N/A</v>
      </c>
      <c r="AD130" s="21" t="e">
        <f t="shared" si="21"/>
        <v>#N/A</v>
      </c>
      <c r="AE130" s="21" t="e">
        <f t="shared" si="22"/>
        <v>#N/A</v>
      </c>
      <c r="AF130" s="18" t="s">
        <v>95</v>
      </c>
    </row>
    <row r="131" spans="1:39">
      <c r="A131" s="42"/>
      <c r="B131" s="37"/>
      <c r="C131" s="40"/>
      <c r="D131" s="32" t="str">
        <f t="shared" si="0"/>
        <v/>
      </c>
      <c r="E131" s="38"/>
      <c r="G131" s="21" t="s">
        <v>226</v>
      </c>
      <c r="H131" s="13"/>
      <c r="I131" s="33" t="e">
        <f t="shared" si="1"/>
        <v>#N/A</v>
      </c>
      <c r="J131" s="34" t="e">
        <f t="shared" si="2"/>
        <v>#N/A</v>
      </c>
      <c r="K131" s="21" t="e">
        <f t="shared" si="3"/>
        <v>#N/A</v>
      </c>
      <c r="L131" s="35" t="e">
        <f t="shared" si="4"/>
        <v>#N/A</v>
      </c>
      <c r="M131" s="36" t="e">
        <f t="shared" si="5"/>
        <v>#N/A</v>
      </c>
      <c r="N131" s="29" t="s">
        <v>77</v>
      </c>
      <c r="O131" s="21" t="e">
        <f t="shared" si="6"/>
        <v>#N/A</v>
      </c>
      <c r="P131" s="21" t="e">
        <f t="shared" si="7"/>
        <v>#N/A</v>
      </c>
      <c r="Q131" s="21" t="e">
        <f t="shared" si="8"/>
        <v>#N/A</v>
      </c>
      <c r="R131" s="21" t="e">
        <f t="shared" si="9"/>
        <v>#N/A</v>
      </c>
      <c r="S131" s="21" t="e">
        <f t="shared" si="10"/>
        <v>#N/A</v>
      </c>
      <c r="T131" s="21" t="e">
        <f t="shared" si="11"/>
        <v>#N/A</v>
      </c>
      <c r="U131" s="21" t="e">
        <f t="shared" si="12"/>
        <v>#N/A</v>
      </c>
      <c r="V131" s="21" t="e">
        <f t="shared" si="13"/>
        <v>#N/A</v>
      </c>
      <c r="W131" s="21" t="e">
        <f t="shared" si="14"/>
        <v>#N/A</v>
      </c>
      <c r="X131" s="21" t="e">
        <f t="shared" si="15"/>
        <v>#N/A</v>
      </c>
      <c r="Y131" s="21" t="e">
        <f t="shared" si="16"/>
        <v>#N/A</v>
      </c>
      <c r="Z131" s="21" t="e">
        <f t="shared" si="17"/>
        <v>#N/A</v>
      </c>
      <c r="AA131" s="21" t="e">
        <f t="shared" si="18"/>
        <v>#N/A</v>
      </c>
      <c r="AB131" s="21" t="e">
        <f t="shared" si="19"/>
        <v>#N/A</v>
      </c>
      <c r="AC131" s="21" t="e">
        <f t="shared" si="20"/>
        <v>#N/A</v>
      </c>
      <c r="AD131" s="21" t="e">
        <f t="shared" si="21"/>
        <v>#N/A</v>
      </c>
      <c r="AE131" s="21" t="e">
        <f t="shared" si="22"/>
        <v>#N/A</v>
      </c>
      <c r="AF131" s="18" t="s">
        <v>95</v>
      </c>
    </row>
    <row r="132" spans="1:39">
      <c r="A132" s="42"/>
      <c r="B132" s="37"/>
      <c r="C132" s="40"/>
      <c r="D132" s="32" t="str">
        <f t="shared" si="0"/>
        <v/>
      </c>
      <c r="E132" s="41"/>
      <c r="G132" s="21" t="s">
        <v>227</v>
      </c>
      <c r="H132" s="9"/>
      <c r="I132" s="33" t="e">
        <f t="shared" si="1"/>
        <v>#N/A</v>
      </c>
      <c r="J132" s="34" t="e">
        <f t="shared" si="2"/>
        <v>#N/A</v>
      </c>
      <c r="K132" s="21" t="e">
        <f t="shared" si="3"/>
        <v>#N/A</v>
      </c>
      <c r="L132" s="35" t="e">
        <f t="shared" si="4"/>
        <v>#N/A</v>
      </c>
      <c r="M132" s="36" t="e">
        <f t="shared" si="5"/>
        <v>#N/A</v>
      </c>
      <c r="N132" s="29" t="s">
        <v>77</v>
      </c>
      <c r="O132" s="21" t="e">
        <f t="shared" si="6"/>
        <v>#N/A</v>
      </c>
      <c r="P132" s="21" t="e">
        <f t="shared" si="7"/>
        <v>#N/A</v>
      </c>
      <c r="Q132" s="21" t="e">
        <f t="shared" si="8"/>
        <v>#N/A</v>
      </c>
      <c r="R132" s="21" t="e">
        <f t="shared" si="9"/>
        <v>#N/A</v>
      </c>
      <c r="S132" s="21" t="e">
        <f t="shared" si="10"/>
        <v>#N/A</v>
      </c>
      <c r="T132" s="21" t="e">
        <f t="shared" si="11"/>
        <v>#N/A</v>
      </c>
      <c r="U132" s="21" t="e">
        <f t="shared" si="12"/>
        <v>#N/A</v>
      </c>
      <c r="V132" s="21" t="e">
        <f t="shared" si="13"/>
        <v>#N/A</v>
      </c>
      <c r="W132" s="21" t="e">
        <f t="shared" si="14"/>
        <v>#N/A</v>
      </c>
      <c r="X132" s="21" t="e">
        <f t="shared" si="15"/>
        <v>#N/A</v>
      </c>
      <c r="Y132" s="21" t="e">
        <f t="shared" si="16"/>
        <v>#N/A</v>
      </c>
      <c r="Z132" s="21" t="e">
        <f t="shared" si="17"/>
        <v>#N/A</v>
      </c>
      <c r="AA132" s="21" t="e">
        <f t="shared" si="18"/>
        <v>#N/A</v>
      </c>
      <c r="AB132" s="21" t="e">
        <f t="shared" si="19"/>
        <v>#N/A</v>
      </c>
      <c r="AC132" s="21" t="e">
        <f t="shared" si="20"/>
        <v>#N/A</v>
      </c>
      <c r="AD132" s="21" t="e">
        <f t="shared" si="21"/>
        <v>#N/A</v>
      </c>
      <c r="AE132" s="21" t="e">
        <f t="shared" si="22"/>
        <v>#N/A</v>
      </c>
      <c r="AF132" s="18" t="s">
        <v>95</v>
      </c>
    </row>
    <row r="133" spans="1:39">
      <c r="A133" s="42"/>
      <c r="B133" s="43"/>
      <c r="C133" s="40"/>
      <c r="D133" s="44" t="str">
        <f t="shared" si="0"/>
        <v/>
      </c>
      <c r="E133" s="38"/>
      <c r="F133" s="18"/>
      <c r="G133" s="21" t="s">
        <v>228</v>
      </c>
      <c r="H133" s="13"/>
      <c r="I133" s="33" t="e">
        <f t="shared" si="1"/>
        <v>#N/A</v>
      </c>
      <c r="J133" s="34" t="e">
        <f t="shared" si="2"/>
        <v>#N/A</v>
      </c>
      <c r="K133" s="21" t="e">
        <f t="shared" si="3"/>
        <v>#N/A</v>
      </c>
      <c r="L133" s="35" t="e">
        <f t="shared" si="4"/>
        <v>#N/A</v>
      </c>
      <c r="M133" s="36" t="e">
        <f t="shared" si="5"/>
        <v>#N/A</v>
      </c>
      <c r="N133" s="29" t="s">
        <v>77</v>
      </c>
      <c r="O133" s="21" t="e">
        <f t="shared" si="6"/>
        <v>#N/A</v>
      </c>
      <c r="P133" s="21" t="e">
        <f t="shared" si="7"/>
        <v>#N/A</v>
      </c>
      <c r="Q133" s="21" t="e">
        <f t="shared" si="8"/>
        <v>#N/A</v>
      </c>
      <c r="R133" s="21" t="e">
        <f t="shared" si="9"/>
        <v>#N/A</v>
      </c>
      <c r="S133" s="21" t="e">
        <f t="shared" si="10"/>
        <v>#N/A</v>
      </c>
      <c r="T133" s="21" t="e">
        <f t="shared" si="11"/>
        <v>#N/A</v>
      </c>
      <c r="U133" s="21" t="e">
        <f t="shared" si="12"/>
        <v>#N/A</v>
      </c>
      <c r="V133" s="21" t="e">
        <f t="shared" si="13"/>
        <v>#N/A</v>
      </c>
      <c r="W133" s="21" t="e">
        <f t="shared" si="14"/>
        <v>#N/A</v>
      </c>
      <c r="X133" s="21" t="e">
        <f t="shared" si="15"/>
        <v>#N/A</v>
      </c>
      <c r="Y133" s="21" t="e">
        <f t="shared" si="16"/>
        <v>#N/A</v>
      </c>
      <c r="Z133" s="21" t="e">
        <f t="shared" si="17"/>
        <v>#N/A</v>
      </c>
      <c r="AA133" s="21" t="e">
        <f t="shared" si="18"/>
        <v>#N/A</v>
      </c>
      <c r="AB133" s="21" t="e">
        <f t="shared" si="19"/>
        <v>#N/A</v>
      </c>
      <c r="AC133" s="21" t="e">
        <f t="shared" si="20"/>
        <v>#N/A</v>
      </c>
      <c r="AD133" s="21" t="e">
        <f t="shared" si="21"/>
        <v>#N/A</v>
      </c>
      <c r="AE133" s="21" t="e">
        <f t="shared" si="22"/>
        <v>#N/A</v>
      </c>
      <c r="AF133" s="18" t="s">
        <v>95</v>
      </c>
    </row>
    <row r="134" spans="1:39">
      <c r="A134" s="42"/>
      <c r="B134" s="40"/>
      <c r="C134" s="40"/>
      <c r="D134" s="40"/>
      <c r="E134" s="38"/>
      <c r="F134" s="18"/>
      <c r="G134" s="13"/>
      <c r="H134" s="13"/>
      <c r="I134" s="45"/>
      <c r="M134" s="18"/>
      <c r="N134" s="18"/>
      <c r="O134" s="18"/>
      <c r="P134" s="18"/>
      <c r="Q134" s="22"/>
      <c r="R134" s="21"/>
      <c r="S134" s="21"/>
      <c r="T134" s="21"/>
      <c r="AA134"/>
    </row>
    <row r="135" spans="1:39">
      <c r="A135" s="42"/>
      <c r="B135" s="46" t="s">
        <v>229</v>
      </c>
      <c r="C135" s="14"/>
      <c r="D135" s="18"/>
      <c r="E135" s="18"/>
      <c r="F135" s="18"/>
      <c r="H135" s="13"/>
      <c r="I135" s="45"/>
      <c r="M135" s="18"/>
      <c r="N135" s="18"/>
      <c r="O135" s="18"/>
      <c r="P135" s="18"/>
      <c r="Q135" s="22"/>
      <c r="R135" s="21"/>
      <c r="S135" s="21"/>
      <c r="T135" s="21"/>
      <c r="AA135"/>
    </row>
    <row r="136" spans="1:39">
      <c r="A136" s="42"/>
      <c r="B136" s="47" t="s">
        <v>230</v>
      </c>
      <c r="C136" s="14"/>
      <c r="D136" s="18"/>
      <c r="E136" s="18"/>
      <c r="F136" s="18"/>
      <c r="H136" s="13"/>
      <c r="I136" s="45"/>
      <c r="M136" s="18"/>
      <c r="N136" s="18"/>
      <c r="O136" s="18"/>
      <c r="P136" s="18"/>
      <c r="Q136" s="22"/>
      <c r="R136" s="21"/>
      <c r="S136" s="21"/>
      <c r="T136" s="21"/>
      <c r="AA136"/>
    </row>
    <row r="137" spans="1:39">
      <c r="A137" s="42"/>
      <c r="B137" s="40"/>
      <c r="C137" s="40"/>
      <c r="D137" s="40"/>
      <c r="E137" s="38"/>
      <c r="F137" s="18"/>
      <c r="G137" s="13"/>
      <c r="H137" s="13"/>
      <c r="I137" s="45"/>
      <c r="M137" s="18"/>
      <c r="N137" s="18"/>
      <c r="O137" s="18"/>
      <c r="P137" s="18"/>
      <c r="Q137" s="22"/>
      <c r="R137" s="21"/>
      <c r="S137" s="21"/>
      <c r="T137" s="21"/>
      <c r="AA137"/>
    </row>
    <row r="138" spans="1:39">
      <c r="A138" s="42"/>
      <c r="B138" s="38" t="s">
        <v>231</v>
      </c>
      <c r="C138" s="38"/>
      <c r="D138" s="40"/>
      <c r="E138" s="38"/>
      <c r="F138" s="18"/>
      <c r="G138" s="18" t="s">
        <v>232</v>
      </c>
      <c r="H138" s="4" t="s">
        <v>233</v>
      </c>
      <c r="I138" s="18" t="s">
        <v>234</v>
      </c>
      <c r="M138" s="18"/>
      <c r="N138" s="18"/>
      <c r="O138" s="18"/>
      <c r="P138" s="18"/>
      <c r="Q138" s="22"/>
      <c r="R138" s="21"/>
      <c r="S138" s="21"/>
      <c r="T138" s="21"/>
      <c r="AA138"/>
    </row>
    <row r="139" spans="1:39">
      <c r="A139" s="42"/>
      <c r="B139" s="40"/>
      <c r="C139" s="40"/>
      <c r="D139" s="40"/>
      <c r="E139" s="38"/>
      <c r="F139" s="18"/>
      <c r="G139" s="13">
        <f>COUNTIF($AH$142:$AH$3800,"="&amp;H139)</f>
        <v>3354</v>
      </c>
      <c r="H139" s="13" t="str">
        <f>RIGHT(AH74,LEN(AH74)-AH66)</f>
        <v>k yet</v>
      </c>
      <c r="I139" s="45"/>
      <c r="M139" s="18"/>
      <c r="N139" s="18"/>
      <c r="O139" s="18"/>
      <c r="P139" s="18"/>
      <c r="Q139" s="22"/>
      <c r="R139" s="21"/>
      <c r="S139" s="21"/>
      <c r="T139" s="21"/>
      <c r="AA139"/>
    </row>
    <row r="140" spans="1:39">
      <c r="A140" s="38"/>
      <c r="B140" s="40"/>
      <c r="C140" s="48"/>
      <c r="D140" s="49"/>
      <c r="E140" s="41" t="s">
        <v>69</v>
      </c>
      <c r="F140" s="22"/>
      <c r="G140" s="13"/>
      <c r="H140" s="9" t="s">
        <v>61</v>
      </c>
      <c r="I140" s="45"/>
      <c r="K140" s="22" t="s">
        <v>73</v>
      </c>
      <c r="L140" s="18" t="s">
        <v>74</v>
      </c>
      <c r="M140" s="22" t="s">
        <v>78</v>
      </c>
      <c r="N140" s="22" t="s">
        <v>79</v>
      </c>
      <c r="O140" s="22" t="s">
        <v>80</v>
      </c>
      <c r="P140" s="22" t="s">
        <v>81</v>
      </c>
      <c r="Q140" s="22" t="s">
        <v>82</v>
      </c>
      <c r="R140" s="22" t="s">
        <v>83</v>
      </c>
      <c r="S140" s="22" t="s">
        <v>84</v>
      </c>
      <c r="T140" s="18" t="s">
        <v>85</v>
      </c>
      <c r="U140" s="18" t="s">
        <v>86</v>
      </c>
      <c r="V140" s="18" t="s">
        <v>87</v>
      </c>
      <c r="W140" s="18" t="s">
        <v>88</v>
      </c>
      <c r="X140" s="18" t="s">
        <v>89</v>
      </c>
      <c r="Y140" s="18" t="s">
        <v>90</v>
      </c>
      <c r="Z140" s="18" t="s">
        <v>91</v>
      </c>
      <c r="AA140" s="18" t="s">
        <v>92</v>
      </c>
      <c r="AB140" s="18" t="s">
        <v>93</v>
      </c>
      <c r="AC140" s="18" t="s">
        <v>94</v>
      </c>
      <c r="AD140" s="18" t="s">
        <v>235</v>
      </c>
      <c r="AE140" s="18" t="s">
        <v>236</v>
      </c>
      <c r="AF140" s="18" t="s">
        <v>237</v>
      </c>
      <c r="AG140" s="18" t="s">
        <v>238</v>
      </c>
      <c r="AH140" s="18" t="s">
        <v>239</v>
      </c>
      <c r="AI140" s="18" t="s">
        <v>240</v>
      </c>
      <c r="AJ140" s="18" t="s">
        <v>241</v>
      </c>
      <c r="AK140" s="18" t="s">
        <v>242</v>
      </c>
      <c r="AL140" s="18" t="s">
        <v>243</v>
      </c>
      <c r="AM140" s="50" t="s">
        <v>244</v>
      </c>
    </row>
    <row r="141" spans="1:39">
      <c r="A141" s="40" t="s">
        <v>245</v>
      </c>
      <c r="B141" s="51" t="str">
        <f>D4</f>
        <v/>
      </c>
      <c r="C141" s="40" t="str">
        <f t="shared" ref="C141:C167" si="23">A141</f>
        <v>#</v>
      </c>
      <c r="D141" s="40" t="str">
        <f>"   "&amp;B141&amp;REPT(" ",$AH$70-LEN(B141)-3)</f>
        <v xml:space="preserve">                                                            </v>
      </c>
      <c r="E141" s="38" t="e">
        <f>SUM(E142:E167)&amp;" pts[/b]"</f>
        <v>#VALUE!</v>
      </c>
      <c r="F141" s="21" t="e">
        <f>SUM(E142:E167)</f>
        <v>#VALUE!</v>
      </c>
      <c r="G141" s="13">
        <f t="shared" ref="G141:G268" si="24">COUNTIF($AH$142:$AH$3800,"="&amp;H141)</f>
        <v>0</v>
      </c>
      <c r="H141" s="13" t="e">
        <f>LEFT(VLOOKUP(ScoPo!S4,ScoPo!$G$150:$J$277,4,0),FIND(",",VLOOKUP(ScoPo!S4,ScoPo!$G$150:$J$277,4,0))-1)&amp;" "&amp;$AH$65&amp;" "&amp;LEFT(VLOOKUP(ScoPo!T4,ScoPo!$G$150:$J$277,4,0),FIND(",",VLOOKUP(ScoPo!T4,ScoPo!$G$150:$J$277,4,0))-1)</f>
        <v>#N/A</v>
      </c>
      <c r="I141" s="13" t="str">
        <f>IF(ScoPo!K4=1,ScoPo!N4,IF(ScoPo!K4=2,0," "))</f>
        <v xml:space="preserve"> </v>
      </c>
      <c r="K141" s="18">
        <f>COUNTIF(E142:E167,"&gt;0")</f>
        <v>0</v>
      </c>
      <c r="L141" s="21">
        <f>AM141-K141</f>
        <v>0</v>
      </c>
      <c r="M141" s="22" t="e">
        <f>MAX(E142:E167)</f>
        <v>#VALUE!</v>
      </c>
      <c r="N141" s="22" t="e">
        <f>LARGE(E142:E167,2)</f>
        <v>#VALUE!</v>
      </c>
      <c r="O141" s="22" t="e">
        <f>LARGE(E142:E167,3)</f>
        <v>#VALUE!</v>
      </c>
      <c r="P141" s="18" t="e">
        <f>LARGE(E142:E167,4)</f>
        <v>#VALUE!</v>
      </c>
      <c r="Q141" s="22" t="e">
        <f>LARGE(E142:E167,5)</f>
        <v>#VALUE!</v>
      </c>
      <c r="R141" s="22" t="e">
        <f>LARGE(E142:E167,6)</f>
        <v>#VALUE!</v>
      </c>
      <c r="S141" s="22" t="e">
        <f>LARGE(E142:E167,7)</f>
        <v>#VALUE!</v>
      </c>
      <c r="T141" s="18" t="e">
        <f>LARGE(E142:E167,8)</f>
        <v>#VALUE!</v>
      </c>
      <c r="U141" s="18" t="e">
        <f>LARGE(E142:E167,9)</f>
        <v>#VALUE!</v>
      </c>
      <c r="V141" s="18" t="e">
        <f>LARGE(E142:E167,10)</f>
        <v>#VALUE!</v>
      </c>
      <c r="W141" s="18" t="e">
        <f>LARGE(E142:E167,11)</f>
        <v>#VALUE!</v>
      </c>
      <c r="X141" s="18" t="e">
        <f>LARGE(E142:E167,12)</f>
        <v>#VALUE!</v>
      </c>
      <c r="Y141" s="18" t="e">
        <f>LARGE(E142:E167,13)</f>
        <v>#VALUE!</v>
      </c>
      <c r="Z141" s="18" t="e">
        <f>LARGE(E142:E167,14)</f>
        <v>#VALUE!</v>
      </c>
      <c r="AA141" s="18" t="e">
        <f>LARGE(E142:E167,15)</f>
        <v>#VALUE!</v>
      </c>
      <c r="AB141" s="18" t="e">
        <f>LARGE(E142:E167,16)</f>
        <v>#VALUE!</v>
      </c>
      <c r="AC141" s="18" t="e">
        <f>LARGE(E142:E167,17)</f>
        <v>#VALUE!</v>
      </c>
      <c r="AD141" s="18" t="e">
        <f>LARGE(E142:E168,13)</f>
        <v>#VALUE!</v>
      </c>
      <c r="AE141" s="18" t="e">
        <f>LARGE(E142:E167,19)</f>
        <v>#VALUE!</v>
      </c>
      <c r="AF141" s="18" t="e">
        <f>LARGE(E142:E167,20)</f>
        <v>#VALUE!</v>
      </c>
      <c r="AG141" s="18" t="e">
        <f>LARGE(E142:E167,21)</f>
        <v>#VALUE!</v>
      </c>
      <c r="AH141" s="18" t="e">
        <f>LARGE(E142:E167,22)</f>
        <v>#VALUE!</v>
      </c>
      <c r="AI141" s="18" t="e">
        <f>LARGE(E142:E167,23)</f>
        <v>#VALUE!</v>
      </c>
      <c r="AJ141" s="18" t="e">
        <f>LARGE(E142:E167,24)</f>
        <v>#VALUE!</v>
      </c>
      <c r="AK141" s="18" t="e">
        <f>LARGE(E142:E167,25)</f>
        <v>#VALUE!</v>
      </c>
      <c r="AL141" s="18" t="e">
        <f>LARGE(E142:E167,26)</f>
        <v>#VALUE!</v>
      </c>
      <c r="AM141" s="50">
        <f>COUNTIF(AH142:AH167,"&lt;&gt;"&amp;AH76)-(26-COUNTIF(E142:E167,"&gt;=0"))</f>
        <v>0</v>
      </c>
    </row>
    <row r="142" spans="1:39">
      <c r="A142" s="42" t="s">
        <v>246</v>
      </c>
      <c r="B142" s="67"/>
      <c r="C142" s="40" t="str">
        <f t="shared" si="23"/>
        <v>01-&gt;</v>
      </c>
      <c r="D142" s="40" t="str">
        <f t="shared" ref="D142:D167" si="25">B142&amp;REPT(" ",$AH$70-LEN(B142))</f>
        <v xml:space="preserve">                                                            </v>
      </c>
      <c r="E142" s="52" t="e">
        <f>VLOOKUP(RIGHT(B142,LEN(B142)-$AH$66),$H$138:$I$420,2,0)</f>
        <v>#VALUE!</v>
      </c>
      <c r="G142" s="13">
        <f t="shared" si="24"/>
        <v>0</v>
      </c>
      <c r="H142" s="13" t="e">
        <f>LEFT(VLOOKUP(ScoPo!S5,ScoPo!$G$150:$J$277,4,0),FIND(",",VLOOKUP(ScoPo!S5,ScoPo!$G$150:$J$277,4,0))-1)&amp;" "&amp;$AH$65&amp;" "&amp;LEFT(VLOOKUP(ScoPo!T5,ScoPo!$G$150:$J$277,4,0),FIND(",",VLOOKUP(ScoPo!T5,ScoPo!$G$150:$J$277,4,0))-1)</f>
        <v>#N/A</v>
      </c>
      <c r="I142" s="13" t="str">
        <f>IF(ScoPo!K5=1,ScoPo!N5,IF(ScoPo!K5=2,0," "))</f>
        <v xml:space="preserve"> </v>
      </c>
      <c r="M142" s="18"/>
      <c r="N142" s="18"/>
      <c r="O142" s="18"/>
      <c r="P142" s="18"/>
      <c r="Q142" s="22"/>
      <c r="R142" s="21"/>
      <c r="S142" s="21"/>
      <c r="T142" s="21"/>
      <c r="AA142"/>
      <c r="AH142" t="e">
        <f t="shared" ref="AH142:AH167" si="26">RIGHT(B142,LEN(B142)-$AH$66)</f>
        <v>#VALUE!</v>
      </c>
    </row>
    <row r="143" spans="1:39">
      <c r="A143" s="42" t="s">
        <v>247</v>
      </c>
      <c r="B143" s="67"/>
      <c r="C143" s="40" t="str">
        <f t="shared" si="23"/>
        <v>02-&gt;</v>
      </c>
      <c r="D143" s="40" t="str">
        <f t="shared" si="25"/>
        <v xml:space="preserve">                                                            </v>
      </c>
      <c r="E143" s="52" t="e">
        <f t="shared" ref="E143:E167" si="27">VLOOKUP(RIGHT(B143,LEN(B143)-$AH$66),$H$138:$I$420,2,0)</f>
        <v>#VALUE!</v>
      </c>
      <c r="G143" s="13">
        <f t="shared" si="24"/>
        <v>0</v>
      </c>
      <c r="H143" s="13" t="e">
        <f>LEFT(VLOOKUP(ScoPo!S6,ScoPo!$G$150:$J$277,4,0),FIND(",",VLOOKUP(ScoPo!S6,ScoPo!$G$150:$J$277,4,0))-1)&amp;" "&amp;$AH$65&amp;" "&amp;LEFT(VLOOKUP(ScoPo!T6,ScoPo!$G$150:$J$277,4,0),FIND(",",VLOOKUP(ScoPo!T6,ScoPo!$G$150:$J$277,4,0))-1)</f>
        <v>#N/A</v>
      </c>
      <c r="I143" s="13" t="str">
        <f>IF(ScoPo!K6=1,ScoPo!N6,IF(ScoPo!K6=2,0," "))</f>
        <v xml:space="preserve"> </v>
      </c>
      <c r="J143" s="22"/>
      <c r="K143" s="22"/>
      <c r="N143" s="22"/>
      <c r="O143" s="22"/>
      <c r="P143" s="22"/>
      <c r="Q143" s="22"/>
      <c r="R143" s="22"/>
      <c r="S143" s="22"/>
      <c r="Z143" s="53"/>
      <c r="AA143"/>
      <c r="AH143" t="e">
        <f t="shared" si="26"/>
        <v>#VALUE!</v>
      </c>
    </row>
    <row r="144" spans="1:39">
      <c r="A144" s="42" t="s">
        <v>248</v>
      </c>
      <c r="B144" s="67"/>
      <c r="C144" s="40" t="str">
        <f t="shared" si="23"/>
        <v>03-&gt;</v>
      </c>
      <c r="D144" s="40" t="str">
        <f t="shared" si="25"/>
        <v xml:space="preserve">                                                            </v>
      </c>
      <c r="E144" s="52" t="e">
        <f t="shared" si="27"/>
        <v>#VALUE!</v>
      </c>
      <c r="G144" s="13">
        <f t="shared" si="24"/>
        <v>0</v>
      </c>
      <c r="H144" s="13" t="e">
        <f>LEFT(VLOOKUP(ScoPo!S7,ScoPo!$G$150:$J$277,4,0),FIND(",",VLOOKUP(ScoPo!S7,ScoPo!$G$150:$J$277,4,0))-1)&amp;" "&amp;$AH$65&amp;" "&amp;LEFT(VLOOKUP(ScoPo!T7,ScoPo!$G$150:$J$277,4,0),FIND(",",VLOOKUP(ScoPo!T7,ScoPo!$G$150:$J$277,4,0))-1)</f>
        <v>#N/A</v>
      </c>
      <c r="I144" s="13" t="str">
        <f>IF(ScoPo!K7=1,ScoPo!N7,IF(ScoPo!K7=2,0," "))</f>
        <v xml:space="preserve"> </v>
      </c>
      <c r="J144" s="22"/>
      <c r="L144" s="21"/>
      <c r="N144" s="22"/>
      <c r="O144" s="22"/>
      <c r="P144" s="18"/>
      <c r="Q144" s="22"/>
      <c r="R144" s="22"/>
      <c r="S144" s="22"/>
      <c r="Z144" s="53"/>
      <c r="AA144"/>
      <c r="AH144" t="e">
        <f t="shared" si="26"/>
        <v>#VALUE!</v>
      </c>
    </row>
    <row r="145" spans="1:34">
      <c r="A145" s="42" t="s">
        <v>249</v>
      </c>
      <c r="B145" s="67"/>
      <c r="C145" s="40" t="str">
        <f t="shared" si="23"/>
        <v>04-&gt;</v>
      </c>
      <c r="D145" s="40" t="str">
        <f t="shared" si="25"/>
        <v xml:space="preserve">                                                            </v>
      </c>
      <c r="E145" s="52" t="e">
        <f t="shared" si="27"/>
        <v>#VALUE!</v>
      </c>
      <c r="F145" s="18"/>
      <c r="G145" s="13">
        <f t="shared" si="24"/>
        <v>0</v>
      </c>
      <c r="H145" s="13" t="e">
        <f>LEFT(VLOOKUP(ScoPo!S8,ScoPo!$G$150:$J$277,4,0),FIND(",",VLOOKUP(ScoPo!S8,ScoPo!$G$150:$J$277,4,0))-1)&amp;" "&amp;$AH$65&amp;" "&amp;LEFT(VLOOKUP(ScoPo!T8,ScoPo!$G$150:$J$277,4,0),FIND(",",VLOOKUP(ScoPo!T8,ScoPo!$G$150:$J$277,4,0))-1)</f>
        <v>#N/A</v>
      </c>
      <c r="I145" s="13" t="str">
        <f>IF(ScoPo!K8=1,ScoPo!N8,IF(ScoPo!K8=2,0," "))</f>
        <v xml:space="preserve"> </v>
      </c>
      <c r="M145" s="18"/>
      <c r="N145" s="18"/>
      <c r="O145" s="18"/>
      <c r="P145" s="18"/>
      <c r="Q145" s="22"/>
      <c r="R145" s="21"/>
      <c r="S145" s="21"/>
      <c r="T145" s="21"/>
      <c r="AA145"/>
      <c r="AH145" t="e">
        <f t="shared" si="26"/>
        <v>#VALUE!</v>
      </c>
    </row>
    <row r="146" spans="1:34">
      <c r="A146" s="42" t="s">
        <v>250</v>
      </c>
      <c r="B146" s="67"/>
      <c r="C146" s="40" t="str">
        <f t="shared" si="23"/>
        <v>05-&gt;</v>
      </c>
      <c r="D146" s="40" t="str">
        <f t="shared" si="25"/>
        <v xml:space="preserve">                                                            </v>
      </c>
      <c r="E146" s="52" t="e">
        <f t="shared" si="27"/>
        <v>#VALUE!</v>
      </c>
      <c r="F146" s="18"/>
      <c r="G146" s="13">
        <f t="shared" si="24"/>
        <v>0</v>
      </c>
      <c r="H146" s="13" t="e">
        <f>LEFT(VLOOKUP(ScoPo!S9,ScoPo!$G$150:$J$277,4,0),FIND(",",VLOOKUP(ScoPo!S9,ScoPo!$G$150:$J$277,4,0))-1)&amp;" "&amp;$AH$65&amp;" "&amp;LEFT(VLOOKUP(ScoPo!T9,ScoPo!$G$150:$J$277,4,0),FIND(",",VLOOKUP(ScoPo!T9,ScoPo!$G$150:$J$277,4,0))-1)</f>
        <v>#N/A</v>
      </c>
      <c r="I146" s="13" t="str">
        <f>IF(ScoPo!K9=1,ScoPo!N9,IF(ScoPo!K9=2,0," "))</f>
        <v xml:space="preserve"> </v>
      </c>
      <c r="M146" s="18"/>
      <c r="N146" s="18"/>
      <c r="O146" s="18"/>
      <c r="P146" s="18"/>
      <c r="Q146" s="22"/>
      <c r="R146" s="21"/>
      <c r="S146" s="21"/>
      <c r="T146" s="21"/>
      <c r="AA146"/>
      <c r="AH146" t="e">
        <f t="shared" si="26"/>
        <v>#VALUE!</v>
      </c>
    </row>
    <row r="147" spans="1:34">
      <c r="A147" s="42" t="s">
        <v>251</v>
      </c>
      <c r="B147" s="67"/>
      <c r="C147" s="40" t="str">
        <f t="shared" si="23"/>
        <v>06-&gt;</v>
      </c>
      <c r="D147" s="40" t="str">
        <f t="shared" si="25"/>
        <v xml:space="preserve">                                                            </v>
      </c>
      <c r="E147" s="52" t="e">
        <f t="shared" si="27"/>
        <v>#VALUE!</v>
      </c>
      <c r="F147" s="18"/>
      <c r="G147" s="13">
        <f t="shared" si="24"/>
        <v>0</v>
      </c>
      <c r="H147" s="13" t="e">
        <f>LEFT(VLOOKUP(ScoPo!S10,ScoPo!$G$150:$J$277,4,0),FIND(",",VLOOKUP(ScoPo!S10,ScoPo!$G$150:$J$277,4,0))-1)&amp;" "&amp;$AH$65&amp;" "&amp;LEFT(VLOOKUP(ScoPo!T10,ScoPo!$G$150:$J$277,4,0),FIND(",",VLOOKUP(ScoPo!T10,ScoPo!$G$150:$J$277,4,0))-1)</f>
        <v>#N/A</v>
      </c>
      <c r="I147" s="13" t="str">
        <f>IF(ScoPo!K10=1,ScoPo!N10,IF(ScoPo!K10=2,0," "))</f>
        <v xml:space="preserve"> </v>
      </c>
      <c r="M147" s="18"/>
      <c r="N147" s="18"/>
      <c r="O147" s="18"/>
      <c r="P147" s="18"/>
      <c r="Q147" s="22"/>
      <c r="R147" s="21"/>
      <c r="S147" s="21"/>
      <c r="T147" s="21"/>
      <c r="AA147"/>
      <c r="AH147" t="e">
        <f t="shared" si="26"/>
        <v>#VALUE!</v>
      </c>
    </row>
    <row r="148" spans="1:34">
      <c r="A148" s="42" t="s">
        <v>252</v>
      </c>
      <c r="B148" s="67"/>
      <c r="C148" s="40" t="str">
        <f t="shared" si="23"/>
        <v>07-&gt;</v>
      </c>
      <c r="D148" s="40" t="str">
        <f t="shared" si="25"/>
        <v xml:space="preserve">                                                            </v>
      </c>
      <c r="E148" s="52" t="e">
        <f t="shared" si="27"/>
        <v>#VALUE!</v>
      </c>
      <c r="F148" s="18"/>
      <c r="G148" s="13">
        <f t="shared" si="24"/>
        <v>0</v>
      </c>
      <c r="H148" s="13" t="e">
        <f>LEFT(VLOOKUP(ScoPo!S11,ScoPo!$G$150:$J$277,4,0),FIND(",",VLOOKUP(ScoPo!S11,ScoPo!$G$150:$J$277,4,0))-1)&amp;" "&amp;$AH$65&amp;" "&amp;LEFT(VLOOKUP(ScoPo!T11,ScoPo!$G$150:$J$277,4,0),FIND(",",VLOOKUP(ScoPo!T11,ScoPo!$G$150:$J$277,4,0))-1)</f>
        <v>#N/A</v>
      </c>
      <c r="I148" s="13" t="str">
        <f>IF(ScoPo!K11=1,ScoPo!N11,IF(ScoPo!K11=2,0," "))</f>
        <v xml:space="preserve"> </v>
      </c>
      <c r="M148" s="18"/>
      <c r="N148" s="18"/>
      <c r="O148" s="18"/>
      <c r="P148" s="18"/>
      <c r="Q148" s="22"/>
      <c r="R148" s="21"/>
      <c r="S148" s="21"/>
      <c r="T148" s="21"/>
      <c r="AA148"/>
      <c r="AH148" t="e">
        <f t="shared" si="26"/>
        <v>#VALUE!</v>
      </c>
    </row>
    <row r="149" spans="1:34">
      <c r="A149" s="42" t="s">
        <v>253</v>
      </c>
      <c r="B149" s="67"/>
      <c r="C149" s="40" t="str">
        <f t="shared" si="23"/>
        <v>08-&gt;</v>
      </c>
      <c r="D149" s="40" t="str">
        <f t="shared" si="25"/>
        <v xml:space="preserve">                                                            </v>
      </c>
      <c r="E149" s="52" t="e">
        <f t="shared" si="27"/>
        <v>#VALUE!</v>
      </c>
      <c r="F149" s="18"/>
      <c r="G149" s="13">
        <f t="shared" si="24"/>
        <v>0</v>
      </c>
      <c r="H149" s="13" t="e">
        <f>LEFT(VLOOKUP(ScoPo!S12,ScoPo!$G$150:$J$277,4,0),FIND(",",VLOOKUP(ScoPo!S12,ScoPo!$G$150:$J$277,4,0))-1)&amp;" "&amp;$AH$65&amp;" "&amp;LEFT(VLOOKUP(ScoPo!T12,ScoPo!$G$150:$J$277,4,0),FIND(",",VLOOKUP(ScoPo!T12,ScoPo!$G$150:$J$277,4,0))-1)</f>
        <v>#N/A</v>
      </c>
      <c r="I149" s="13" t="str">
        <f>IF(ScoPo!K12=1,ScoPo!N12,IF(ScoPo!K12=2,0," "))</f>
        <v xml:space="preserve"> </v>
      </c>
      <c r="M149" s="18"/>
      <c r="N149" s="18"/>
      <c r="O149" s="18"/>
      <c r="P149" s="18"/>
      <c r="Q149" s="22"/>
      <c r="R149" s="21"/>
      <c r="S149" s="21"/>
      <c r="T149" s="21"/>
      <c r="AA149"/>
      <c r="AH149" t="e">
        <f t="shared" si="26"/>
        <v>#VALUE!</v>
      </c>
    </row>
    <row r="150" spans="1:34">
      <c r="A150" s="42" t="s">
        <v>254</v>
      </c>
      <c r="B150" s="67"/>
      <c r="C150" s="40" t="str">
        <f t="shared" si="23"/>
        <v>09-&gt;</v>
      </c>
      <c r="D150" s="40" t="str">
        <f t="shared" si="25"/>
        <v xml:space="preserve">                                                            </v>
      </c>
      <c r="E150" s="52" t="e">
        <f t="shared" si="27"/>
        <v>#VALUE!</v>
      </c>
      <c r="F150" s="18"/>
      <c r="G150" s="13">
        <f t="shared" si="24"/>
        <v>0</v>
      </c>
      <c r="H150" s="13" t="e">
        <f>LEFT(VLOOKUP(ScoPo!S13,ScoPo!$G$150:$J$277,4,0),FIND(",",VLOOKUP(ScoPo!S13,ScoPo!$G$150:$J$277,4,0))-1)&amp;" "&amp;$AH$65&amp;" "&amp;LEFT(VLOOKUP(ScoPo!T13,ScoPo!$G$150:$J$277,4,0),FIND(",",VLOOKUP(ScoPo!T13,ScoPo!$G$150:$J$277,4,0))-1)</f>
        <v>#N/A</v>
      </c>
      <c r="I150" s="13" t="str">
        <f>IF(ScoPo!K13=1,ScoPo!N13,IF(ScoPo!K13=2,0," "))</f>
        <v xml:space="preserve"> </v>
      </c>
      <c r="M150" s="18"/>
      <c r="N150" s="18"/>
      <c r="O150" s="18"/>
      <c r="P150" s="18"/>
      <c r="Q150" s="22"/>
      <c r="R150" s="21"/>
      <c r="S150" s="21"/>
      <c r="T150" s="21"/>
      <c r="AA150"/>
      <c r="AH150" t="e">
        <f t="shared" si="26"/>
        <v>#VALUE!</v>
      </c>
    </row>
    <row r="151" spans="1:34">
      <c r="A151" s="42" t="s">
        <v>255</v>
      </c>
      <c r="B151" s="67"/>
      <c r="C151" s="40" t="str">
        <f t="shared" si="23"/>
        <v>10-&gt;</v>
      </c>
      <c r="D151" s="40" t="str">
        <f t="shared" si="25"/>
        <v xml:space="preserve">                                                            </v>
      </c>
      <c r="E151" s="52" t="e">
        <f t="shared" si="27"/>
        <v>#VALUE!</v>
      </c>
      <c r="F151" s="18"/>
      <c r="G151" s="13">
        <f t="shared" si="24"/>
        <v>0</v>
      </c>
      <c r="H151" s="13" t="e">
        <f>LEFT(VLOOKUP(ScoPo!S14,ScoPo!$G$150:$J$277,4,0),FIND(",",VLOOKUP(ScoPo!S14,ScoPo!$G$150:$J$277,4,0))-1)&amp;" "&amp;$AH$65&amp;" "&amp;LEFT(VLOOKUP(ScoPo!T14,ScoPo!$G$150:$J$277,4,0),FIND(",",VLOOKUP(ScoPo!T14,ScoPo!$G$150:$J$277,4,0))-1)</f>
        <v>#N/A</v>
      </c>
      <c r="I151" s="13" t="str">
        <f>IF(ScoPo!K14=1,ScoPo!N14,IF(ScoPo!K14=2,0," "))</f>
        <v xml:space="preserve"> </v>
      </c>
      <c r="M151" s="18"/>
      <c r="N151" s="18"/>
      <c r="O151" s="18"/>
      <c r="P151" s="18"/>
      <c r="Q151" s="22"/>
      <c r="R151" s="21"/>
      <c r="S151" s="21"/>
      <c r="T151" s="21"/>
      <c r="AA151"/>
      <c r="AH151" t="e">
        <f t="shared" si="26"/>
        <v>#VALUE!</v>
      </c>
    </row>
    <row r="152" spans="1:34">
      <c r="A152" s="42" t="s">
        <v>256</v>
      </c>
      <c r="B152" s="67"/>
      <c r="C152" s="40" t="str">
        <f t="shared" si="23"/>
        <v>11-&gt;</v>
      </c>
      <c r="D152" s="40" t="str">
        <f t="shared" si="25"/>
        <v xml:space="preserve">                                                            </v>
      </c>
      <c r="E152" s="52" t="e">
        <f t="shared" si="27"/>
        <v>#VALUE!</v>
      </c>
      <c r="F152" s="18"/>
      <c r="G152" s="13">
        <f t="shared" si="24"/>
        <v>0</v>
      </c>
      <c r="H152" s="13" t="e">
        <f>LEFT(VLOOKUP(ScoPo!S15,ScoPo!$G$150:$J$277,4,0),FIND(",",VLOOKUP(ScoPo!S15,ScoPo!$G$150:$J$277,4,0))-1)&amp;" "&amp;$AH$65&amp;" "&amp;LEFT(VLOOKUP(ScoPo!T15,ScoPo!$G$150:$J$277,4,0),FIND(",",VLOOKUP(ScoPo!T15,ScoPo!$G$150:$J$277,4,0))-1)</f>
        <v>#N/A</v>
      </c>
      <c r="I152" s="13" t="str">
        <f>IF(ScoPo!K15=1,ScoPo!N15,IF(ScoPo!K15=2,0," "))</f>
        <v xml:space="preserve"> </v>
      </c>
      <c r="M152" s="18"/>
      <c r="N152" s="18"/>
      <c r="O152" s="18"/>
      <c r="P152" s="18"/>
      <c r="Q152" s="22"/>
      <c r="R152" s="21"/>
      <c r="S152" s="21"/>
      <c r="T152" s="21"/>
      <c r="AA152"/>
      <c r="AH152" t="e">
        <f t="shared" si="26"/>
        <v>#VALUE!</v>
      </c>
    </row>
    <row r="153" spans="1:34">
      <c r="A153" s="42" t="s">
        <v>257</v>
      </c>
      <c r="B153" s="59"/>
      <c r="C153" s="40" t="str">
        <f t="shared" si="23"/>
        <v>12-&gt;</v>
      </c>
      <c r="D153" s="40" t="str">
        <f t="shared" si="25"/>
        <v xml:space="preserve">                                                            </v>
      </c>
      <c r="E153" s="52" t="e">
        <f t="shared" si="27"/>
        <v>#VALUE!</v>
      </c>
      <c r="F153" s="18"/>
      <c r="G153" s="13">
        <f t="shared" si="24"/>
        <v>0</v>
      </c>
      <c r="H153" s="13" t="e">
        <f>LEFT(VLOOKUP(ScoPo!S16,ScoPo!$G$150:$J$277,4,0),FIND(",",VLOOKUP(ScoPo!S16,ScoPo!$G$150:$J$277,4,0))-1)&amp;" "&amp;$AH$65&amp;" "&amp;LEFT(VLOOKUP(ScoPo!T16,ScoPo!$G$150:$J$277,4,0),FIND(",",VLOOKUP(ScoPo!T16,ScoPo!$G$150:$J$277,4,0))-1)</f>
        <v>#N/A</v>
      </c>
      <c r="I153" s="13" t="str">
        <f>IF(ScoPo!K16=1,ScoPo!N16,IF(ScoPo!K16=2,0," "))</f>
        <v xml:space="preserve"> </v>
      </c>
      <c r="M153" s="18"/>
      <c r="N153" s="18"/>
      <c r="O153" s="18"/>
      <c r="P153" s="18"/>
      <c r="Q153" s="22"/>
      <c r="R153" s="21"/>
      <c r="S153" s="21"/>
      <c r="T153" s="21"/>
      <c r="AA153"/>
      <c r="AH153" t="e">
        <f t="shared" si="26"/>
        <v>#VALUE!</v>
      </c>
    </row>
    <row r="154" spans="1:34">
      <c r="A154" s="42" t="s">
        <v>258</v>
      </c>
      <c r="B154" s="67"/>
      <c r="C154" s="40" t="str">
        <f t="shared" si="23"/>
        <v>13-&gt;</v>
      </c>
      <c r="D154" s="40" t="str">
        <f t="shared" si="25"/>
        <v xml:space="preserve">                                                            </v>
      </c>
      <c r="E154" s="52" t="e">
        <f t="shared" si="27"/>
        <v>#VALUE!</v>
      </c>
      <c r="F154" s="18"/>
      <c r="G154" s="13">
        <f t="shared" si="24"/>
        <v>0</v>
      </c>
      <c r="H154" s="13" t="e">
        <f>LEFT(VLOOKUP(ScoPo!S17,ScoPo!$G$150:$J$277,4,0),FIND(",",VLOOKUP(ScoPo!S17,ScoPo!$G$150:$J$277,4,0))-1)&amp;" "&amp;$AH$65&amp;" "&amp;LEFT(VLOOKUP(ScoPo!T17,ScoPo!$G$150:$J$277,4,0),FIND(",",VLOOKUP(ScoPo!T17,ScoPo!$G$150:$J$277,4,0))-1)</f>
        <v>#N/A</v>
      </c>
      <c r="I154" s="13" t="str">
        <f>IF(ScoPo!K17=1,ScoPo!N17,IF(ScoPo!K17=2,0," "))</f>
        <v xml:space="preserve"> </v>
      </c>
      <c r="M154" s="18"/>
      <c r="N154" s="18"/>
      <c r="O154" s="18"/>
      <c r="P154" s="18"/>
      <c r="Q154" s="22"/>
      <c r="R154" s="21"/>
      <c r="S154" s="21"/>
      <c r="T154" s="21"/>
      <c r="AA154"/>
      <c r="AH154" t="e">
        <f t="shared" si="26"/>
        <v>#VALUE!</v>
      </c>
    </row>
    <row r="155" spans="1:34">
      <c r="A155" s="42" t="s">
        <v>259</v>
      </c>
      <c r="B155" s="67"/>
      <c r="C155" s="40" t="str">
        <f t="shared" si="23"/>
        <v>14-&gt;</v>
      </c>
      <c r="D155" s="40" t="str">
        <f t="shared" si="25"/>
        <v xml:space="preserve">                                                            </v>
      </c>
      <c r="E155" s="52" t="e">
        <f t="shared" si="27"/>
        <v>#VALUE!</v>
      </c>
      <c r="F155" s="18"/>
      <c r="G155" s="13">
        <f t="shared" si="24"/>
        <v>0</v>
      </c>
      <c r="H155" s="13" t="e">
        <f>LEFT(VLOOKUP(ScoPo!S18,ScoPo!$G$150:$J$277,4,0),FIND(",",VLOOKUP(ScoPo!S18,ScoPo!$G$150:$J$277,4,0))-1)&amp;" "&amp;$AH$65&amp;" "&amp;LEFT(VLOOKUP(ScoPo!T18,ScoPo!$G$150:$J$277,4,0),FIND(",",VLOOKUP(ScoPo!T18,ScoPo!$G$150:$J$277,4,0))-1)</f>
        <v>#N/A</v>
      </c>
      <c r="I155" s="13" t="str">
        <f>IF(ScoPo!K18=1,ScoPo!N18,IF(ScoPo!K18=2,0," "))</f>
        <v xml:space="preserve"> </v>
      </c>
      <c r="M155" s="18"/>
      <c r="N155" s="18"/>
      <c r="O155" s="18"/>
      <c r="P155" s="18"/>
      <c r="Q155" s="22"/>
      <c r="R155" s="21"/>
      <c r="S155" s="21"/>
      <c r="T155" s="21"/>
      <c r="AA155"/>
      <c r="AH155" t="e">
        <f t="shared" si="26"/>
        <v>#VALUE!</v>
      </c>
    </row>
    <row r="156" spans="1:34">
      <c r="A156" s="42" t="s">
        <v>260</v>
      </c>
      <c r="B156" s="67"/>
      <c r="C156" s="40" t="str">
        <f t="shared" si="23"/>
        <v>15-&gt;</v>
      </c>
      <c r="D156" s="40" t="str">
        <f t="shared" si="25"/>
        <v xml:space="preserve">                                                            </v>
      </c>
      <c r="E156" s="52" t="e">
        <f t="shared" si="27"/>
        <v>#VALUE!</v>
      </c>
      <c r="F156" s="18"/>
      <c r="G156" s="13">
        <f t="shared" si="24"/>
        <v>0</v>
      </c>
      <c r="H156" s="13" t="e">
        <f>LEFT(VLOOKUP(ScoPo!S19,ScoPo!$G$150:$J$277,4,0),FIND(",",VLOOKUP(ScoPo!S19,ScoPo!$G$150:$J$277,4,0))-1)&amp;" "&amp;$AH$65&amp;" "&amp;LEFT(VLOOKUP(ScoPo!T19,ScoPo!$G$150:$J$277,4,0),FIND(",",VLOOKUP(ScoPo!T19,ScoPo!$G$150:$J$277,4,0))-1)</f>
        <v>#N/A</v>
      </c>
      <c r="I156" s="13" t="str">
        <f>IF(ScoPo!K19=1,ScoPo!N19,IF(ScoPo!K19=2,0," "))</f>
        <v xml:space="preserve"> </v>
      </c>
      <c r="M156" s="18"/>
      <c r="N156" s="18"/>
      <c r="O156" s="18"/>
      <c r="P156" s="18"/>
      <c r="Q156" s="22"/>
      <c r="R156" s="21"/>
      <c r="S156" s="21"/>
      <c r="T156" s="21"/>
      <c r="AA156"/>
      <c r="AH156" t="e">
        <f t="shared" si="26"/>
        <v>#VALUE!</v>
      </c>
    </row>
    <row r="157" spans="1:34">
      <c r="A157" s="42" t="s">
        <v>261</v>
      </c>
      <c r="B157" s="59"/>
      <c r="C157" s="40" t="str">
        <f t="shared" si="23"/>
        <v>16-&gt;</v>
      </c>
      <c r="D157" s="40" t="str">
        <f t="shared" si="25"/>
        <v xml:space="preserve">                                                            </v>
      </c>
      <c r="E157" s="52" t="e">
        <f t="shared" si="27"/>
        <v>#VALUE!</v>
      </c>
      <c r="F157" s="18"/>
      <c r="G157" s="13">
        <f t="shared" si="24"/>
        <v>0</v>
      </c>
      <c r="H157" s="13" t="e">
        <f>LEFT(VLOOKUP(ScoPo!S20,ScoPo!$G$150:$J$277,4,0),FIND(",",VLOOKUP(ScoPo!S20,ScoPo!$G$150:$J$277,4,0))-1)&amp;" "&amp;$AH$65&amp;" "&amp;LEFT(VLOOKUP(ScoPo!T20,ScoPo!$G$150:$J$277,4,0),FIND(",",VLOOKUP(ScoPo!T20,ScoPo!$G$150:$J$277,4,0))-1)</f>
        <v>#N/A</v>
      </c>
      <c r="I157" s="13" t="str">
        <f>IF(ScoPo!K20=1,ScoPo!N20,IF(ScoPo!K20=2,0," "))</f>
        <v xml:space="preserve"> </v>
      </c>
      <c r="M157" s="18"/>
      <c r="N157" s="18"/>
      <c r="O157" s="18"/>
      <c r="P157" s="18"/>
      <c r="Q157" s="22"/>
      <c r="R157" s="21"/>
      <c r="S157" s="21"/>
      <c r="T157" s="21"/>
      <c r="AA157"/>
      <c r="AH157" t="e">
        <f t="shared" si="26"/>
        <v>#VALUE!</v>
      </c>
    </row>
    <row r="158" spans="1:34">
      <c r="A158" s="42" t="s">
        <v>262</v>
      </c>
      <c r="B158" s="67"/>
      <c r="C158" s="40" t="str">
        <f t="shared" si="23"/>
        <v>17-&gt;</v>
      </c>
      <c r="D158" s="40" t="str">
        <f t="shared" si="25"/>
        <v xml:space="preserve">                                                            </v>
      </c>
      <c r="E158" s="52" t="e">
        <f t="shared" si="27"/>
        <v>#VALUE!</v>
      </c>
      <c r="F158" s="54"/>
      <c r="G158" s="13">
        <f t="shared" si="24"/>
        <v>0</v>
      </c>
      <c r="H158" s="13" t="e">
        <f>LEFT(VLOOKUP(ScoPo!S21,ScoPo!$G$150:$J$277,4,0),FIND(",",VLOOKUP(ScoPo!S21,ScoPo!$G$150:$J$277,4,0))-1)&amp;" "&amp;$AH$65&amp;" "&amp;LEFT(VLOOKUP(ScoPo!T21,ScoPo!$G$150:$J$277,4,0),FIND(",",VLOOKUP(ScoPo!T21,ScoPo!$G$150:$J$277,4,0))-1)</f>
        <v>#N/A</v>
      </c>
      <c r="I158" s="13" t="str">
        <f>IF(ScoPo!K21=1,ScoPo!N21,IF(ScoPo!K21=2,0," "))</f>
        <v xml:space="preserve"> </v>
      </c>
      <c r="J158" s="22"/>
      <c r="K158" s="22"/>
      <c r="N158" s="22"/>
      <c r="O158" s="22"/>
      <c r="P158" s="22"/>
      <c r="Q158" s="22"/>
      <c r="R158" s="22"/>
      <c r="S158" s="22"/>
      <c r="Z158" s="53"/>
      <c r="AA158"/>
      <c r="AH158" t="e">
        <f t="shared" si="26"/>
        <v>#VALUE!</v>
      </c>
    </row>
    <row r="159" spans="1:34">
      <c r="A159" s="42" t="s">
        <v>263</v>
      </c>
      <c r="B159" s="59"/>
      <c r="C159" s="40" t="str">
        <f t="shared" si="23"/>
        <v>18-&gt;</v>
      </c>
      <c r="D159" s="40" t="str">
        <f t="shared" si="25"/>
        <v xml:space="preserve">                                                            </v>
      </c>
      <c r="E159" s="52" t="e">
        <f t="shared" si="27"/>
        <v>#VALUE!</v>
      </c>
      <c r="G159" s="13">
        <f t="shared" si="24"/>
        <v>0</v>
      </c>
      <c r="H159" s="13" t="e">
        <f>LEFT(VLOOKUP(ScoPo!S22,ScoPo!$G$150:$J$277,4,0),FIND(",",VLOOKUP(ScoPo!S22,ScoPo!$G$150:$J$277,4,0))-1)&amp;" "&amp;$AH$65&amp;" "&amp;LEFT(VLOOKUP(ScoPo!T22,ScoPo!$G$150:$J$277,4,0),FIND(",",VLOOKUP(ScoPo!T22,ScoPo!$G$150:$J$277,4,0))-1)</f>
        <v>#N/A</v>
      </c>
      <c r="I159" s="13" t="str">
        <f>IF(ScoPo!K22=1,ScoPo!N22,IF(ScoPo!K22=2,0," "))</f>
        <v xml:space="preserve"> </v>
      </c>
      <c r="J159" s="22"/>
      <c r="L159" s="21"/>
      <c r="N159" s="22"/>
      <c r="O159" s="22"/>
      <c r="P159" s="18"/>
      <c r="Q159" s="22"/>
      <c r="R159" s="22"/>
      <c r="S159" s="22"/>
      <c r="Z159" s="53"/>
      <c r="AA159"/>
      <c r="AH159" t="e">
        <f t="shared" si="26"/>
        <v>#VALUE!</v>
      </c>
    </row>
    <row r="160" spans="1:34">
      <c r="A160" s="42" t="s">
        <v>264</v>
      </c>
      <c r="B160" s="67"/>
      <c r="C160" s="40" t="str">
        <f t="shared" si="23"/>
        <v>19-&gt;</v>
      </c>
      <c r="D160" s="40" t="str">
        <f t="shared" si="25"/>
        <v xml:space="preserve">                                                            </v>
      </c>
      <c r="E160" s="52" t="e">
        <f t="shared" si="27"/>
        <v>#VALUE!</v>
      </c>
      <c r="G160" s="13">
        <f t="shared" si="24"/>
        <v>0</v>
      </c>
      <c r="H160" s="13" t="e">
        <f>LEFT(VLOOKUP(ScoPo!S23,ScoPo!$G$150:$J$277,4,0),FIND(",",VLOOKUP(ScoPo!S23,ScoPo!$G$150:$J$277,4,0))-1)&amp;" "&amp;$AH$65&amp;" "&amp;LEFT(VLOOKUP(ScoPo!T23,ScoPo!$G$150:$J$277,4,0),FIND(",",VLOOKUP(ScoPo!T23,ScoPo!$G$150:$J$277,4,0))-1)</f>
        <v>#N/A</v>
      </c>
      <c r="I160" s="13" t="str">
        <f>IF(ScoPo!K23=1,ScoPo!N23,IF(ScoPo!K23=2,0," "))</f>
        <v xml:space="preserve"> </v>
      </c>
      <c r="M160" s="18"/>
      <c r="N160" s="18"/>
      <c r="O160" s="18"/>
      <c r="P160" s="18"/>
      <c r="Q160" s="22"/>
      <c r="R160" s="21"/>
      <c r="S160" s="21"/>
      <c r="T160" s="21"/>
      <c r="AA160"/>
      <c r="AH160" t="e">
        <f t="shared" si="26"/>
        <v>#VALUE!</v>
      </c>
    </row>
    <row r="161" spans="1:39">
      <c r="A161" s="42" t="s">
        <v>265</v>
      </c>
      <c r="B161" s="67"/>
      <c r="C161" s="40" t="str">
        <f t="shared" si="23"/>
        <v>20-&gt;</v>
      </c>
      <c r="D161" s="40" t="str">
        <f t="shared" si="25"/>
        <v xml:space="preserve">                                                            </v>
      </c>
      <c r="E161" s="52" t="e">
        <f t="shared" si="27"/>
        <v>#VALUE!</v>
      </c>
      <c r="G161" s="13">
        <f t="shared" si="24"/>
        <v>0</v>
      </c>
      <c r="H161" s="13" t="e">
        <f>LEFT(VLOOKUP(ScoPo!S24,ScoPo!$G$150:$J$277,4,0),FIND(",",VLOOKUP(ScoPo!S24,ScoPo!$G$150:$J$277,4,0))-1)&amp;" "&amp;$AH$65&amp;" "&amp;LEFT(VLOOKUP(ScoPo!T24,ScoPo!$G$150:$J$277,4,0),FIND(",",VLOOKUP(ScoPo!T24,ScoPo!$G$150:$J$277,4,0))-1)</f>
        <v>#N/A</v>
      </c>
      <c r="I161" s="13" t="str">
        <f>IF(ScoPo!K24=1,ScoPo!N24,IF(ScoPo!K24=2,0," "))</f>
        <v xml:space="preserve"> </v>
      </c>
      <c r="M161" s="18"/>
      <c r="N161" s="18"/>
      <c r="O161" s="18"/>
      <c r="P161" s="18"/>
      <c r="Q161" s="22"/>
      <c r="R161" s="21"/>
      <c r="S161" s="21"/>
      <c r="T161" s="21"/>
      <c r="AA161"/>
      <c r="AH161" t="e">
        <f t="shared" si="26"/>
        <v>#VALUE!</v>
      </c>
    </row>
    <row r="162" spans="1:39">
      <c r="A162" s="42" t="s">
        <v>266</v>
      </c>
      <c r="B162" s="67"/>
      <c r="C162" s="40" t="str">
        <f t="shared" si="23"/>
        <v>21-&gt;</v>
      </c>
      <c r="D162" s="40" t="str">
        <f t="shared" si="25"/>
        <v xml:space="preserve">                                                            </v>
      </c>
      <c r="E162" s="52" t="e">
        <f t="shared" si="27"/>
        <v>#VALUE!</v>
      </c>
      <c r="G162" s="13">
        <f t="shared" si="24"/>
        <v>0</v>
      </c>
      <c r="H162" s="13" t="e">
        <f>LEFT(VLOOKUP(ScoPo!S25,ScoPo!$G$150:$J$277,4,0),FIND(",",VLOOKUP(ScoPo!S25,ScoPo!$G$150:$J$277,4,0))-1)&amp;" "&amp;$AH$65&amp;" "&amp;LEFT(VLOOKUP(ScoPo!T25,ScoPo!$G$150:$J$277,4,0),FIND(",",VLOOKUP(ScoPo!T25,ScoPo!$G$150:$J$277,4,0))-1)</f>
        <v>#N/A</v>
      </c>
      <c r="I162" s="13" t="str">
        <f>IF(ScoPo!K25=1,ScoPo!N25,IF(ScoPo!K25=2,0," "))</f>
        <v xml:space="preserve"> </v>
      </c>
      <c r="M162" s="18"/>
      <c r="N162" s="18"/>
      <c r="O162" s="18"/>
      <c r="P162" s="18"/>
      <c r="Q162" s="22"/>
      <c r="R162" s="21"/>
      <c r="S162" s="21"/>
      <c r="T162" s="21"/>
      <c r="AA162"/>
      <c r="AH162" t="e">
        <f t="shared" si="26"/>
        <v>#VALUE!</v>
      </c>
    </row>
    <row r="163" spans="1:39">
      <c r="A163" s="42" t="s">
        <v>267</v>
      </c>
      <c r="B163" s="67"/>
      <c r="C163" s="40" t="str">
        <f t="shared" si="23"/>
        <v>22-&gt;</v>
      </c>
      <c r="D163" s="40" t="str">
        <f t="shared" si="25"/>
        <v xml:space="preserve">                                                            </v>
      </c>
      <c r="E163" s="52" t="e">
        <f t="shared" si="27"/>
        <v>#VALUE!</v>
      </c>
      <c r="G163" s="13">
        <f t="shared" si="24"/>
        <v>0</v>
      </c>
      <c r="H163" s="13" t="e">
        <f>LEFT(VLOOKUP(ScoPo!S26,ScoPo!$G$150:$J$277,4,0),FIND(",",VLOOKUP(ScoPo!S26,ScoPo!$G$150:$J$277,4,0))-1)&amp;" "&amp;$AH$65&amp;" "&amp;LEFT(VLOOKUP(ScoPo!T26,ScoPo!$G$150:$J$277,4,0),FIND(",",VLOOKUP(ScoPo!T26,ScoPo!$G$150:$J$277,4,0))-1)</f>
        <v>#N/A</v>
      </c>
      <c r="I163" s="13" t="str">
        <f>IF(ScoPo!K26=1,ScoPo!N26,IF(ScoPo!K26=2,0," "))</f>
        <v xml:space="preserve"> </v>
      </c>
      <c r="M163" s="18"/>
      <c r="N163" s="18"/>
      <c r="O163" s="18"/>
      <c r="P163" s="18"/>
      <c r="Q163" s="22"/>
      <c r="R163" s="21"/>
      <c r="S163" s="21"/>
      <c r="T163" s="21"/>
      <c r="AA163"/>
      <c r="AH163" t="e">
        <f t="shared" si="26"/>
        <v>#VALUE!</v>
      </c>
    </row>
    <row r="164" spans="1:39">
      <c r="A164" s="42" t="s">
        <v>268</v>
      </c>
      <c r="B164" s="59"/>
      <c r="C164" s="40" t="str">
        <f t="shared" si="23"/>
        <v>23-&gt;</v>
      </c>
      <c r="D164" s="40" t="str">
        <f t="shared" si="25"/>
        <v xml:space="preserve">                                                            </v>
      </c>
      <c r="E164" s="52" t="e">
        <f t="shared" si="27"/>
        <v>#VALUE!</v>
      </c>
      <c r="G164" s="13">
        <f t="shared" si="24"/>
        <v>0</v>
      </c>
      <c r="H164" s="13" t="e">
        <f>LEFT(VLOOKUP(ScoPo!S27,ScoPo!$G$150:$J$277,4,0),FIND(",",VLOOKUP(ScoPo!S27,ScoPo!$G$150:$J$277,4,0))-1)&amp;" "&amp;$AH$65&amp;" "&amp;LEFT(VLOOKUP(ScoPo!T27,ScoPo!$G$150:$J$277,4,0),FIND(",",VLOOKUP(ScoPo!T27,ScoPo!$G$150:$J$277,4,0))-1)</f>
        <v>#N/A</v>
      </c>
      <c r="I164" s="13" t="str">
        <f>IF(ScoPo!K27=1,ScoPo!N27,IF(ScoPo!K27=2,0," "))</f>
        <v xml:space="preserve"> </v>
      </c>
      <c r="M164" s="18"/>
      <c r="N164" s="18"/>
      <c r="O164" s="18"/>
      <c r="P164" s="18"/>
      <c r="Q164" s="22"/>
      <c r="R164" s="21"/>
      <c r="S164" s="21"/>
      <c r="T164" s="21"/>
      <c r="AA164"/>
      <c r="AH164" t="e">
        <f t="shared" si="26"/>
        <v>#VALUE!</v>
      </c>
    </row>
    <row r="165" spans="1:39">
      <c r="A165" s="42" t="s">
        <v>269</v>
      </c>
      <c r="B165" s="67"/>
      <c r="C165" s="40" t="str">
        <f t="shared" si="23"/>
        <v>24-&gt;</v>
      </c>
      <c r="D165" s="40" t="str">
        <f t="shared" si="25"/>
        <v xml:space="preserve">                                                            </v>
      </c>
      <c r="E165" s="52" t="e">
        <f t="shared" si="27"/>
        <v>#VALUE!</v>
      </c>
      <c r="G165" s="13">
        <f t="shared" si="24"/>
        <v>0</v>
      </c>
      <c r="H165" s="13" t="e">
        <f>LEFT(VLOOKUP(ScoPo!S28,ScoPo!$G$150:$J$277,4,0),FIND(",",VLOOKUP(ScoPo!S28,ScoPo!$G$150:$J$277,4,0))-1)&amp;" "&amp;$AH$65&amp;" "&amp;LEFT(VLOOKUP(ScoPo!T28,ScoPo!$G$150:$J$277,4,0),FIND(",",VLOOKUP(ScoPo!T28,ScoPo!$G$150:$J$277,4,0))-1)</f>
        <v>#N/A</v>
      </c>
      <c r="I165" s="13" t="str">
        <f>IF(ScoPo!K28=1,ScoPo!N28,IF(ScoPo!K28=2,0," "))</f>
        <v xml:space="preserve"> </v>
      </c>
      <c r="M165" s="18"/>
      <c r="N165" s="18"/>
      <c r="O165" s="18"/>
      <c r="P165" s="18"/>
      <c r="Q165" s="22"/>
      <c r="R165" s="21"/>
      <c r="S165" s="21"/>
      <c r="T165" s="21"/>
      <c r="AA165"/>
      <c r="AH165" t="e">
        <f t="shared" si="26"/>
        <v>#VALUE!</v>
      </c>
    </row>
    <row r="166" spans="1:39">
      <c r="A166" s="42" t="s">
        <v>270</v>
      </c>
      <c r="B166" s="67"/>
      <c r="C166" s="40" t="str">
        <f t="shared" si="23"/>
        <v>25-&gt;</v>
      </c>
      <c r="D166" s="40" t="str">
        <f t="shared" si="25"/>
        <v xml:space="preserve">                                                            </v>
      </c>
      <c r="E166" s="52" t="e">
        <f t="shared" si="27"/>
        <v>#VALUE!</v>
      </c>
      <c r="F166" s="18"/>
      <c r="G166" s="13">
        <f t="shared" si="24"/>
        <v>0</v>
      </c>
      <c r="H166" s="13" t="e">
        <f>LEFT(VLOOKUP(ScoPo!S29,ScoPo!$G$150:$J$277,4,0),FIND(",",VLOOKUP(ScoPo!S29,ScoPo!$G$150:$J$277,4,0))-1)&amp;" "&amp;$AH$65&amp;" "&amp;LEFT(VLOOKUP(ScoPo!T29,ScoPo!$G$150:$J$277,4,0),FIND(",",VLOOKUP(ScoPo!T29,ScoPo!$G$150:$J$277,4,0))-1)</f>
        <v>#N/A</v>
      </c>
      <c r="I166" s="13" t="str">
        <f>IF(ScoPo!K29=1,ScoPo!N29,IF(ScoPo!K29=2,0," "))</f>
        <v xml:space="preserve"> </v>
      </c>
      <c r="M166" s="18"/>
      <c r="N166" s="18"/>
      <c r="O166" s="18"/>
      <c r="P166" s="18"/>
      <c r="Q166" s="22"/>
      <c r="R166" s="21"/>
      <c r="S166" s="21"/>
      <c r="T166" s="21"/>
      <c r="AA166"/>
      <c r="AH166" t="e">
        <f t="shared" si="26"/>
        <v>#VALUE!</v>
      </c>
    </row>
    <row r="167" spans="1:39">
      <c r="A167" s="42" t="s">
        <v>271</v>
      </c>
      <c r="B167" s="67"/>
      <c r="C167" s="40" t="str">
        <f t="shared" si="23"/>
        <v>26-&gt;</v>
      </c>
      <c r="D167" s="40" t="str">
        <f t="shared" si="25"/>
        <v xml:space="preserve">                                                            </v>
      </c>
      <c r="E167" s="52" t="e">
        <f t="shared" si="27"/>
        <v>#VALUE!</v>
      </c>
      <c r="F167" s="18"/>
      <c r="G167" s="13">
        <f t="shared" si="24"/>
        <v>0</v>
      </c>
      <c r="H167" s="13" t="e">
        <f>LEFT(VLOOKUP(ScoPo!S30,ScoPo!$G$150:$J$277,4,0),FIND(",",VLOOKUP(ScoPo!S30,ScoPo!$G$150:$J$277,4,0))-1)&amp;" "&amp;$AH$65&amp;" "&amp;LEFT(VLOOKUP(ScoPo!T30,ScoPo!$G$150:$J$277,4,0),FIND(",",VLOOKUP(ScoPo!T30,ScoPo!$G$150:$J$277,4,0))-1)</f>
        <v>#N/A</v>
      </c>
      <c r="I167" s="13" t="str">
        <f>IF(ScoPo!K30=1,ScoPo!N30,IF(ScoPo!K30=2,0," "))</f>
        <v xml:space="preserve"> </v>
      </c>
      <c r="M167" s="18"/>
      <c r="N167" s="18"/>
      <c r="O167" s="18"/>
      <c r="P167" s="18"/>
      <c r="Q167" s="22"/>
      <c r="R167" s="21"/>
      <c r="S167" s="21"/>
      <c r="T167" s="21"/>
      <c r="AA167"/>
      <c r="AH167" t="e">
        <f t="shared" si="26"/>
        <v>#VALUE!</v>
      </c>
    </row>
    <row r="168" spans="1:39">
      <c r="A168" s="38"/>
      <c r="B168" s="40"/>
      <c r="C168" s="40"/>
      <c r="D168" s="49"/>
      <c r="E168" s="41" t="s">
        <v>69</v>
      </c>
      <c r="F168" s="18"/>
      <c r="G168" s="13">
        <f t="shared" si="24"/>
        <v>0</v>
      </c>
      <c r="H168" s="13" t="e">
        <f>LEFT(VLOOKUP(ScoPo!S31,ScoPo!$G$150:$J$277,4,0),FIND(",",VLOOKUP(ScoPo!S31,ScoPo!$G$150:$J$277,4,0))-1)&amp;" "&amp;$AH$65&amp;" "&amp;LEFT(VLOOKUP(ScoPo!T31,ScoPo!$G$150:$J$277,4,0),FIND(",",VLOOKUP(ScoPo!T31,ScoPo!$G$150:$J$277,4,0))-1)</f>
        <v>#N/A</v>
      </c>
      <c r="I168" s="13" t="str">
        <f>IF(ScoPo!K31=1,ScoPo!N31,IF(ScoPo!K31=2,0," "))</f>
        <v xml:space="preserve"> </v>
      </c>
      <c r="K168" s="22" t="s">
        <v>73</v>
      </c>
      <c r="L168" s="18" t="s">
        <v>74</v>
      </c>
      <c r="M168" s="22" t="s">
        <v>78</v>
      </c>
      <c r="N168" s="22" t="s">
        <v>79</v>
      </c>
      <c r="O168" s="22" t="s">
        <v>80</v>
      </c>
      <c r="P168" s="22" t="s">
        <v>81</v>
      </c>
      <c r="Q168" s="22" t="s">
        <v>82</v>
      </c>
      <c r="R168" s="22" t="s">
        <v>83</v>
      </c>
      <c r="S168" s="22" t="s">
        <v>84</v>
      </c>
      <c r="T168" s="18" t="s">
        <v>85</v>
      </c>
      <c r="U168" s="18" t="s">
        <v>86</v>
      </c>
      <c r="V168" s="18" t="s">
        <v>87</v>
      </c>
      <c r="W168" s="18" t="s">
        <v>88</v>
      </c>
      <c r="X168" s="18" t="s">
        <v>89</v>
      </c>
      <c r="Y168" s="18" t="s">
        <v>90</v>
      </c>
      <c r="Z168" s="18" t="s">
        <v>91</v>
      </c>
      <c r="AA168" s="18" t="s">
        <v>92</v>
      </c>
      <c r="AB168" s="18" t="s">
        <v>93</v>
      </c>
      <c r="AC168" s="18" t="s">
        <v>94</v>
      </c>
      <c r="AD168" s="18" t="s">
        <v>235</v>
      </c>
      <c r="AE168" s="18" t="s">
        <v>236</v>
      </c>
      <c r="AF168" s="18" t="s">
        <v>237</v>
      </c>
      <c r="AG168" s="18" t="s">
        <v>238</v>
      </c>
      <c r="AH168" s="18" t="s">
        <v>239</v>
      </c>
      <c r="AI168" s="18" t="s">
        <v>240</v>
      </c>
      <c r="AJ168" s="18" t="s">
        <v>241</v>
      </c>
      <c r="AK168" s="18" t="s">
        <v>242</v>
      </c>
      <c r="AL168" s="18" t="s">
        <v>243</v>
      </c>
      <c r="AM168" s="50" t="s">
        <v>244</v>
      </c>
    </row>
    <row r="169" spans="1:39">
      <c r="A169" s="40" t="s">
        <v>245</v>
      </c>
      <c r="B169" s="51" t="str">
        <f>D5</f>
        <v/>
      </c>
      <c r="C169" s="40" t="str">
        <f t="shared" ref="C169:C195" si="28">A169</f>
        <v>#</v>
      </c>
      <c r="D169" s="40" t="str">
        <f>"   "&amp;B169&amp;REPT(" ",$AH$70-LEN(B169)-3)</f>
        <v xml:space="preserve">                                                            </v>
      </c>
      <c r="E169" s="38" t="str">
        <f>SUM(E170:E195)&amp;" pts[/b]"</f>
        <v>0 pts[/b]</v>
      </c>
      <c r="F169" s="21">
        <f>SUM(E170:E195)</f>
        <v>0</v>
      </c>
      <c r="G169" s="13">
        <f t="shared" si="24"/>
        <v>0</v>
      </c>
      <c r="H169" s="13" t="e">
        <f>LEFT(VLOOKUP(ScoPo!S32,ScoPo!$G$150:$J$277,4,0),FIND(",",VLOOKUP(ScoPo!S32,ScoPo!$G$150:$J$277,4,0))-1)&amp;" "&amp;$AH$65&amp;" "&amp;LEFT(VLOOKUP(ScoPo!T32,ScoPo!$G$150:$J$277,4,0),FIND(",",VLOOKUP(ScoPo!T32,ScoPo!$G$150:$J$277,4,0))-1)</f>
        <v>#N/A</v>
      </c>
      <c r="I169" s="13" t="str">
        <f>IF(ScoPo!K32=1,ScoPo!N32,IF(ScoPo!K32=2,0," "))</f>
        <v xml:space="preserve"> </v>
      </c>
      <c r="K169" s="18">
        <f>COUNTIF(E170:E195,"&gt;0")</f>
        <v>0</v>
      </c>
      <c r="L169" s="21">
        <f>AM169-K169</f>
        <v>0</v>
      </c>
      <c r="M169" s="22">
        <f>MAX(E170:E195)</f>
        <v>0</v>
      </c>
      <c r="N169" s="22">
        <f>LARGE(E170:E195,2)</f>
        <v>0</v>
      </c>
      <c r="O169" s="22">
        <f>LARGE(E170:E195,3)</f>
        <v>0</v>
      </c>
      <c r="P169" s="18">
        <f>LARGE(E170:E195,4)</f>
        <v>0</v>
      </c>
      <c r="Q169" s="22">
        <f>LARGE(E170:E195,5)</f>
        <v>0</v>
      </c>
      <c r="R169" s="22">
        <f>LARGE(E170:E195,6)</f>
        <v>0</v>
      </c>
      <c r="S169" s="22">
        <f>LARGE(E170:E195,7)</f>
        <v>0</v>
      </c>
      <c r="T169" s="18">
        <f>LARGE(E170:E195,8)</f>
        <v>0</v>
      </c>
      <c r="U169" s="18">
        <f>LARGE(E170:E195,9)</f>
        <v>0</v>
      </c>
      <c r="V169" s="18">
        <f>LARGE(E170:E195,10)</f>
        <v>0</v>
      </c>
      <c r="W169" s="18">
        <f>LARGE(E170:E195,11)</f>
        <v>0</v>
      </c>
      <c r="X169" s="18">
        <f>LARGE(E170:E195,12)</f>
        <v>0</v>
      </c>
      <c r="Y169" s="18">
        <f>LARGE(E170:E195,13)</f>
        <v>0</v>
      </c>
      <c r="Z169" s="18">
        <f>LARGE(E170:E195,14)</f>
        <v>0</v>
      </c>
      <c r="AA169" s="18">
        <f>LARGE(E170:E195,15)</f>
        <v>0</v>
      </c>
      <c r="AB169" s="18">
        <f>LARGE(E170:E195,16)</f>
        <v>0</v>
      </c>
      <c r="AC169" s="18">
        <f>LARGE(E170:E195,17)</f>
        <v>0</v>
      </c>
      <c r="AD169" s="18">
        <f>LARGE(E170:E196,13)</f>
        <v>0</v>
      </c>
      <c r="AE169" s="18">
        <f>LARGE(E170:E195,19)</f>
        <v>0</v>
      </c>
      <c r="AF169" s="18">
        <f>LARGE(E170:E195,20)</f>
        <v>0</v>
      </c>
      <c r="AG169" s="18">
        <f>LARGE(E170:E195,21)</f>
        <v>0</v>
      </c>
      <c r="AH169" s="18">
        <f>LARGE(E170:E195,22)</f>
        <v>0</v>
      </c>
      <c r="AI169" s="18">
        <f>LARGE(E170:E195,23)</f>
        <v>0</v>
      </c>
      <c r="AJ169" s="18">
        <f>LARGE(E170:E195,24)</f>
        <v>0</v>
      </c>
      <c r="AK169" s="18">
        <f>LARGE(E170:E195,25)</f>
        <v>0</v>
      </c>
      <c r="AL169" s="18">
        <f>LARGE(E170:E195,26)</f>
        <v>0</v>
      </c>
      <c r="AM169" s="50">
        <f>COUNTIF(AH170:AH195,"&lt;&gt;"&amp;AH76)-(26-COUNTIF(E170:E195,"&gt;=0"))</f>
        <v>0</v>
      </c>
    </row>
    <row r="170" spans="1:39">
      <c r="A170" s="42" t="s">
        <v>246</v>
      </c>
      <c r="B170" s="1" t="s">
        <v>20</v>
      </c>
      <c r="C170" s="40" t="str">
        <f t="shared" si="28"/>
        <v>01-&gt;</v>
      </c>
      <c r="D170" s="40" t="str">
        <f t="shared" ref="D170:D195" si="29">B170&amp;REPT(" ",$AH$70-LEN(B170))</f>
        <v xml:space="preserve">No pick yet                                                 </v>
      </c>
      <c r="E170" s="52">
        <f t="shared" ref="E170:E195" si="30">VLOOKUP(RIGHT(B170,LEN(B170)-$AH$66),$H$138:$I$420,2,0)</f>
        <v>0</v>
      </c>
      <c r="F170" s="18"/>
      <c r="G170" s="13">
        <f t="shared" si="24"/>
        <v>0</v>
      </c>
      <c r="H170" s="13" t="e">
        <f>LEFT(VLOOKUP(ScoPo!S33,ScoPo!$G$150:$J$277,4,0),FIND(",",VLOOKUP(ScoPo!S33,ScoPo!$G$150:$J$277,4,0))-1)&amp;" "&amp;$AH$65&amp;" "&amp;LEFT(VLOOKUP(ScoPo!T33,ScoPo!$G$150:$J$277,4,0),FIND(",",VLOOKUP(ScoPo!T33,ScoPo!$G$150:$J$277,4,0))-1)</f>
        <v>#N/A</v>
      </c>
      <c r="I170" s="13" t="str">
        <f>IF(ScoPo!K33=1,ScoPo!N33,IF(ScoPo!K33=2,0," "))</f>
        <v xml:space="preserve"> </v>
      </c>
      <c r="M170" s="18"/>
      <c r="N170" s="18"/>
      <c r="O170" s="18"/>
      <c r="P170" s="18"/>
      <c r="Q170" s="22"/>
      <c r="R170" s="21"/>
      <c r="S170" s="21"/>
      <c r="T170" s="21"/>
      <c r="AA170"/>
      <c r="AH170" t="str">
        <f t="shared" ref="AH170:AH195" si="31">RIGHT(B170,LEN(B170)-$AH$66)</f>
        <v>k yet</v>
      </c>
    </row>
    <row r="171" spans="1:39">
      <c r="A171" s="42" t="s">
        <v>247</v>
      </c>
      <c r="B171" s="1" t="s">
        <v>20</v>
      </c>
      <c r="C171" s="40" t="str">
        <f t="shared" si="28"/>
        <v>02-&gt;</v>
      </c>
      <c r="D171" s="40" t="str">
        <f t="shared" si="29"/>
        <v xml:space="preserve">No pick yet                                                 </v>
      </c>
      <c r="E171" s="52">
        <f t="shared" si="30"/>
        <v>0</v>
      </c>
      <c r="F171" s="18"/>
      <c r="G171" s="13">
        <f t="shared" si="24"/>
        <v>0</v>
      </c>
      <c r="H171" s="13" t="e">
        <f>LEFT(VLOOKUP(ScoPo!S34,ScoPo!$G$150:$J$277,4,0),FIND(",",VLOOKUP(ScoPo!S34,ScoPo!$G$150:$J$277,4,0))-1)&amp;" "&amp;$AH$65&amp;" "&amp;LEFT(VLOOKUP(ScoPo!T34,ScoPo!$G$150:$J$277,4,0),FIND(",",VLOOKUP(ScoPo!T34,ScoPo!$G$150:$J$277,4,0))-1)</f>
        <v>#N/A</v>
      </c>
      <c r="I171" s="13" t="str">
        <f>IF(ScoPo!K34=1,ScoPo!N34,IF(ScoPo!K34=2,0," "))</f>
        <v xml:space="preserve"> </v>
      </c>
      <c r="K171" s="22"/>
      <c r="N171" s="22"/>
      <c r="O171" s="22"/>
      <c r="P171" s="22"/>
      <c r="Q171" s="22"/>
      <c r="R171" s="22"/>
      <c r="S171" s="22"/>
      <c r="Z171" s="53"/>
      <c r="AA171"/>
      <c r="AH171" t="str">
        <f t="shared" si="31"/>
        <v>k yet</v>
      </c>
    </row>
    <row r="172" spans="1:39">
      <c r="A172" s="42" t="s">
        <v>248</v>
      </c>
      <c r="B172" s="1" t="s">
        <v>20</v>
      </c>
      <c r="C172" s="40" t="str">
        <f t="shared" si="28"/>
        <v>03-&gt;</v>
      </c>
      <c r="D172" s="40" t="str">
        <f t="shared" si="29"/>
        <v xml:space="preserve">No pick yet                                                 </v>
      </c>
      <c r="E172" s="52">
        <f t="shared" si="30"/>
        <v>0</v>
      </c>
      <c r="F172" s="18"/>
      <c r="G172" s="13">
        <f t="shared" si="24"/>
        <v>0</v>
      </c>
      <c r="H172" s="13" t="e">
        <f>LEFT(VLOOKUP(ScoPo!S35,ScoPo!$G$150:$J$277,4,0),FIND(",",VLOOKUP(ScoPo!S35,ScoPo!$G$150:$J$277,4,0))-1)&amp;" "&amp;$AH$65&amp;" "&amp;LEFT(VLOOKUP(ScoPo!T35,ScoPo!$G$150:$J$277,4,0),FIND(",",VLOOKUP(ScoPo!T35,ScoPo!$G$150:$J$277,4,0))-1)</f>
        <v>#N/A</v>
      </c>
      <c r="I172" s="13" t="str">
        <f>IF(ScoPo!K35=1,ScoPo!N35,IF(ScoPo!K35=2,0," "))</f>
        <v xml:space="preserve"> </v>
      </c>
      <c r="L172" s="21"/>
      <c r="N172" s="22"/>
      <c r="O172" s="22"/>
      <c r="P172" s="18"/>
      <c r="Q172" s="22"/>
      <c r="R172" s="22"/>
      <c r="S172" s="22"/>
      <c r="Z172" s="53"/>
      <c r="AA172"/>
      <c r="AH172" t="str">
        <f t="shared" si="31"/>
        <v>k yet</v>
      </c>
    </row>
    <row r="173" spans="1:39">
      <c r="A173" s="42" t="s">
        <v>249</v>
      </c>
      <c r="B173" s="1" t="s">
        <v>20</v>
      </c>
      <c r="C173" s="40" t="str">
        <f t="shared" si="28"/>
        <v>04-&gt;</v>
      </c>
      <c r="D173" s="40" t="str">
        <f t="shared" si="29"/>
        <v xml:space="preserve">No pick yet                                                 </v>
      </c>
      <c r="E173" s="52">
        <f t="shared" si="30"/>
        <v>0</v>
      </c>
      <c r="F173" s="18"/>
      <c r="G173" s="13">
        <f t="shared" si="24"/>
        <v>0</v>
      </c>
      <c r="H173" s="13" t="e">
        <f>LEFT(VLOOKUP(ScoPo!S36,ScoPo!$G$150:$J$277,4,0),FIND(",",VLOOKUP(ScoPo!S36,ScoPo!$G$150:$J$277,4,0))-1)&amp;" "&amp;$AH$65&amp;" "&amp;LEFT(VLOOKUP(ScoPo!T36,ScoPo!$G$150:$J$277,4,0),FIND(",",VLOOKUP(ScoPo!T36,ScoPo!$G$150:$J$277,4,0))-1)</f>
        <v>#N/A</v>
      </c>
      <c r="I173" s="13" t="str">
        <f>IF(ScoPo!K36=1,ScoPo!N36,IF(ScoPo!K36=2,0," "))</f>
        <v xml:space="preserve"> </v>
      </c>
      <c r="J173" s="22"/>
      <c r="M173" s="18"/>
      <c r="N173" s="18"/>
      <c r="O173" s="18"/>
      <c r="P173" s="18"/>
      <c r="Q173" s="22"/>
      <c r="R173" s="21"/>
      <c r="S173" s="21"/>
      <c r="T173" s="21"/>
      <c r="AA173"/>
      <c r="AH173" t="str">
        <f t="shared" si="31"/>
        <v>k yet</v>
      </c>
    </row>
    <row r="174" spans="1:39">
      <c r="A174" s="42" t="s">
        <v>250</v>
      </c>
      <c r="B174" s="1" t="s">
        <v>20</v>
      </c>
      <c r="C174" s="40" t="str">
        <f t="shared" si="28"/>
        <v>05-&gt;</v>
      </c>
      <c r="D174" s="40" t="str">
        <f t="shared" si="29"/>
        <v xml:space="preserve">No pick yet                                                 </v>
      </c>
      <c r="E174" s="52">
        <f t="shared" si="30"/>
        <v>0</v>
      </c>
      <c r="F174" s="18"/>
      <c r="G174" s="13">
        <f t="shared" si="24"/>
        <v>0</v>
      </c>
      <c r="H174" s="13" t="e">
        <f>LEFT(VLOOKUP(ScoPo!S37,ScoPo!$G$150:$J$277,4,0),FIND(",",VLOOKUP(ScoPo!S37,ScoPo!$G$150:$J$277,4,0))-1)&amp;" "&amp;$AH$65&amp;" "&amp;LEFT(VLOOKUP(ScoPo!T37,ScoPo!$G$150:$J$277,4,0),FIND(",",VLOOKUP(ScoPo!T37,ScoPo!$G$150:$J$277,4,0))-1)</f>
        <v>#N/A</v>
      </c>
      <c r="I174" s="13" t="str">
        <f>IF(ScoPo!K37=1,ScoPo!N37,IF(ScoPo!K37=2,0," "))</f>
        <v xml:space="preserve"> </v>
      </c>
      <c r="J174" s="22"/>
      <c r="M174" s="18"/>
      <c r="N174" s="18"/>
      <c r="O174" s="18"/>
      <c r="P174" s="18"/>
      <c r="Q174" s="22"/>
      <c r="R174" s="21"/>
      <c r="S174" s="21"/>
      <c r="T174" s="21"/>
      <c r="AA174"/>
      <c r="AH174" t="str">
        <f t="shared" si="31"/>
        <v>k yet</v>
      </c>
    </row>
    <row r="175" spans="1:39">
      <c r="A175" s="42" t="s">
        <v>251</v>
      </c>
      <c r="B175" s="1" t="s">
        <v>20</v>
      </c>
      <c r="C175" s="40" t="str">
        <f t="shared" si="28"/>
        <v>06-&gt;</v>
      </c>
      <c r="D175" s="40" t="str">
        <f t="shared" si="29"/>
        <v xml:space="preserve">No pick yet                                                 </v>
      </c>
      <c r="E175" s="52">
        <f t="shared" si="30"/>
        <v>0</v>
      </c>
      <c r="F175" s="18"/>
      <c r="G175" s="13">
        <f t="shared" si="24"/>
        <v>0</v>
      </c>
      <c r="H175" s="13" t="e">
        <f>LEFT(VLOOKUP(ScoPo!S38,ScoPo!$G$150:$J$277,4,0),FIND(",",VLOOKUP(ScoPo!S38,ScoPo!$G$150:$J$277,4,0))-1)&amp;" "&amp;$AH$65&amp;" "&amp;LEFT(VLOOKUP(ScoPo!T38,ScoPo!$G$150:$J$277,4,0),FIND(",",VLOOKUP(ScoPo!T38,ScoPo!$G$150:$J$277,4,0))-1)</f>
        <v>#N/A</v>
      </c>
      <c r="I175" s="13" t="str">
        <f>IF(ScoPo!K38=1,ScoPo!N38,IF(ScoPo!K38=2,0," "))</f>
        <v xml:space="preserve"> </v>
      </c>
      <c r="M175" s="18"/>
      <c r="N175" s="18"/>
      <c r="O175" s="18"/>
      <c r="P175" s="18"/>
      <c r="Q175" s="22"/>
      <c r="R175" s="21"/>
      <c r="S175" s="21"/>
      <c r="T175" s="21"/>
      <c r="AA175"/>
      <c r="AH175" t="str">
        <f t="shared" si="31"/>
        <v>k yet</v>
      </c>
    </row>
    <row r="176" spans="1:39">
      <c r="A176" s="42" t="s">
        <v>252</v>
      </c>
      <c r="B176" s="1" t="s">
        <v>20</v>
      </c>
      <c r="C176" s="40" t="str">
        <f t="shared" si="28"/>
        <v>07-&gt;</v>
      </c>
      <c r="D176" s="40" t="str">
        <f t="shared" si="29"/>
        <v xml:space="preserve">No pick yet                                                 </v>
      </c>
      <c r="E176" s="52">
        <f t="shared" si="30"/>
        <v>0</v>
      </c>
      <c r="F176" s="18"/>
      <c r="G176" s="13">
        <f t="shared" si="24"/>
        <v>0</v>
      </c>
      <c r="H176" s="13" t="e">
        <f>LEFT(VLOOKUP(ScoPo!S39,ScoPo!$G$150:$J$277,4,0),FIND(",",VLOOKUP(ScoPo!S39,ScoPo!$G$150:$J$277,4,0))-1)&amp;" "&amp;$AH$65&amp;" "&amp;LEFT(VLOOKUP(ScoPo!T39,ScoPo!$G$150:$J$277,4,0),FIND(",",VLOOKUP(ScoPo!T39,ScoPo!$G$150:$J$277,4,0))-1)</f>
        <v>#N/A</v>
      </c>
      <c r="I176" s="13" t="str">
        <f>IF(ScoPo!K39=1,ScoPo!N39,IF(ScoPo!K39=2,0," "))</f>
        <v xml:space="preserve"> </v>
      </c>
      <c r="M176" s="18"/>
      <c r="N176" s="18"/>
      <c r="O176" s="18"/>
      <c r="P176" s="18"/>
      <c r="Q176" s="22"/>
      <c r="R176" s="21"/>
      <c r="S176" s="21"/>
      <c r="T176" s="21"/>
      <c r="AA176"/>
      <c r="AH176" t="str">
        <f t="shared" si="31"/>
        <v>k yet</v>
      </c>
    </row>
    <row r="177" spans="1:34">
      <c r="A177" s="42" t="s">
        <v>253</v>
      </c>
      <c r="B177" s="1" t="s">
        <v>20</v>
      </c>
      <c r="C177" s="40" t="str">
        <f t="shared" si="28"/>
        <v>08-&gt;</v>
      </c>
      <c r="D177" s="40" t="str">
        <f t="shared" si="29"/>
        <v xml:space="preserve">No pick yet                                                 </v>
      </c>
      <c r="E177" s="52">
        <f t="shared" si="30"/>
        <v>0</v>
      </c>
      <c r="F177" s="18"/>
      <c r="G177" s="13">
        <f t="shared" si="24"/>
        <v>0</v>
      </c>
      <c r="H177" s="13" t="e">
        <f>LEFT(VLOOKUP(ScoPo!S40,ScoPo!$G$150:$J$277,4,0),FIND(",",VLOOKUP(ScoPo!S40,ScoPo!$G$150:$J$277,4,0))-1)&amp;" "&amp;$AH$65&amp;" "&amp;LEFT(VLOOKUP(ScoPo!T40,ScoPo!$G$150:$J$277,4,0),FIND(",",VLOOKUP(ScoPo!T40,ScoPo!$G$150:$J$277,4,0))-1)</f>
        <v>#N/A</v>
      </c>
      <c r="I177" s="13" t="str">
        <f>IF(ScoPo!K40=1,ScoPo!N40,IF(ScoPo!K40=2,0," "))</f>
        <v xml:space="preserve"> </v>
      </c>
      <c r="M177" s="18"/>
      <c r="N177" s="18"/>
      <c r="O177" s="18"/>
      <c r="P177" s="18"/>
      <c r="Q177" s="22"/>
      <c r="R177" s="21"/>
      <c r="S177" s="21"/>
      <c r="T177" s="21"/>
      <c r="AA177"/>
      <c r="AH177" t="str">
        <f t="shared" si="31"/>
        <v>k yet</v>
      </c>
    </row>
    <row r="178" spans="1:34">
      <c r="A178" s="42" t="s">
        <v>254</v>
      </c>
      <c r="B178" s="1" t="s">
        <v>20</v>
      </c>
      <c r="C178" s="40" t="str">
        <f t="shared" si="28"/>
        <v>09-&gt;</v>
      </c>
      <c r="D178" s="40" t="str">
        <f t="shared" si="29"/>
        <v xml:space="preserve">No pick yet                                                 </v>
      </c>
      <c r="E178" s="52">
        <f t="shared" si="30"/>
        <v>0</v>
      </c>
      <c r="F178" s="18"/>
      <c r="G178" s="13">
        <f t="shared" si="24"/>
        <v>0</v>
      </c>
      <c r="H178" s="13" t="e">
        <f>LEFT(VLOOKUP(ScoPo!S41,ScoPo!$G$150:$J$277,4,0),FIND(",",VLOOKUP(ScoPo!S41,ScoPo!$G$150:$J$277,4,0))-1)&amp;" "&amp;$AH$65&amp;" "&amp;LEFT(VLOOKUP(ScoPo!T41,ScoPo!$G$150:$J$277,4,0),FIND(",",VLOOKUP(ScoPo!T41,ScoPo!$G$150:$J$277,4,0))-1)</f>
        <v>#N/A</v>
      </c>
      <c r="I178" s="13" t="str">
        <f>IF(ScoPo!K41=1,ScoPo!N41,IF(ScoPo!K41=2,0," "))</f>
        <v xml:space="preserve"> </v>
      </c>
      <c r="M178" s="18"/>
      <c r="N178" s="18"/>
      <c r="O178" s="18"/>
      <c r="P178" s="18"/>
      <c r="Q178" s="22"/>
      <c r="R178" s="21"/>
      <c r="S178" s="21"/>
      <c r="T178" s="21"/>
      <c r="AA178"/>
      <c r="AH178" t="str">
        <f t="shared" si="31"/>
        <v>k yet</v>
      </c>
    </row>
    <row r="179" spans="1:34">
      <c r="A179" s="42" t="s">
        <v>255</v>
      </c>
      <c r="B179" s="1" t="s">
        <v>20</v>
      </c>
      <c r="C179" s="40" t="str">
        <f t="shared" si="28"/>
        <v>10-&gt;</v>
      </c>
      <c r="D179" s="40" t="str">
        <f t="shared" si="29"/>
        <v xml:space="preserve">No pick yet                                                 </v>
      </c>
      <c r="E179" s="52">
        <f t="shared" si="30"/>
        <v>0</v>
      </c>
      <c r="F179" s="22"/>
      <c r="G179" s="13">
        <f t="shared" si="24"/>
        <v>0</v>
      </c>
      <c r="H179" s="13" t="e">
        <f>LEFT(VLOOKUP(ScoPo!S42,ScoPo!$G$150:$J$277,4,0),FIND(",",VLOOKUP(ScoPo!S42,ScoPo!$G$150:$J$277,4,0))-1)&amp;" "&amp;$AH$65&amp;" "&amp;LEFT(VLOOKUP(ScoPo!T42,ScoPo!$G$150:$J$277,4,0),FIND(",",VLOOKUP(ScoPo!T42,ScoPo!$G$150:$J$277,4,0))-1)</f>
        <v>#N/A</v>
      </c>
      <c r="I179" s="13" t="str">
        <f>IF(ScoPo!K42=1,ScoPo!N42,IF(ScoPo!K42=2,0," "))</f>
        <v xml:space="preserve"> </v>
      </c>
      <c r="M179" s="18"/>
      <c r="N179" s="18"/>
      <c r="O179" s="18"/>
      <c r="P179" s="18"/>
      <c r="Q179" s="22"/>
      <c r="R179" s="21"/>
      <c r="S179" s="21"/>
      <c r="T179" s="21"/>
      <c r="AA179"/>
      <c r="AH179" t="str">
        <f t="shared" si="31"/>
        <v>k yet</v>
      </c>
    </row>
    <row r="180" spans="1:34">
      <c r="A180" s="42" t="s">
        <v>256</v>
      </c>
      <c r="B180" s="1" t="s">
        <v>20</v>
      </c>
      <c r="C180" s="40" t="str">
        <f t="shared" si="28"/>
        <v>11-&gt;</v>
      </c>
      <c r="D180" s="40" t="str">
        <f t="shared" si="29"/>
        <v xml:space="preserve">No pick yet                                                 </v>
      </c>
      <c r="E180" s="52">
        <f t="shared" si="30"/>
        <v>0</v>
      </c>
      <c r="G180" s="13">
        <f t="shared" si="24"/>
        <v>0</v>
      </c>
      <c r="H180" s="13" t="e">
        <f>LEFT(VLOOKUP(ScoPo!S43,ScoPo!$G$150:$J$277,4,0),FIND(",",VLOOKUP(ScoPo!S43,ScoPo!$G$150:$J$277,4,0))-1)&amp;" "&amp;$AH$65&amp;" "&amp;LEFT(VLOOKUP(ScoPo!T43,ScoPo!$G$150:$J$277,4,0),FIND(",",VLOOKUP(ScoPo!T43,ScoPo!$G$150:$J$277,4,0))-1)</f>
        <v>#N/A</v>
      </c>
      <c r="I180" s="13" t="str">
        <f>IF(ScoPo!K43=1,ScoPo!N43,IF(ScoPo!K43=2,0," "))</f>
        <v xml:space="preserve"> </v>
      </c>
      <c r="M180" s="18"/>
      <c r="N180" s="18"/>
      <c r="O180" s="18"/>
      <c r="P180" s="18"/>
      <c r="Q180" s="22"/>
      <c r="R180" s="21"/>
      <c r="S180" s="21"/>
      <c r="T180" s="21"/>
      <c r="AA180"/>
      <c r="AH180" t="str">
        <f t="shared" si="31"/>
        <v>k yet</v>
      </c>
    </row>
    <row r="181" spans="1:34">
      <c r="A181" s="42" t="s">
        <v>257</v>
      </c>
      <c r="B181" s="1" t="s">
        <v>20</v>
      </c>
      <c r="C181" s="40" t="str">
        <f t="shared" si="28"/>
        <v>12-&gt;</v>
      </c>
      <c r="D181" s="40" t="str">
        <f t="shared" si="29"/>
        <v xml:space="preserve">No pick yet                                                 </v>
      </c>
      <c r="E181" s="52">
        <f t="shared" si="30"/>
        <v>0</v>
      </c>
      <c r="G181" s="13">
        <f t="shared" si="24"/>
        <v>0</v>
      </c>
      <c r="H181" s="13" t="e">
        <f>LEFT(VLOOKUP(ScoPo!S44,ScoPo!$G$150:$J$277,4,0),FIND(",",VLOOKUP(ScoPo!S44,ScoPo!$G$150:$J$277,4,0))-1)&amp;" "&amp;$AH$65&amp;" "&amp;LEFT(VLOOKUP(ScoPo!T44,ScoPo!$G$150:$J$277,4,0),FIND(",",VLOOKUP(ScoPo!T44,ScoPo!$G$150:$J$277,4,0))-1)</f>
        <v>#N/A</v>
      </c>
      <c r="I181" s="13" t="str">
        <f>IF(ScoPo!K44=1,ScoPo!N44,IF(ScoPo!K44=2,0," "))</f>
        <v xml:space="preserve"> </v>
      </c>
      <c r="M181" s="18"/>
      <c r="N181" s="18"/>
      <c r="O181" s="18"/>
      <c r="P181" s="18"/>
      <c r="Q181" s="22"/>
      <c r="R181" s="21"/>
      <c r="S181" s="21"/>
      <c r="T181" s="21"/>
      <c r="AA181"/>
      <c r="AH181" t="str">
        <f t="shared" si="31"/>
        <v>k yet</v>
      </c>
    </row>
    <row r="182" spans="1:34">
      <c r="A182" s="42" t="s">
        <v>258</v>
      </c>
      <c r="B182" s="1" t="s">
        <v>20</v>
      </c>
      <c r="C182" s="40" t="str">
        <f t="shared" si="28"/>
        <v>13-&gt;</v>
      </c>
      <c r="D182" s="40" t="str">
        <f t="shared" si="29"/>
        <v xml:space="preserve">No pick yet                                                 </v>
      </c>
      <c r="E182" s="52">
        <f t="shared" si="30"/>
        <v>0</v>
      </c>
      <c r="G182" s="13">
        <f t="shared" si="24"/>
        <v>0</v>
      </c>
      <c r="H182" s="13" t="e">
        <f>LEFT(VLOOKUP(ScoPo!S45,ScoPo!$G$150:$J$277,4,0),FIND(",",VLOOKUP(ScoPo!S45,ScoPo!$G$150:$J$277,4,0))-1)&amp;" "&amp;$AH$65&amp;" "&amp;LEFT(VLOOKUP(ScoPo!T45,ScoPo!$G$150:$J$277,4,0),FIND(",",VLOOKUP(ScoPo!T45,ScoPo!$G$150:$J$277,4,0))-1)</f>
        <v>#N/A</v>
      </c>
      <c r="I182" s="13" t="str">
        <f>IF(ScoPo!K45=1,ScoPo!N45,IF(ScoPo!K45=2,0," "))</f>
        <v xml:space="preserve"> </v>
      </c>
      <c r="M182" s="18"/>
      <c r="N182" s="18"/>
      <c r="O182" s="18"/>
      <c r="P182" s="18"/>
      <c r="Q182" s="22"/>
      <c r="R182" s="21"/>
      <c r="S182" s="21"/>
      <c r="T182" s="21"/>
      <c r="AA182"/>
      <c r="AH182" t="str">
        <f t="shared" si="31"/>
        <v>k yet</v>
      </c>
    </row>
    <row r="183" spans="1:34">
      <c r="A183" s="42" t="s">
        <v>259</v>
      </c>
      <c r="B183" s="1" t="s">
        <v>20</v>
      </c>
      <c r="C183" s="40" t="str">
        <f t="shared" si="28"/>
        <v>14-&gt;</v>
      </c>
      <c r="D183" s="40" t="str">
        <f t="shared" si="29"/>
        <v xml:space="preserve">No pick yet                                                 </v>
      </c>
      <c r="E183" s="52">
        <f t="shared" si="30"/>
        <v>0</v>
      </c>
      <c r="G183" s="13">
        <f t="shared" si="24"/>
        <v>0</v>
      </c>
      <c r="H183" s="13" t="e">
        <f>LEFT(VLOOKUP(ScoPo!S46,ScoPo!$G$150:$J$277,4,0),FIND(",",VLOOKUP(ScoPo!S46,ScoPo!$G$150:$J$277,4,0))-1)&amp;" "&amp;$AH$65&amp;" "&amp;LEFT(VLOOKUP(ScoPo!T46,ScoPo!$G$150:$J$277,4,0),FIND(",",VLOOKUP(ScoPo!T46,ScoPo!$G$150:$J$277,4,0))-1)</f>
        <v>#N/A</v>
      </c>
      <c r="I183" s="13" t="str">
        <f>IF(ScoPo!K46=1,ScoPo!N46,IF(ScoPo!K46=2,0," "))</f>
        <v xml:space="preserve"> </v>
      </c>
      <c r="M183" s="18"/>
      <c r="N183" s="18"/>
      <c r="O183" s="18"/>
      <c r="P183" s="18"/>
      <c r="Q183" s="22"/>
      <c r="R183" s="21"/>
      <c r="S183" s="21"/>
      <c r="T183" s="21"/>
      <c r="AA183"/>
      <c r="AH183" t="str">
        <f t="shared" si="31"/>
        <v>k yet</v>
      </c>
    </row>
    <row r="184" spans="1:34">
      <c r="A184" s="42" t="s">
        <v>260</v>
      </c>
      <c r="B184" s="1" t="s">
        <v>20</v>
      </c>
      <c r="C184" s="40" t="str">
        <f t="shared" si="28"/>
        <v>15-&gt;</v>
      </c>
      <c r="D184" s="40" t="str">
        <f t="shared" si="29"/>
        <v xml:space="preserve">No pick yet                                                 </v>
      </c>
      <c r="E184" s="52">
        <f t="shared" si="30"/>
        <v>0</v>
      </c>
      <c r="G184" s="13">
        <f t="shared" si="24"/>
        <v>0</v>
      </c>
      <c r="H184" s="13" t="e">
        <f>LEFT(VLOOKUP(ScoPo!S47,ScoPo!$G$150:$J$277,4,0),FIND(",",VLOOKUP(ScoPo!S47,ScoPo!$G$150:$J$277,4,0))-1)&amp;" "&amp;$AH$65&amp;" "&amp;LEFT(VLOOKUP(ScoPo!T47,ScoPo!$G$150:$J$277,4,0),FIND(",",VLOOKUP(ScoPo!T47,ScoPo!$G$150:$J$277,4,0))-1)</f>
        <v>#N/A</v>
      </c>
      <c r="I184" s="13" t="str">
        <f>IF(ScoPo!K47=1,ScoPo!N47,IF(ScoPo!K47=2,0," "))</f>
        <v xml:space="preserve"> </v>
      </c>
      <c r="M184" s="18"/>
      <c r="N184" s="18"/>
      <c r="O184" s="18"/>
      <c r="P184" s="18"/>
      <c r="Q184" s="22"/>
      <c r="R184" s="21"/>
      <c r="S184" s="21"/>
      <c r="T184" s="21"/>
      <c r="AA184"/>
      <c r="AH184" t="str">
        <f t="shared" si="31"/>
        <v>k yet</v>
      </c>
    </row>
    <row r="185" spans="1:34">
      <c r="A185" s="42" t="s">
        <v>261</v>
      </c>
      <c r="B185" s="1" t="s">
        <v>20</v>
      </c>
      <c r="C185" s="40" t="str">
        <f t="shared" si="28"/>
        <v>16-&gt;</v>
      </c>
      <c r="D185" s="40" t="str">
        <f t="shared" si="29"/>
        <v xml:space="preserve">No pick yet                                                 </v>
      </c>
      <c r="E185" s="52">
        <f t="shared" si="30"/>
        <v>0</v>
      </c>
      <c r="G185" s="13">
        <f t="shared" si="24"/>
        <v>0</v>
      </c>
      <c r="H185" s="13" t="e">
        <f>LEFT(VLOOKUP(ScoPo!S48,ScoPo!$G$150:$J$277,4,0),FIND(",",VLOOKUP(ScoPo!S48,ScoPo!$G$150:$J$277,4,0))-1)&amp;" "&amp;$AH$65&amp;" "&amp;LEFT(VLOOKUP(ScoPo!T48,ScoPo!$G$150:$J$277,4,0),FIND(",",VLOOKUP(ScoPo!T48,ScoPo!$G$150:$J$277,4,0))-1)</f>
        <v>#N/A</v>
      </c>
      <c r="I185" s="13" t="str">
        <f>IF(ScoPo!K48=1,ScoPo!N48,IF(ScoPo!K48=2,0," "))</f>
        <v xml:space="preserve"> </v>
      </c>
      <c r="M185" s="18"/>
      <c r="N185" s="18"/>
      <c r="O185" s="18"/>
      <c r="P185" s="18"/>
      <c r="Q185" s="22"/>
      <c r="R185" s="21"/>
      <c r="S185" s="21"/>
      <c r="T185" s="21"/>
      <c r="AA185"/>
      <c r="AH185" t="str">
        <f t="shared" si="31"/>
        <v>k yet</v>
      </c>
    </row>
    <row r="186" spans="1:34">
      <c r="A186" s="42" t="s">
        <v>262</v>
      </c>
      <c r="B186" s="1" t="s">
        <v>20</v>
      </c>
      <c r="C186" s="40" t="str">
        <f t="shared" si="28"/>
        <v>17-&gt;</v>
      </c>
      <c r="D186" s="40" t="str">
        <f t="shared" si="29"/>
        <v xml:space="preserve">No pick yet                                                 </v>
      </c>
      <c r="E186" s="52">
        <f t="shared" si="30"/>
        <v>0</v>
      </c>
      <c r="G186" s="13">
        <f t="shared" si="24"/>
        <v>0</v>
      </c>
      <c r="H186" s="13" t="e">
        <f>LEFT(VLOOKUP(ScoPo!S49,ScoPo!$G$150:$J$277,4,0),FIND(",",VLOOKUP(ScoPo!S49,ScoPo!$G$150:$J$277,4,0))-1)&amp;" "&amp;$AH$65&amp;" "&amp;LEFT(VLOOKUP(ScoPo!T49,ScoPo!$G$150:$J$277,4,0),FIND(",",VLOOKUP(ScoPo!T49,ScoPo!$G$150:$J$277,4,0))-1)</f>
        <v>#N/A</v>
      </c>
      <c r="I186" s="13" t="str">
        <f>IF(ScoPo!K49=1,ScoPo!N49,IF(ScoPo!K49=2,0," "))</f>
        <v xml:space="preserve"> </v>
      </c>
      <c r="K186" s="22"/>
      <c r="N186" s="22"/>
      <c r="O186" s="22"/>
      <c r="P186" s="22"/>
      <c r="Q186" s="22"/>
      <c r="R186" s="22"/>
      <c r="S186" s="22"/>
      <c r="Z186" s="53"/>
      <c r="AA186"/>
      <c r="AH186" t="str">
        <f t="shared" si="31"/>
        <v>k yet</v>
      </c>
    </row>
    <row r="187" spans="1:34">
      <c r="A187" s="42" t="s">
        <v>263</v>
      </c>
      <c r="B187" s="1" t="s">
        <v>20</v>
      </c>
      <c r="C187" s="40" t="str">
        <f t="shared" si="28"/>
        <v>18-&gt;</v>
      </c>
      <c r="D187" s="40" t="str">
        <f t="shared" si="29"/>
        <v xml:space="preserve">No pick yet                                                 </v>
      </c>
      <c r="E187" s="52">
        <f t="shared" si="30"/>
        <v>0</v>
      </c>
      <c r="F187" s="18"/>
      <c r="G187" s="13">
        <f t="shared" si="24"/>
        <v>0</v>
      </c>
      <c r="H187" s="13" t="e">
        <f>LEFT(VLOOKUP(ScoPo!S50,ScoPo!$G$150:$J$277,4,0),FIND(",",VLOOKUP(ScoPo!S50,ScoPo!$G$150:$J$277,4,0))-1)&amp;" "&amp;$AH$65&amp;" "&amp;LEFT(VLOOKUP(ScoPo!T50,ScoPo!$G$150:$J$277,4,0),FIND(",",VLOOKUP(ScoPo!T50,ScoPo!$G$150:$J$277,4,0))-1)</f>
        <v>#N/A</v>
      </c>
      <c r="I187" s="13" t="str">
        <f>IF(ScoPo!K50=1,ScoPo!N50,IF(ScoPo!K50=2,0," "))</f>
        <v xml:space="preserve"> </v>
      </c>
      <c r="L187" s="21"/>
      <c r="N187" s="22"/>
      <c r="O187" s="22"/>
      <c r="P187" s="18"/>
      <c r="Q187" s="22"/>
      <c r="R187" s="22"/>
      <c r="S187" s="22"/>
      <c r="Z187" s="53"/>
      <c r="AA187"/>
      <c r="AH187" t="str">
        <f t="shared" si="31"/>
        <v>k yet</v>
      </c>
    </row>
    <row r="188" spans="1:34">
      <c r="A188" s="42" t="s">
        <v>264</v>
      </c>
      <c r="B188" s="1" t="s">
        <v>20</v>
      </c>
      <c r="C188" s="40" t="str">
        <f t="shared" si="28"/>
        <v>19-&gt;</v>
      </c>
      <c r="D188" s="40" t="str">
        <f t="shared" si="29"/>
        <v xml:space="preserve">No pick yet                                                 </v>
      </c>
      <c r="E188" s="52">
        <f t="shared" si="30"/>
        <v>0</v>
      </c>
      <c r="F188" s="18"/>
      <c r="G188" s="13">
        <f t="shared" si="24"/>
        <v>0</v>
      </c>
      <c r="H188" s="13" t="e">
        <f>LEFT(VLOOKUP(ScoPo!S51,ScoPo!$G$150:$J$277,4,0),FIND(",",VLOOKUP(ScoPo!S51,ScoPo!$G$150:$J$277,4,0))-1)&amp;" "&amp;$AH$65&amp;" "&amp;LEFT(VLOOKUP(ScoPo!T51,ScoPo!$G$150:$J$277,4,0),FIND(",",VLOOKUP(ScoPo!T51,ScoPo!$G$150:$J$277,4,0))-1)</f>
        <v>#N/A</v>
      </c>
      <c r="I188" s="13" t="str">
        <f>IF(ScoPo!K51=1,ScoPo!N51,IF(ScoPo!K51=2,0," "))</f>
        <v xml:space="preserve"> </v>
      </c>
      <c r="J188" s="22"/>
      <c r="M188" s="18"/>
      <c r="N188" s="18"/>
      <c r="O188" s="18"/>
      <c r="P188" s="18"/>
      <c r="Q188" s="22"/>
      <c r="R188" s="21"/>
      <c r="S188" s="21"/>
      <c r="T188" s="21"/>
      <c r="AA188"/>
      <c r="AH188" t="str">
        <f t="shared" si="31"/>
        <v>k yet</v>
      </c>
    </row>
    <row r="189" spans="1:34">
      <c r="A189" s="42" t="s">
        <v>265</v>
      </c>
      <c r="B189" s="1" t="s">
        <v>20</v>
      </c>
      <c r="C189" s="40" t="str">
        <f t="shared" si="28"/>
        <v>20-&gt;</v>
      </c>
      <c r="D189" s="40" t="str">
        <f t="shared" si="29"/>
        <v xml:space="preserve">No pick yet                                                 </v>
      </c>
      <c r="E189" s="52">
        <f t="shared" si="30"/>
        <v>0</v>
      </c>
      <c r="F189" s="18"/>
      <c r="G189" s="13">
        <f t="shared" si="24"/>
        <v>0</v>
      </c>
      <c r="H189" s="13" t="e">
        <f>LEFT(VLOOKUP(ScoPo!S52,ScoPo!$G$150:$J$277,4,0),FIND(",",VLOOKUP(ScoPo!S52,ScoPo!$G$150:$J$277,4,0))-1)&amp;" "&amp;$AH$65&amp;" "&amp;LEFT(VLOOKUP(ScoPo!T52,ScoPo!$G$150:$J$277,4,0),FIND(",",VLOOKUP(ScoPo!T52,ScoPo!$G$150:$J$277,4,0))-1)</f>
        <v>#N/A</v>
      </c>
      <c r="I189" s="13" t="str">
        <f>IF(ScoPo!K52=1,ScoPo!N52,IF(ScoPo!K52=2,0," "))</f>
        <v xml:space="preserve"> </v>
      </c>
      <c r="J189" s="22"/>
      <c r="M189" s="18"/>
      <c r="N189" s="18"/>
      <c r="O189" s="18"/>
      <c r="P189" s="18"/>
      <c r="Q189" s="22"/>
      <c r="R189" s="21"/>
      <c r="S189" s="21"/>
      <c r="T189" s="21"/>
      <c r="AA189"/>
      <c r="AH189" t="str">
        <f t="shared" si="31"/>
        <v>k yet</v>
      </c>
    </row>
    <row r="190" spans="1:34">
      <c r="A190" s="42" t="s">
        <v>266</v>
      </c>
      <c r="B190" s="1" t="s">
        <v>20</v>
      </c>
      <c r="C190" s="40" t="str">
        <f t="shared" si="28"/>
        <v>21-&gt;</v>
      </c>
      <c r="D190" s="40" t="str">
        <f t="shared" si="29"/>
        <v xml:space="preserve">No pick yet                                                 </v>
      </c>
      <c r="E190" s="52">
        <f t="shared" si="30"/>
        <v>0</v>
      </c>
      <c r="F190" s="18"/>
      <c r="G190" s="13">
        <f t="shared" si="24"/>
        <v>0</v>
      </c>
      <c r="H190" s="13" t="e">
        <f>LEFT(VLOOKUP(ScoPo!S53,ScoPo!$G$150:$J$277,4,0),FIND(",",VLOOKUP(ScoPo!S53,ScoPo!$G$150:$J$277,4,0))-1)&amp;" "&amp;$AH$65&amp;" "&amp;LEFT(VLOOKUP(ScoPo!T53,ScoPo!$G$150:$J$277,4,0),FIND(",",VLOOKUP(ScoPo!T53,ScoPo!$G$150:$J$277,4,0))-1)</f>
        <v>#N/A</v>
      </c>
      <c r="I190" s="13" t="str">
        <f>IF(ScoPo!K53=1,ScoPo!N53,IF(ScoPo!K53=2,0," "))</f>
        <v xml:space="preserve"> </v>
      </c>
      <c r="M190" s="18"/>
      <c r="N190" s="18"/>
      <c r="O190" s="18"/>
      <c r="P190" s="18"/>
      <c r="Q190" s="22"/>
      <c r="R190" s="21"/>
      <c r="S190" s="21"/>
      <c r="T190" s="21"/>
      <c r="AA190"/>
      <c r="AH190" t="str">
        <f t="shared" si="31"/>
        <v>k yet</v>
      </c>
    </row>
    <row r="191" spans="1:34">
      <c r="A191" s="42" t="s">
        <v>267</v>
      </c>
      <c r="B191" s="1" t="s">
        <v>20</v>
      </c>
      <c r="C191" s="40" t="str">
        <f t="shared" si="28"/>
        <v>22-&gt;</v>
      </c>
      <c r="D191" s="40" t="str">
        <f t="shared" si="29"/>
        <v xml:space="preserve">No pick yet                                                 </v>
      </c>
      <c r="E191" s="52">
        <f t="shared" si="30"/>
        <v>0</v>
      </c>
      <c r="F191" s="18"/>
      <c r="G191" s="13">
        <f t="shared" si="24"/>
        <v>0</v>
      </c>
      <c r="H191" s="13" t="e">
        <f>LEFT(VLOOKUP(ScoPo!S54,ScoPo!$G$150:$J$277,4,0),FIND(",",VLOOKUP(ScoPo!S54,ScoPo!$G$150:$J$277,4,0))-1)&amp;" "&amp;$AH$65&amp;" "&amp;LEFT(VLOOKUP(ScoPo!T54,ScoPo!$G$150:$J$277,4,0),FIND(",",VLOOKUP(ScoPo!T54,ScoPo!$G$150:$J$277,4,0))-1)</f>
        <v>#N/A</v>
      </c>
      <c r="I191" s="13" t="str">
        <f>IF(ScoPo!K54=1,ScoPo!N54,IF(ScoPo!K54=2,0," "))</f>
        <v xml:space="preserve"> </v>
      </c>
      <c r="M191" s="18"/>
      <c r="N191" s="18"/>
      <c r="O191" s="18"/>
      <c r="P191" s="18"/>
      <c r="Q191" s="22"/>
      <c r="R191" s="21"/>
      <c r="S191" s="21"/>
      <c r="T191" s="21"/>
      <c r="AA191"/>
      <c r="AH191" t="str">
        <f t="shared" si="31"/>
        <v>k yet</v>
      </c>
    </row>
    <row r="192" spans="1:34">
      <c r="A192" s="42" t="s">
        <v>268</v>
      </c>
      <c r="B192" s="1" t="s">
        <v>20</v>
      </c>
      <c r="C192" s="40" t="str">
        <f t="shared" si="28"/>
        <v>23-&gt;</v>
      </c>
      <c r="D192" s="40" t="str">
        <f t="shared" si="29"/>
        <v xml:space="preserve">No pick yet                                                 </v>
      </c>
      <c r="E192" s="52">
        <f t="shared" si="30"/>
        <v>0</v>
      </c>
      <c r="F192" s="18"/>
      <c r="G192" s="13">
        <f t="shared" si="24"/>
        <v>0</v>
      </c>
      <c r="H192" s="13" t="e">
        <f>LEFT(VLOOKUP(ScoPo!S55,ScoPo!$G$150:$J$277,4,0),FIND(",",VLOOKUP(ScoPo!S55,ScoPo!$G$150:$J$277,4,0))-1)&amp;" "&amp;$AH$65&amp;" "&amp;LEFT(VLOOKUP(ScoPo!T55,ScoPo!$G$150:$J$277,4,0),FIND(",",VLOOKUP(ScoPo!T55,ScoPo!$G$150:$J$277,4,0))-1)</f>
        <v>#N/A</v>
      </c>
      <c r="I192" s="13" t="str">
        <f>IF(ScoPo!K55=1,ScoPo!N55,IF(ScoPo!K55=2,0," "))</f>
        <v xml:space="preserve"> </v>
      </c>
      <c r="M192" s="18"/>
      <c r="N192" s="18"/>
      <c r="O192" s="18"/>
      <c r="P192" s="18"/>
      <c r="Q192" s="22"/>
      <c r="R192" s="21"/>
      <c r="S192" s="21"/>
      <c r="T192" s="21"/>
      <c r="AA192"/>
      <c r="AH192" t="str">
        <f t="shared" si="31"/>
        <v>k yet</v>
      </c>
    </row>
    <row r="193" spans="1:39">
      <c r="A193" s="42" t="s">
        <v>269</v>
      </c>
      <c r="B193" s="1" t="s">
        <v>20</v>
      </c>
      <c r="C193" s="40" t="str">
        <f t="shared" si="28"/>
        <v>24-&gt;</v>
      </c>
      <c r="D193" s="40" t="str">
        <f t="shared" si="29"/>
        <v xml:space="preserve">No pick yet                                                 </v>
      </c>
      <c r="E193" s="52">
        <f t="shared" si="30"/>
        <v>0</v>
      </c>
      <c r="F193" s="18"/>
      <c r="G193" s="13">
        <f t="shared" si="24"/>
        <v>0</v>
      </c>
      <c r="H193" s="13" t="e">
        <f>LEFT(VLOOKUP(ScoPo!S56,ScoPo!$G$150:$J$277,4,0),FIND(",",VLOOKUP(ScoPo!S56,ScoPo!$G$150:$J$277,4,0))-1)&amp;" "&amp;$AH$65&amp;" "&amp;LEFT(VLOOKUP(ScoPo!T56,ScoPo!$G$150:$J$277,4,0),FIND(",",VLOOKUP(ScoPo!T56,ScoPo!$G$150:$J$277,4,0))-1)</f>
        <v>#N/A</v>
      </c>
      <c r="I193" s="13" t="str">
        <f>IF(ScoPo!K56=1,ScoPo!N56,IF(ScoPo!K56=2,0," "))</f>
        <v xml:space="preserve"> </v>
      </c>
      <c r="M193" s="18"/>
      <c r="N193" s="18"/>
      <c r="O193" s="18"/>
      <c r="P193" s="18"/>
      <c r="Q193" s="22"/>
      <c r="R193" s="21"/>
      <c r="S193" s="21"/>
      <c r="T193" s="21"/>
      <c r="AA193"/>
      <c r="AH193" t="str">
        <f t="shared" si="31"/>
        <v>k yet</v>
      </c>
    </row>
    <row r="194" spans="1:39">
      <c r="A194" s="42" t="s">
        <v>270</v>
      </c>
      <c r="B194" s="1" t="s">
        <v>20</v>
      </c>
      <c r="C194" s="40" t="str">
        <f t="shared" si="28"/>
        <v>25-&gt;</v>
      </c>
      <c r="D194" s="40" t="str">
        <f t="shared" si="29"/>
        <v xml:space="preserve">No pick yet                                                 </v>
      </c>
      <c r="E194" s="52">
        <f t="shared" si="30"/>
        <v>0</v>
      </c>
      <c r="F194" s="18"/>
      <c r="G194" s="13">
        <f t="shared" si="24"/>
        <v>0</v>
      </c>
      <c r="H194" s="13" t="e">
        <f>LEFT(VLOOKUP(ScoPo!S57,ScoPo!$G$150:$J$277,4,0),FIND(",",VLOOKUP(ScoPo!S57,ScoPo!$G$150:$J$277,4,0))-1)&amp;" "&amp;$AH$65&amp;" "&amp;LEFT(VLOOKUP(ScoPo!T57,ScoPo!$G$150:$J$277,4,0),FIND(",",VLOOKUP(ScoPo!T57,ScoPo!$G$150:$J$277,4,0))-1)</f>
        <v>#N/A</v>
      </c>
      <c r="I194" s="13" t="str">
        <f>IF(ScoPo!K57=1,ScoPo!N57,IF(ScoPo!K57=2,0," "))</f>
        <v xml:space="preserve"> </v>
      </c>
      <c r="M194" s="18"/>
      <c r="N194" s="18"/>
      <c r="O194" s="18"/>
      <c r="P194" s="18"/>
      <c r="Q194" s="22"/>
      <c r="R194" s="21"/>
      <c r="S194" s="21"/>
      <c r="T194" s="21"/>
      <c r="AA194"/>
      <c r="AH194" t="str">
        <f t="shared" si="31"/>
        <v>k yet</v>
      </c>
    </row>
    <row r="195" spans="1:39">
      <c r="A195" s="42" t="s">
        <v>271</v>
      </c>
      <c r="B195" s="1" t="s">
        <v>20</v>
      </c>
      <c r="C195" s="40" t="str">
        <f t="shared" si="28"/>
        <v>26-&gt;</v>
      </c>
      <c r="D195" s="40" t="str">
        <f t="shared" si="29"/>
        <v xml:space="preserve">No pick yet                                                 </v>
      </c>
      <c r="E195" s="52">
        <f t="shared" si="30"/>
        <v>0</v>
      </c>
      <c r="F195" s="18"/>
      <c r="G195" s="13">
        <f t="shared" si="24"/>
        <v>0</v>
      </c>
      <c r="H195" s="13" t="e">
        <f>LEFT(VLOOKUP(ScoPo!S58,ScoPo!$G$150:$J$277,4,0),FIND(",",VLOOKUP(ScoPo!S58,ScoPo!$G$150:$J$277,4,0))-1)&amp;" "&amp;$AH$65&amp;" "&amp;LEFT(VLOOKUP(ScoPo!T58,ScoPo!$G$150:$J$277,4,0),FIND(",",VLOOKUP(ScoPo!T58,ScoPo!$G$150:$J$277,4,0))-1)</f>
        <v>#N/A</v>
      </c>
      <c r="I195" s="13" t="str">
        <f>IF(ScoPo!K58=1,ScoPo!N58,IF(ScoPo!K58=2,0," "))</f>
        <v xml:space="preserve"> </v>
      </c>
      <c r="M195" s="18"/>
      <c r="N195" s="18"/>
      <c r="O195" s="18"/>
      <c r="P195" s="18"/>
      <c r="Q195" s="22"/>
      <c r="R195" s="21"/>
      <c r="S195" s="21"/>
      <c r="T195" s="21"/>
      <c r="AA195"/>
      <c r="AH195" t="str">
        <f t="shared" si="31"/>
        <v>k yet</v>
      </c>
    </row>
    <row r="196" spans="1:39">
      <c r="A196" s="38"/>
      <c r="B196" s="59"/>
      <c r="C196" s="40"/>
      <c r="D196" s="49"/>
      <c r="E196" s="41" t="s">
        <v>69</v>
      </c>
      <c r="F196" s="18"/>
      <c r="G196" s="13">
        <f t="shared" si="24"/>
        <v>0</v>
      </c>
      <c r="H196" s="13" t="e">
        <f>LEFT(VLOOKUP(ScoPo!S59,ScoPo!$G$150:$J$277,4,0),FIND(",",VLOOKUP(ScoPo!S59,ScoPo!$G$150:$J$277,4,0))-1)&amp;" "&amp;$AH$65&amp;" "&amp;LEFT(VLOOKUP(ScoPo!T59,ScoPo!$G$150:$J$277,4,0),FIND(",",VLOOKUP(ScoPo!T59,ScoPo!$G$150:$J$277,4,0))-1)</f>
        <v>#N/A</v>
      </c>
      <c r="I196" s="13" t="str">
        <f>IF(ScoPo!K59=1,ScoPo!N59,IF(ScoPo!K59=2,0," "))</f>
        <v xml:space="preserve"> </v>
      </c>
      <c r="K196" s="22" t="s">
        <v>73</v>
      </c>
      <c r="L196" s="18" t="s">
        <v>74</v>
      </c>
      <c r="M196" s="22" t="s">
        <v>78</v>
      </c>
      <c r="N196" s="22" t="s">
        <v>79</v>
      </c>
      <c r="O196" s="22" t="s">
        <v>80</v>
      </c>
      <c r="P196" s="22" t="s">
        <v>81</v>
      </c>
      <c r="Q196" s="22" t="s">
        <v>82</v>
      </c>
      <c r="R196" s="22" t="s">
        <v>83</v>
      </c>
      <c r="S196" s="22" t="s">
        <v>84</v>
      </c>
      <c r="T196" s="18" t="s">
        <v>85</v>
      </c>
      <c r="U196" s="18" t="s">
        <v>86</v>
      </c>
      <c r="V196" s="18" t="s">
        <v>87</v>
      </c>
      <c r="W196" s="18" t="s">
        <v>88</v>
      </c>
      <c r="X196" s="18" t="s">
        <v>89</v>
      </c>
      <c r="Y196" s="18" t="s">
        <v>90</v>
      </c>
      <c r="Z196" s="18" t="s">
        <v>91</v>
      </c>
      <c r="AA196" s="18" t="s">
        <v>92</v>
      </c>
      <c r="AB196" s="18" t="s">
        <v>93</v>
      </c>
      <c r="AC196" s="18" t="s">
        <v>94</v>
      </c>
      <c r="AD196" s="18" t="s">
        <v>235</v>
      </c>
      <c r="AE196" s="18" t="s">
        <v>236</v>
      </c>
      <c r="AF196" s="18" t="s">
        <v>237</v>
      </c>
      <c r="AG196" s="18" t="s">
        <v>238</v>
      </c>
      <c r="AH196" s="18" t="s">
        <v>239</v>
      </c>
      <c r="AI196" s="18" t="s">
        <v>240</v>
      </c>
      <c r="AJ196" s="18" t="s">
        <v>241</v>
      </c>
      <c r="AK196" s="18" t="s">
        <v>242</v>
      </c>
      <c r="AL196" s="18" t="s">
        <v>243</v>
      </c>
      <c r="AM196" s="50" t="s">
        <v>244</v>
      </c>
    </row>
    <row r="197" spans="1:39">
      <c r="A197" s="40" t="s">
        <v>245</v>
      </c>
      <c r="B197" s="51" t="str">
        <f>D6</f>
        <v/>
      </c>
      <c r="C197" s="40" t="str">
        <f t="shared" ref="C197:C223" si="32">A197</f>
        <v>#</v>
      </c>
      <c r="D197" s="40" t="str">
        <f>"   "&amp;B197&amp;REPT(" ",$AH$70-LEN(B197)-3)</f>
        <v xml:space="preserve">                                                            </v>
      </c>
      <c r="E197" s="38" t="str">
        <f>SUM(E198:E223)&amp;" pts[/b]"</f>
        <v>0 pts[/b]</v>
      </c>
      <c r="F197" s="21">
        <f>SUM(E198:E223)</f>
        <v>0</v>
      </c>
      <c r="G197" s="13">
        <f t="shared" si="24"/>
        <v>0</v>
      </c>
      <c r="H197" s="13" t="e">
        <f>LEFT(VLOOKUP(ScoPo!S60,ScoPo!$G$150:$J$277,4,0),FIND(",",VLOOKUP(ScoPo!S60,ScoPo!$G$150:$J$277,4,0))-1)&amp;" "&amp;$AH$65&amp;" "&amp;LEFT(VLOOKUP(ScoPo!T60,ScoPo!$G$150:$J$277,4,0),FIND(",",VLOOKUP(ScoPo!T60,ScoPo!$G$150:$J$277,4,0))-1)</f>
        <v>#N/A</v>
      </c>
      <c r="I197" s="13" t="str">
        <f>IF(ScoPo!K60=1,ScoPo!N60,IF(ScoPo!K60=2,0," "))</f>
        <v xml:space="preserve"> </v>
      </c>
      <c r="K197" s="18">
        <f>COUNTIF(E198:E223,"&gt;0")</f>
        <v>0</v>
      </c>
      <c r="L197" s="21">
        <f>AM197-K197</f>
        <v>0</v>
      </c>
      <c r="M197" s="22">
        <f>MAX(E198:E223)</f>
        <v>0</v>
      </c>
      <c r="N197" s="22">
        <f>LARGE(E198:E223,2)</f>
        <v>0</v>
      </c>
      <c r="O197" s="22">
        <f>LARGE(E198:E223,3)</f>
        <v>0</v>
      </c>
      <c r="P197" s="18">
        <f>LARGE(E198:E223,4)</f>
        <v>0</v>
      </c>
      <c r="Q197" s="22">
        <f>LARGE(E198:E223,5)</f>
        <v>0</v>
      </c>
      <c r="R197" s="22">
        <f>LARGE(E198:E223,6)</f>
        <v>0</v>
      </c>
      <c r="S197" s="22">
        <f>LARGE(E198:E223,7)</f>
        <v>0</v>
      </c>
      <c r="T197" s="18">
        <f>LARGE(E198:E223,8)</f>
        <v>0</v>
      </c>
      <c r="U197" s="18">
        <f>LARGE(E198:E223,9)</f>
        <v>0</v>
      </c>
      <c r="V197" s="18">
        <f>LARGE(E198:E223,10)</f>
        <v>0</v>
      </c>
      <c r="W197" s="18">
        <f>LARGE(E198:E223,11)</f>
        <v>0</v>
      </c>
      <c r="X197" s="18">
        <f>LARGE(E198:E223,12)</f>
        <v>0</v>
      </c>
      <c r="Y197" s="18">
        <f>LARGE(E198:E223,13)</f>
        <v>0</v>
      </c>
      <c r="Z197" s="18">
        <f>LARGE(E198:E223,14)</f>
        <v>0</v>
      </c>
      <c r="AA197" s="18">
        <f>LARGE(E198:E223,15)</f>
        <v>0</v>
      </c>
      <c r="AB197" s="18">
        <f>LARGE(E198:E223,16)</f>
        <v>0</v>
      </c>
      <c r="AC197" s="18">
        <f>LARGE(E198:E223,17)</f>
        <v>0</v>
      </c>
      <c r="AD197" s="18">
        <f>LARGE(E198:E224,13)</f>
        <v>0</v>
      </c>
      <c r="AE197" s="18">
        <f>LARGE(E198:E223,19)</f>
        <v>0</v>
      </c>
      <c r="AF197" s="18">
        <f>LARGE(E198:E223,20)</f>
        <v>0</v>
      </c>
      <c r="AG197" s="18">
        <f>LARGE(E198:E223,21)</f>
        <v>0</v>
      </c>
      <c r="AH197" s="18">
        <f>LARGE(E198:E223,22)</f>
        <v>0</v>
      </c>
      <c r="AI197" s="18">
        <f>LARGE(E198:E223,23)</f>
        <v>0</v>
      </c>
      <c r="AJ197" s="18">
        <f>LARGE(E198:E223,24)</f>
        <v>0</v>
      </c>
      <c r="AK197" s="18">
        <f>LARGE(E198:E223,25)</f>
        <v>0</v>
      </c>
      <c r="AL197" s="18">
        <f>LARGE(E198:E223,26)</f>
        <v>0</v>
      </c>
      <c r="AM197" s="50">
        <f>COUNTIF(AH198:AH223,"&lt;&gt;"&amp;AH76)-(26-COUNTIF(E198:E223,"&gt;=0"))</f>
        <v>0</v>
      </c>
    </row>
    <row r="198" spans="1:39">
      <c r="A198" s="42" t="s">
        <v>246</v>
      </c>
      <c r="B198" s="1" t="s">
        <v>20</v>
      </c>
      <c r="C198" s="40" t="str">
        <f t="shared" si="32"/>
        <v>01-&gt;</v>
      </c>
      <c r="D198" s="40" t="str">
        <f t="shared" ref="D198:D223" si="33">B198&amp;REPT(" ",$AH$70-LEN(B198))</f>
        <v xml:space="preserve">No pick yet                                                 </v>
      </c>
      <c r="E198" s="52">
        <f t="shared" ref="E198:E223" si="34">VLOOKUP(RIGHT(B198,LEN(B198)-$AH$66),$H$138:$I$420,2,0)</f>
        <v>0</v>
      </c>
      <c r="F198" s="18"/>
      <c r="G198" s="13">
        <f t="shared" si="24"/>
        <v>0</v>
      </c>
      <c r="H198" s="13" t="e">
        <f>LEFT(VLOOKUP(ScoPo!S61,ScoPo!$G$150:$J$277,4,0),FIND(",",VLOOKUP(ScoPo!S61,ScoPo!$G$150:$J$277,4,0))-1)&amp;" "&amp;$AH$65&amp;" "&amp;LEFT(VLOOKUP(ScoPo!T61,ScoPo!$G$150:$J$277,4,0),FIND(",",VLOOKUP(ScoPo!T61,ScoPo!$G$150:$J$277,4,0))-1)</f>
        <v>#N/A</v>
      </c>
      <c r="I198" s="13" t="str">
        <f>IF(ScoPo!K61=1,ScoPo!N61,IF(ScoPo!K61=2,0," "))</f>
        <v xml:space="preserve"> </v>
      </c>
      <c r="M198" s="18"/>
      <c r="N198" s="18"/>
      <c r="O198" s="18"/>
      <c r="P198" s="18"/>
      <c r="Q198" s="22"/>
      <c r="R198" s="21"/>
      <c r="S198" s="21"/>
      <c r="T198" s="21"/>
      <c r="AA198"/>
      <c r="AH198" t="str">
        <f t="shared" ref="AH198:AH223" si="35">RIGHT(B198,LEN(B198)-$AH$66)</f>
        <v>k yet</v>
      </c>
    </row>
    <row r="199" spans="1:39">
      <c r="A199" s="42" t="s">
        <v>247</v>
      </c>
      <c r="B199" s="1" t="s">
        <v>20</v>
      </c>
      <c r="C199" s="40" t="str">
        <f t="shared" si="32"/>
        <v>02-&gt;</v>
      </c>
      <c r="D199" s="40" t="str">
        <f t="shared" si="33"/>
        <v xml:space="preserve">No pick yet                                                 </v>
      </c>
      <c r="E199" s="52">
        <f t="shared" si="34"/>
        <v>0</v>
      </c>
      <c r="F199" s="18"/>
      <c r="G199" s="13">
        <f t="shared" si="24"/>
        <v>0</v>
      </c>
      <c r="H199" s="13" t="e">
        <f>LEFT(VLOOKUP(ScoPo!S62,ScoPo!$G$150:$J$277,4,0),FIND(",",VLOOKUP(ScoPo!S62,ScoPo!$G$150:$J$277,4,0))-1)&amp;" "&amp;$AH$65&amp;" "&amp;LEFT(VLOOKUP(ScoPo!T62,ScoPo!$G$150:$J$277,4,0),FIND(",",VLOOKUP(ScoPo!T62,ScoPo!$G$150:$J$277,4,0))-1)</f>
        <v>#N/A</v>
      </c>
      <c r="I199" s="13" t="str">
        <f>IF(ScoPo!K62=1,ScoPo!N62,IF(ScoPo!K62=2,0," "))</f>
        <v xml:space="preserve"> </v>
      </c>
      <c r="K199" s="22"/>
      <c r="N199" s="22"/>
      <c r="O199" s="22"/>
      <c r="P199" s="22"/>
      <c r="Q199" s="22"/>
      <c r="R199" s="22"/>
      <c r="S199" s="22"/>
      <c r="Z199" s="53"/>
      <c r="AA199"/>
      <c r="AH199" t="str">
        <f t="shared" si="35"/>
        <v>k yet</v>
      </c>
    </row>
    <row r="200" spans="1:39">
      <c r="A200" s="42" t="s">
        <v>248</v>
      </c>
      <c r="B200" s="1" t="s">
        <v>20</v>
      </c>
      <c r="C200" s="40" t="str">
        <f t="shared" si="32"/>
        <v>03-&gt;</v>
      </c>
      <c r="D200" s="40" t="str">
        <f t="shared" si="33"/>
        <v xml:space="preserve">No pick yet                                                 </v>
      </c>
      <c r="E200" s="52">
        <f t="shared" si="34"/>
        <v>0</v>
      </c>
      <c r="F200" s="18"/>
      <c r="G200" s="13">
        <f t="shared" si="24"/>
        <v>0</v>
      </c>
      <c r="H200" s="13" t="e">
        <f>LEFT(VLOOKUP(ScoPo!S63,ScoPo!$G$150:$J$277,4,0),FIND(",",VLOOKUP(ScoPo!S63,ScoPo!$G$150:$J$277,4,0))-1)&amp;" "&amp;$AH$65&amp;" "&amp;LEFT(VLOOKUP(ScoPo!T63,ScoPo!$G$150:$J$277,4,0),FIND(",",VLOOKUP(ScoPo!T63,ScoPo!$G$150:$J$277,4,0))-1)</f>
        <v>#N/A</v>
      </c>
      <c r="I200" s="13" t="str">
        <f>IF(ScoPo!K63=1,ScoPo!N63,IF(ScoPo!K63=2,0," "))</f>
        <v xml:space="preserve"> </v>
      </c>
      <c r="L200" s="21"/>
      <c r="N200" s="22"/>
      <c r="O200" s="22"/>
      <c r="P200" s="18"/>
      <c r="Q200" s="22"/>
      <c r="R200" s="22"/>
      <c r="S200" s="22"/>
      <c r="Z200" s="53"/>
      <c r="AA200"/>
      <c r="AH200" t="str">
        <f t="shared" si="35"/>
        <v>k yet</v>
      </c>
    </row>
    <row r="201" spans="1:39">
      <c r="A201" s="42" t="s">
        <v>249</v>
      </c>
      <c r="B201" s="1" t="s">
        <v>20</v>
      </c>
      <c r="C201" s="40" t="str">
        <f t="shared" si="32"/>
        <v>04-&gt;</v>
      </c>
      <c r="D201" s="40" t="str">
        <f t="shared" si="33"/>
        <v xml:space="preserve">No pick yet                                                 </v>
      </c>
      <c r="E201" s="52">
        <f t="shared" si="34"/>
        <v>0</v>
      </c>
      <c r="F201" s="18"/>
      <c r="G201" s="13">
        <f t="shared" si="24"/>
        <v>0</v>
      </c>
      <c r="H201" s="13" t="e">
        <f>LEFT(VLOOKUP(ScoPo!S64,ScoPo!$G$150:$J$277,4,0),FIND(",",VLOOKUP(ScoPo!S64,ScoPo!$G$150:$J$277,4,0))-1)&amp;" "&amp;$AH$65&amp;" "&amp;LEFT(VLOOKUP(ScoPo!T64,ScoPo!$G$150:$J$277,4,0),FIND(",",VLOOKUP(ScoPo!T64,ScoPo!$G$150:$J$277,4,0))-1)</f>
        <v>#N/A</v>
      </c>
      <c r="I201" s="13" t="str">
        <f>IF(ScoPo!K64=1,ScoPo!N64,IF(ScoPo!K64=2,0," "))</f>
        <v xml:space="preserve"> </v>
      </c>
      <c r="M201" s="18"/>
      <c r="N201" s="18"/>
      <c r="O201" s="18"/>
      <c r="P201" s="18"/>
      <c r="Q201" s="22"/>
      <c r="R201" s="21"/>
      <c r="S201" s="21"/>
      <c r="T201" s="21"/>
      <c r="AA201"/>
      <c r="AH201" t="str">
        <f t="shared" si="35"/>
        <v>k yet</v>
      </c>
    </row>
    <row r="202" spans="1:39">
      <c r="A202" s="42" t="s">
        <v>250</v>
      </c>
      <c r="B202" s="1" t="s">
        <v>20</v>
      </c>
      <c r="C202" s="40" t="str">
        <f t="shared" si="32"/>
        <v>05-&gt;</v>
      </c>
      <c r="D202" s="40" t="str">
        <f t="shared" si="33"/>
        <v xml:space="preserve">No pick yet                                                 </v>
      </c>
      <c r="E202" s="52">
        <f t="shared" si="34"/>
        <v>0</v>
      </c>
      <c r="F202" s="18"/>
      <c r="G202" s="13">
        <f t="shared" si="24"/>
        <v>0</v>
      </c>
      <c r="H202" s="13" t="e">
        <f>LEFT(VLOOKUP(ScoPo!S65,ScoPo!$G$150:$J$277,4,0),FIND(",",VLOOKUP(ScoPo!S65,ScoPo!$G$150:$J$277,4,0))-1)&amp;" "&amp;$AH$65&amp;" "&amp;LEFT(VLOOKUP(ScoPo!T65,ScoPo!$G$150:$J$277,4,0),FIND(",",VLOOKUP(ScoPo!T65,ScoPo!$G$150:$J$277,4,0))-1)</f>
        <v>#N/A</v>
      </c>
      <c r="I202" s="13" t="str">
        <f>IF(ScoPo!K65=1,ScoPo!N65,IF(ScoPo!K65=2,0," "))</f>
        <v xml:space="preserve"> </v>
      </c>
      <c r="M202" s="18"/>
      <c r="N202" s="18"/>
      <c r="O202" s="18"/>
      <c r="P202" s="18"/>
      <c r="Q202" s="22"/>
      <c r="R202" s="21"/>
      <c r="S202" s="21"/>
      <c r="T202" s="21"/>
      <c r="AA202"/>
      <c r="AH202" t="str">
        <f t="shared" si="35"/>
        <v>k yet</v>
      </c>
    </row>
    <row r="203" spans="1:39">
      <c r="A203" s="42" t="s">
        <v>251</v>
      </c>
      <c r="B203" s="1" t="s">
        <v>20</v>
      </c>
      <c r="C203" s="40" t="str">
        <f t="shared" si="32"/>
        <v>06-&gt;</v>
      </c>
      <c r="D203" s="40" t="str">
        <f t="shared" si="33"/>
        <v xml:space="preserve">No pick yet                                                 </v>
      </c>
      <c r="E203" s="52">
        <f t="shared" si="34"/>
        <v>0</v>
      </c>
      <c r="F203" s="18"/>
      <c r="G203" s="13">
        <f t="shared" si="24"/>
        <v>0</v>
      </c>
      <c r="H203" s="13" t="e">
        <f>LEFT(VLOOKUP(ScoPo!S66,ScoPo!$G$150:$J$277,4,0),FIND(",",VLOOKUP(ScoPo!S66,ScoPo!$G$150:$J$277,4,0))-1)&amp;" "&amp;$AH$65&amp;" "&amp;LEFT(VLOOKUP(ScoPo!T66,ScoPo!$G$150:$J$277,4,0),FIND(",",VLOOKUP(ScoPo!T66,ScoPo!$G$150:$J$277,4,0))-1)</f>
        <v>#N/A</v>
      </c>
      <c r="I203" s="13" t="str">
        <f>IF(ScoPo!K66=1,ScoPo!N66,IF(ScoPo!K66=2,0," "))</f>
        <v xml:space="preserve"> </v>
      </c>
      <c r="J203" s="22"/>
      <c r="M203" s="18"/>
      <c r="N203" s="18"/>
      <c r="O203" s="18"/>
      <c r="P203" s="18"/>
      <c r="Q203" s="22"/>
      <c r="R203" s="21"/>
      <c r="S203" s="21"/>
      <c r="T203" s="21"/>
      <c r="AA203"/>
      <c r="AH203" t="str">
        <f t="shared" si="35"/>
        <v>k yet</v>
      </c>
    </row>
    <row r="204" spans="1:39">
      <c r="A204" s="42" t="s">
        <v>252</v>
      </c>
      <c r="B204" s="1" t="s">
        <v>20</v>
      </c>
      <c r="C204" s="40" t="str">
        <f t="shared" si="32"/>
        <v>07-&gt;</v>
      </c>
      <c r="D204" s="40" t="str">
        <f t="shared" si="33"/>
        <v xml:space="preserve">No pick yet                                                 </v>
      </c>
      <c r="E204" s="52">
        <f t="shared" si="34"/>
        <v>0</v>
      </c>
      <c r="F204" s="18"/>
      <c r="G204" s="13">
        <f t="shared" si="24"/>
        <v>0</v>
      </c>
      <c r="H204" s="13" t="e">
        <f>LEFT(VLOOKUP(ScoPo!S67,ScoPo!$G$150:$J$277,4,0),FIND(",",VLOOKUP(ScoPo!S67,ScoPo!$G$150:$J$277,4,0))-1)&amp;" "&amp;$AH$65&amp;" "&amp;LEFT(VLOOKUP(ScoPo!T67,ScoPo!$G$150:$J$277,4,0),FIND(",",VLOOKUP(ScoPo!T67,ScoPo!$G$150:$J$277,4,0))-1)</f>
        <v>#N/A</v>
      </c>
      <c r="I204" s="13" t="str">
        <f>IF(ScoPo!K67=1,ScoPo!N67,IF(ScoPo!K67=2,0," "))</f>
        <v xml:space="preserve"> </v>
      </c>
      <c r="J204" s="22"/>
      <c r="M204" s="18"/>
      <c r="N204" s="18"/>
      <c r="O204" s="18"/>
      <c r="P204" s="18"/>
      <c r="Q204" s="22"/>
      <c r="R204" s="21"/>
      <c r="S204" s="21"/>
      <c r="T204" s="21"/>
      <c r="AA204"/>
      <c r="AH204" t="str">
        <f t="shared" si="35"/>
        <v>k yet</v>
      </c>
    </row>
    <row r="205" spans="1:39">
      <c r="A205" s="42" t="s">
        <v>253</v>
      </c>
      <c r="B205" s="1" t="s">
        <v>20</v>
      </c>
      <c r="C205" s="40" t="str">
        <f t="shared" si="32"/>
        <v>08-&gt;</v>
      </c>
      <c r="D205" s="40" t="str">
        <f t="shared" si="33"/>
        <v xml:space="preserve">No pick yet                                                 </v>
      </c>
      <c r="E205" s="52">
        <f t="shared" si="34"/>
        <v>0</v>
      </c>
      <c r="F205" s="18"/>
      <c r="G205" s="13">
        <f t="shared" si="24"/>
        <v>0</v>
      </c>
      <c r="H205" s="13" t="e">
        <f>LEFT(VLOOKUP(ScoPo!T4,ScoPo!$G$150:$J$277,4,0),FIND(",",VLOOKUP(ScoPo!T4,ScoPo!$G$150:$J$277,4,0))-1)&amp;" "&amp;$AH$65&amp;" "&amp;LEFT(VLOOKUP(ScoPo!S4,ScoPo!$G$150:$J$277,4,0),FIND(",",VLOOKUP(ScoPo!S4,ScoPo!$G$150:$J$277,4,0))-1)</f>
        <v>#N/A</v>
      </c>
      <c r="I205" s="13" t="str">
        <f>IF(ScoPo!K4=1,0,IF(ScoPo!K4=2,ScoPo!O4," "))</f>
        <v xml:space="preserve"> </v>
      </c>
      <c r="M205" s="18"/>
      <c r="N205" s="18"/>
      <c r="O205" s="18"/>
      <c r="P205" s="18"/>
      <c r="Q205" s="22"/>
      <c r="R205" s="21"/>
      <c r="S205" s="21"/>
      <c r="T205" s="21"/>
      <c r="AA205"/>
      <c r="AH205" t="str">
        <f t="shared" si="35"/>
        <v>k yet</v>
      </c>
    </row>
    <row r="206" spans="1:39">
      <c r="A206" s="42" t="s">
        <v>254</v>
      </c>
      <c r="B206" s="1" t="s">
        <v>20</v>
      </c>
      <c r="C206" s="40" t="str">
        <f t="shared" si="32"/>
        <v>09-&gt;</v>
      </c>
      <c r="D206" s="40" t="str">
        <f t="shared" si="33"/>
        <v xml:space="preserve">No pick yet                                                 </v>
      </c>
      <c r="E206" s="52">
        <f t="shared" si="34"/>
        <v>0</v>
      </c>
      <c r="F206" s="18"/>
      <c r="G206" s="13">
        <f t="shared" si="24"/>
        <v>0</v>
      </c>
      <c r="H206" s="13" t="e">
        <f>LEFT(VLOOKUP(ScoPo!T5,ScoPo!$G$150:$J$277,4,0),FIND(",",VLOOKUP(ScoPo!T5,ScoPo!$G$150:$J$277,4,0))-1)&amp;" "&amp;$AH$65&amp;" "&amp;LEFT(VLOOKUP(ScoPo!S5,ScoPo!$G$150:$J$277,4,0),FIND(",",VLOOKUP(ScoPo!S5,ScoPo!$G$150:$J$277,4,0))-1)</f>
        <v>#N/A</v>
      </c>
      <c r="I206" s="13" t="str">
        <f>IF(ScoPo!K5=1,0,IF(ScoPo!K5=2,ScoPo!O5," "))</f>
        <v xml:space="preserve"> </v>
      </c>
      <c r="M206" s="18"/>
      <c r="N206" s="18"/>
      <c r="O206" s="18"/>
      <c r="P206" s="18"/>
      <c r="Q206" s="22"/>
      <c r="R206" s="21"/>
      <c r="S206" s="21"/>
      <c r="T206" s="21"/>
      <c r="AA206"/>
      <c r="AH206" t="str">
        <f t="shared" si="35"/>
        <v>k yet</v>
      </c>
    </row>
    <row r="207" spans="1:39">
      <c r="A207" s="42" t="s">
        <v>255</v>
      </c>
      <c r="B207" s="1" t="s">
        <v>20</v>
      </c>
      <c r="C207" s="40" t="str">
        <f t="shared" si="32"/>
        <v>10-&gt;</v>
      </c>
      <c r="D207" s="40" t="str">
        <f t="shared" si="33"/>
        <v xml:space="preserve">No pick yet                                                 </v>
      </c>
      <c r="E207" s="52">
        <f t="shared" si="34"/>
        <v>0</v>
      </c>
      <c r="F207" s="22"/>
      <c r="G207" s="13">
        <f t="shared" si="24"/>
        <v>0</v>
      </c>
      <c r="H207" s="13" t="e">
        <f>LEFT(VLOOKUP(ScoPo!T6,ScoPo!$G$150:$J$277,4,0),FIND(",",VLOOKUP(ScoPo!T6,ScoPo!$G$150:$J$277,4,0))-1)&amp;" "&amp;$AH$65&amp;" "&amp;LEFT(VLOOKUP(ScoPo!S6,ScoPo!$G$150:$J$277,4,0),FIND(",",VLOOKUP(ScoPo!S6,ScoPo!$G$150:$J$277,4,0))-1)</f>
        <v>#N/A</v>
      </c>
      <c r="I207" s="13" t="str">
        <f>IF(ScoPo!K6=1,0,IF(ScoPo!K6=2,ScoPo!O6," "))</f>
        <v xml:space="preserve"> </v>
      </c>
      <c r="M207" s="18"/>
      <c r="N207" s="18"/>
      <c r="O207" s="18"/>
      <c r="P207" s="18"/>
      <c r="Q207" s="22"/>
      <c r="R207" s="21"/>
      <c r="S207" s="21"/>
      <c r="T207" s="21"/>
      <c r="AA207"/>
      <c r="AH207" t="str">
        <f t="shared" si="35"/>
        <v>k yet</v>
      </c>
    </row>
    <row r="208" spans="1:39">
      <c r="A208" s="42" t="s">
        <v>256</v>
      </c>
      <c r="B208" s="1" t="s">
        <v>20</v>
      </c>
      <c r="C208" s="40" t="str">
        <f t="shared" si="32"/>
        <v>11-&gt;</v>
      </c>
      <c r="D208" s="40" t="str">
        <f t="shared" si="33"/>
        <v xml:space="preserve">No pick yet                                                 </v>
      </c>
      <c r="E208" s="52">
        <f t="shared" si="34"/>
        <v>0</v>
      </c>
      <c r="G208" s="13">
        <f t="shared" si="24"/>
        <v>0</v>
      </c>
      <c r="H208" s="13" t="e">
        <f>LEFT(VLOOKUP(ScoPo!T7,ScoPo!$G$150:$J$277,4,0),FIND(",",VLOOKUP(ScoPo!T7,ScoPo!$G$150:$J$277,4,0))-1)&amp;" "&amp;$AH$65&amp;" "&amp;LEFT(VLOOKUP(ScoPo!S7,ScoPo!$G$150:$J$277,4,0),FIND(",",VLOOKUP(ScoPo!S7,ScoPo!$G$150:$J$277,4,0))-1)</f>
        <v>#N/A</v>
      </c>
      <c r="I208" s="13" t="str">
        <f>IF(ScoPo!K7=1,0,IF(ScoPo!K7=2,ScoPo!O7," "))</f>
        <v xml:space="preserve"> </v>
      </c>
      <c r="M208" s="18"/>
      <c r="N208" s="18"/>
      <c r="O208" s="18"/>
      <c r="P208" s="18"/>
      <c r="Q208" s="22"/>
      <c r="R208" s="21"/>
      <c r="S208" s="21"/>
      <c r="T208" s="21"/>
      <c r="AA208"/>
      <c r="AH208" t="str">
        <f t="shared" si="35"/>
        <v>k yet</v>
      </c>
    </row>
    <row r="209" spans="1:39">
      <c r="A209" s="42" t="s">
        <v>257</v>
      </c>
      <c r="B209" s="1" t="s">
        <v>20</v>
      </c>
      <c r="C209" s="40" t="str">
        <f t="shared" si="32"/>
        <v>12-&gt;</v>
      </c>
      <c r="D209" s="40" t="str">
        <f t="shared" si="33"/>
        <v xml:space="preserve">No pick yet                                                 </v>
      </c>
      <c r="E209" s="52">
        <f t="shared" si="34"/>
        <v>0</v>
      </c>
      <c r="G209" s="13">
        <f t="shared" si="24"/>
        <v>0</v>
      </c>
      <c r="H209" s="13" t="e">
        <f>LEFT(VLOOKUP(ScoPo!T8,ScoPo!$G$150:$J$277,4,0),FIND(",",VLOOKUP(ScoPo!T8,ScoPo!$G$150:$J$277,4,0))-1)&amp;" "&amp;$AH$65&amp;" "&amp;LEFT(VLOOKUP(ScoPo!S8,ScoPo!$G$150:$J$277,4,0),FIND(",",VLOOKUP(ScoPo!S8,ScoPo!$G$150:$J$277,4,0))-1)</f>
        <v>#N/A</v>
      </c>
      <c r="I209" s="13" t="str">
        <f>IF(ScoPo!K8=1,0,IF(ScoPo!K8=2,ScoPo!O8," "))</f>
        <v xml:space="preserve"> </v>
      </c>
      <c r="M209" s="18"/>
      <c r="N209" s="18"/>
      <c r="O209" s="18"/>
      <c r="P209" s="18"/>
      <c r="Q209" s="22"/>
      <c r="R209" s="21"/>
      <c r="S209" s="21"/>
      <c r="T209" s="21"/>
      <c r="AA209"/>
      <c r="AH209" t="str">
        <f t="shared" si="35"/>
        <v>k yet</v>
      </c>
    </row>
    <row r="210" spans="1:39">
      <c r="A210" s="42" t="s">
        <v>258</v>
      </c>
      <c r="B210" s="1" t="s">
        <v>20</v>
      </c>
      <c r="C210" s="40" t="str">
        <f t="shared" si="32"/>
        <v>13-&gt;</v>
      </c>
      <c r="D210" s="40" t="str">
        <f t="shared" si="33"/>
        <v xml:space="preserve">No pick yet                                                 </v>
      </c>
      <c r="E210" s="52">
        <f t="shared" si="34"/>
        <v>0</v>
      </c>
      <c r="G210" s="13">
        <f t="shared" si="24"/>
        <v>0</v>
      </c>
      <c r="H210" s="13" t="e">
        <f>LEFT(VLOOKUP(ScoPo!T9,ScoPo!$G$150:$J$277,4,0),FIND(",",VLOOKUP(ScoPo!T9,ScoPo!$G$150:$J$277,4,0))-1)&amp;" "&amp;$AH$65&amp;" "&amp;LEFT(VLOOKUP(ScoPo!S9,ScoPo!$G$150:$J$277,4,0),FIND(",",VLOOKUP(ScoPo!S9,ScoPo!$G$150:$J$277,4,0))-1)</f>
        <v>#N/A</v>
      </c>
      <c r="I210" s="13" t="str">
        <f>IF(ScoPo!K9=1,0,IF(ScoPo!K9=2,ScoPo!O9," "))</f>
        <v xml:space="preserve"> </v>
      </c>
      <c r="M210" s="18"/>
      <c r="N210" s="18"/>
      <c r="O210" s="18"/>
      <c r="P210" s="18"/>
      <c r="Q210" s="22"/>
      <c r="R210" s="21"/>
      <c r="S210" s="21"/>
      <c r="T210" s="21"/>
      <c r="AA210"/>
      <c r="AH210" t="str">
        <f t="shared" si="35"/>
        <v>k yet</v>
      </c>
    </row>
    <row r="211" spans="1:39">
      <c r="A211" s="42" t="s">
        <v>259</v>
      </c>
      <c r="B211" s="1" t="s">
        <v>20</v>
      </c>
      <c r="C211" s="40" t="str">
        <f t="shared" si="32"/>
        <v>14-&gt;</v>
      </c>
      <c r="D211" s="40" t="str">
        <f t="shared" si="33"/>
        <v xml:space="preserve">No pick yet                                                 </v>
      </c>
      <c r="E211" s="52">
        <f t="shared" si="34"/>
        <v>0</v>
      </c>
      <c r="G211" s="13">
        <f t="shared" si="24"/>
        <v>0</v>
      </c>
      <c r="H211" s="13" t="e">
        <f>LEFT(VLOOKUP(ScoPo!T10,ScoPo!$G$150:$J$277,4,0),FIND(",",VLOOKUP(ScoPo!T10,ScoPo!$G$150:$J$277,4,0))-1)&amp;" "&amp;$AH$65&amp;" "&amp;LEFT(VLOOKUP(ScoPo!S10,ScoPo!$G$150:$J$277,4,0),FIND(",",VLOOKUP(ScoPo!S10,ScoPo!$G$150:$J$277,4,0))-1)</f>
        <v>#N/A</v>
      </c>
      <c r="I211" s="13" t="str">
        <f>IF(ScoPo!K10=1,0,IF(ScoPo!K10=2,ScoPo!O10," "))</f>
        <v xml:space="preserve"> </v>
      </c>
      <c r="M211" s="18"/>
      <c r="N211" s="18"/>
      <c r="O211" s="18"/>
      <c r="P211" s="18"/>
      <c r="Q211" s="22"/>
      <c r="R211" s="21"/>
      <c r="S211" s="21"/>
      <c r="T211" s="21"/>
      <c r="AA211"/>
      <c r="AH211" t="str">
        <f t="shared" si="35"/>
        <v>k yet</v>
      </c>
    </row>
    <row r="212" spans="1:39">
      <c r="A212" s="42" t="s">
        <v>260</v>
      </c>
      <c r="B212" s="1" t="s">
        <v>20</v>
      </c>
      <c r="C212" s="40" t="str">
        <f t="shared" si="32"/>
        <v>15-&gt;</v>
      </c>
      <c r="D212" s="40" t="str">
        <f t="shared" si="33"/>
        <v xml:space="preserve">No pick yet                                                 </v>
      </c>
      <c r="E212" s="52">
        <f t="shared" si="34"/>
        <v>0</v>
      </c>
      <c r="G212" s="13">
        <f t="shared" si="24"/>
        <v>0</v>
      </c>
      <c r="H212" s="13" t="e">
        <f>LEFT(VLOOKUP(ScoPo!T11,ScoPo!$G$150:$J$277,4,0),FIND(",",VLOOKUP(ScoPo!T11,ScoPo!$G$150:$J$277,4,0))-1)&amp;" "&amp;$AH$65&amp;" "&amp;LEFT(VLOOKUP(ScoPo!S11,ScoPo!$G$150:$J$277,4,0),FIND(",",VLOOKUP(ScoPo!S11,ScoPo!$G$150:$J$277,4,0))-1)</f>
        <v>#N/A</v>
      </c>
      <c r="I212" s="13" t="str">
        <f>IF(ScoPo!K11=1,0,IF(ScoPo!K11=2,ScoPo!O11," "))</f>
        <v xml:space="preserve"> </v>
      </c>
      <c r="M212" s="18"/>
      <c r="N212" s="18"/>
      <c r="O212" s="18"/>
      <c r="P212" s="18"/>
      <c r="Q212" s="22"/>
      <c r="R212" s="21"/>
      <c r="S212" s="21"/>
      <c r="T212" s="21"/>
      <c r="AA212"/>
      <c r="AH212" t="str">
        <f t="shared" si="35"/>
        <v>k yet</v>
      </c>
    </row>
    <row r="213" spans="1:39">
      <c r="A213" s="42" t="s">
        <v>261</v>
      </c>
      <c r="B213" s="1" t="s">
        <v>20</v>
      </c>
      <c r="C213" s="40" t="str">
        <f t="shared" si="32"/>
        <v>16-&gt;</v>
      </c>
      <c r="D213" s="40" t="str">
        <f t="shared" si="33"/>
        <v xml:space="preserve">No pick yet                                                 </v>
      </c>
      <c r="E213" s="52">
        <f t="shared" si="34"/>
        <v>0</v>
      </c>
      <c r="G213" s="13">
        <f t="shared" si="24"/>
        <v>0</v>
      </c>
      <c r="H213" s="13" t="e">
        <f>LEFT(VLOOKUP(ScoPo!T12,ScoPo!$G$150:$J$277,4,0),FIND(",",VLOOKUP(ScoPo!T12,ScoPo!$G$150:$J$277,4,0))-1)&amp;" "&amp;$AH$65&amp;" "&amp;LEFT(VLOOKUP(ScoPo!S12,ScoPo!$G$150:$J$277,4,0),FIND(",",VLOOKUP(ScoPo!S12,ScoPo!$G$150:$J$277,4,0))-1)</f>
        <v>#N/A</v>
      </c>
      <c r="I213" s="13" t="str">
        <f>IF(ScoPo!K12=1,0,IF(ScoPo!K12=2,ScoPo!O12," "))</f>
        <v xml:space="preserve"> </v>
      </c>
      <c r="M213" s="18"/>
      <c r="N213" s="18"/>
      <c r="O213" s="18"/>
      <c r="P213" s="18"/>
      <c r="Q213" s="22"/>
      <c r="R213" s="21"/>
      <c r="S213" s="21"/>
      <c r="T213" s="21"/>
      <c r="AA213"/>
      <c r="AH213" t="str">
        <f t="shared" si="35"/>
        <v>k yet</v>
      </c>
    </row>
    <row r="214" spans="1:39">
      <c r="A214" s="42" t="s">
        <v>262</v>
      </c>
      <c r="B214" s="1" t="s">
        <v>20</v>
      </c>
      <c r="C214" s="40" t="str">
        <f t="shared" si="32"/>
        <v>17-&gt;</v>
      </c>
      <c r="D214" s="40" t="str">
        <f t="shared" si="33"/>
        <v xml:space="preserve">No pick yet                                                 </v>
      </c>
      <c r="E214" s="52">
        <f t="shared" si="34"/>
        <v>0</v>
      </c>
      <c r="G214" s="13">
        <f t="shared" si="24"/>
        <v>0</v>
      </c>
      <c r="H214" s="13" t="e">
        <f>LEFT(VLOOKUP(ScoPo!T13,ScoPo!$G$150:$J$277,4,0),FIND(",",VLOOKUP(ScoPo!T13,ScoPo!$G$150:$J$277,4,0))-1)&amp;" "&amp;$AH$65&amp;" "&amp;LEFT(VLOOKUP(ScoPo!S13,ScoPo!$G$150:$J$277,4,0),FIND(",",VLOOKUP(ScoPo!S13,ScoPo!$G$150:$J$277,4,0))-1)</f>
        <v>#N/A</v>
      </c>
      <c r="I214" s="13" t="str">
        <f>IF(ScoPo!K13=1,0,IF(ScoPo!K13=2,ScoPo!O13," "))</f>
        <v xml:space="preserve"> </v>
      </c>
      <c r="K214" s="22"/>
      <c r="N214" s="22"/>
      <c r="O214" s="22"/>
      <c r="P214" s="22"/>
      <c r="Q214" s="22"/>
      <c r="R214" s="22"/>
      <c r="S214" s="22"/>
      <c r="Z214" s="53"/>
      <c r="AA214"/>
      <c r="AH214" t="str">
        <f t="shared" si="35"/>
        <v>k yet</v>
      </c>
    </row>
    <row r="215" spans="1:39">
      <c r="A215" s="42" t="s">
        <v>263</v>
      </c>
      <c r="B215" s="1" t="s">
        <v>20</v>
      </c>
      <c r="C215" s="40" t="str">
        <f t="shared" si="32"/>
        <v>18-&gt;</v>
      </c>
      <c r="D215" s="40" t="str">
        <f t="shared" si="33"/>
        <v xml:space="preserve">No pick yet                                                 </v>
      </c>
      <c r="E215" s="52">
        <f t="shared" si="34"/>
        <v>0</v>
      </c>
      <c r="F215" s="18"/>
      <c r="G215" s="13">
        <f t="shared" si="24"/>
        <v>0</v>
      </c>
      <c r="H215" s="13" t="e">
        <f>LEFT(VLOOKUP(ScoPo!T14,ScoPo!$G$150:$J$277,4,0),FIND(",",VLOOKUP(ScoPo!T14,ScoPo!$G$150:$J$277,4,0))-1)&amp;" "&amp;$AH$65&amp;" "&amp;LEFT(VLOOKUP(ScoPo!S14,ScoPo!$G$150:$J$277,4,0),FIND(",",VLOOKUP(ScoPo!S14,ScoPo!$G$150:$J$277,4,0))-1)</f>
        <v>#N/A</v>
      </c>
      <c r="I215" s="13" t="str">
        <f>IF(ScoPo!K14=1,0,IF(ScoPo!K14=2,ScoPo!O14," "))</f>
        <v xml:space="preserve"> </v>
      </c>
      <c r="L215" s="21"/>
      <c r="N215" s="22"/>
      <c r="O215" s="22"/>
      <c r="P215" s="18"/>
      <c r="Q215" s="22"/>
      <c r="R215" s="22"/>
      <c r="S215" s="22"/>
      <c r="Z215" s="53"/>
      <c r="AA215"/>
      <c r="AH215" t="str">
        <f t="shared" si="35"/>
        <v>k yet</v>
      </c>
    </row>
    <row r="216" spans="1:39">
      <c r="A216" s="42" t="s">
        <v>264</v>
      </c>
      <c r="B216" s="1" t="s">
        <v>20</v>
      </c>
      <c r="C216" s="40" t="str">
        <f t="shared" si="32"/>
        <v>19-&gt;</v>
      </c>
      <c r="D216" s="40" t="str">
        <f t="shared" si="33"/>
        <v xml:space="preserve">No pick yet                                                 </v>
      </c>
      <c r="E216" s="52">
        <f t="shared" si="34"/>
        <v>0</v>
      </c>
      <c r="F216" s="18"/>
      <c r="G216" s="13">
        <f t="shared" si="24"/>
        <v>0</v>
      </c>
      <c r="H216" s="13" t="e">
        <f>LEFT(VLOOKUP(ScoPo!T15,ScoPo!$G$150:$J$277,4,0),FIND(",",VLOOKUP(ScoPo!T15,ScoPo!$G$150:$J$277,4,0))-1)&amp;" "&amp;$AH$65&amp;" "&amp;LEFT(VLOOKUP(ScoPo!S15,ScoPo!$G$150:$J$277,4,0),FIND(",",VLOOKUP(ScoPo!S15,ScoPo!$G$150:$J$277,4,0))-1)</f>
        <v>#N/A</v>
      </c>
      <c r="I216" s="13" t="str">
        <f>IF(ScoPo!K15=1,0,IF(ScoPo!K15=2,ScoPo!O15," "))</f>
        <v xml:space="preserve"> </v>
      </c>
      <c r="M216" s="18"/>
      <c r="N216" s="18"/>
      <c r="O216" s="18"/>
      <c r="P216" s="18"/>
      <c r="Q216" s="22"/>
      <c r="R216" s="21"/>
      <c r="S216" s="21"/>
      <c r="T216" s="21"/>
      <c r="AA216"/>
      <c r="AH216" t="str">
        <f t="shared" si="35"/>
        <v>k yet</v>
      </c>
    </row>
    <row r="217" spans="1:39">
      <c r="A217" s="42" t="s">
        <v>265</v>
      </c>
      <c r="B217" s="1" t="s">
        <v>20</v>
      </c>
      <c r="C217" s="40" t="str">
        <f t="shared" si="32"/>
        <v>20-&gt;</v>
      </c>
      <c r="D217" s="40" t="str">
        <f t="shared" si="33"/>
        <v xml:space="preserve">No pick yet                                                 </v>
      </c>
      <c r="E217" s="52">
        <f t="shared" si="34"/>
        <v>0</v>
      </c>
      <c r="F217" s="18"/>
      <c r="G217" s="13">
        <f t="shared" si="24"/>
        <v>0</v>
      </c>
      <c r="H217" s="13" t="e">
        <f>LEFT(VLOOKUP(ScoPo!T16,ScoPo!$G$150:$J$277,4,0),FIND(",",VLOOKUP(ScoPo!T16,ScoPo!$G$150:$J$277,4,0))-1)&amp;" "&amp;$AH$65&amp;" "&amp;LEFT(VLOOKUP(ScoPo!S16,ScoPo!$G$150:$J$277,4,0),FIND(",",VLOOKUP(ScoPo!S16,ScoPo!$G$150:$J$277,4,0))-1)</f>
        <v>#N/A</v>
      </c>
      <c r="I217" s="13" t="str">
        <f>IF(ScoPo!K16=1,0,IF(ScoPo!K16=2,ScoPo!O16," "))</f>
        <v xml:space="preserve"> </v>
      </c>
      <c r="M217" s="18"/>
      <c r="N217" s="18"/>
      <c r="O217" s="18"/>
      <c r="P217" s="18"/>
      <c r="Q217" s="22"/>
      <c r="R217" s="21"/>
      <c r="S217" s="21"/>
      <c r="T217" s="21"/>
      <c r="AA217"/>
      <c r="AH217" t="str">
        <f t="shared" si="35"/>
        <v>k yet</v>
      </c>
    </row>
    <row r="218" spans="1:39">
      <c r="A218" s="42" t="s">
        <v>266</v>
      </c>
      <c r="B218" s="1" t="s">
        <v>20</v>
      </c>
      <c r="C218" s="40" t="str">
        <f t="shared" si="32"/>
        <v>21-&gt;</v>
      </c>
      <c r="D218" s="40" t="str">
        <f t="shared" si="33"/>
        <v xml:space="preserve">No pick yet                                                 </v>
      </c>
      <c r="E218" s="52">
        <f t="shared" si="34"/>
        <v>0</v>
      </c>
      <c r="F218" s="18"/>
      <c r="G218" s="13">
        <f t="shared" si="24"/>
        <v>0</v>
      </c>
      <c r="H218" s="13" t="e">
        <f>LEFT(VLOOKUP(ScoPo!T17,ScoPo!$G$150:$J$277,4,0),FIND(",",VLOOKUP(ScoPo!T17,ScoPo!$G$150:$J$277,4,0))-1)&amp;" "&amp;$AH$65&amp;" "&amp;LEFT(VLOOKUP(ScoPo!S17,ScoPo!$G$150:$J$277,4,0),FIND(",",VLOOKUP(ScoPo!S17,ScoPo!$G$150:$J$277,4,0))-1)</f>
        <v>#N/A</v>
      </c>
      <c r="I218" s="13" t="str">
        <f>IF(ScoPo!K17=1,0,IF(ScoPo!K17=2,ScoPo!O17," "))</f>
        <v xml:space="preserve"> </v>
      </c>
      <c r="J218" s="22"/>
      <c r="M218" s="18"/>
      <c r="N218" s="18"/>
      <c r="O218" s="18"/>
      <c r="P218" s="18"/>
      <c r="Q218" s="22"/>
      <c r="R218" s="21"/>
      <c r="S218" s="21"/>
      <c r="T218" s="21"/>
      <c r="AA218"/>
      <c r="AH218" t="str">
        <f t="shared" si="35"/>
        <v>k yet</v>
      </c>
    </row>
    <row r="219" spans="1:39">
      <c r="A219" s="42" t="s">
        <v>267</v>
      </c>
      <c r="B219" s="1" t="s">
        <v>20</v>
      </c>
      <c r="C219" s="40" t="str">
        <f t="shared" si="32"/>
        <v>22-&gt;</v>
      </c>
      <c r="D219" s="40" t="str">
        <f t="shared" si="33"/>
        <v xml:space="preserve">No pick yet                                                 </v>
      </c>
      <c r="E219" s="52">
        <f t="shared" si="34"/>
        <v>0</v>
      </c>
      <c r="F219" s="18"/>
      <c r="G219" s="13">
        <f t="shared" si="24"/>
        <v>0</v>
      </c>
      <c r="H219" s="13" t="e">
        <f>LEFT(VLOOKUP(ScoPo!T18,ScoPo!$G$150:$J$277,4,0),FIND(",",VLOOKUP(ScoPo!T18,ScoPo!$G$150:$J$277,4,0))-1)&amp;" "&amp;$AH$65&amp;" "&amp;LEFT(VLOOKUP(ScoPo!S18,ScoPo!$G$150:$J$277,4,0),FIND(",",VLOOKUP(ScoPo!S18,ScoPo!$G$150:$J$277,4,0))-1)</f>
        <v>#N/A</v>
      </c>
      <c r="I219" s="13" t="str">
        <f>IF(ScoPo!K18=1,0,IF(ScoPo!K18=2,ScoPo!O18," "))</f>
        <v xml:space="preserve"> </v>
      </c>
      <c r="J219" s="22"/>
      <c r="M219" s="18"/>
      <c r="N219" s="18"/>
      <c r="O219" s="18"/>
      <c r="P219" s="18"/>
      <c r="Q219" s="22"/>
      <c r="R219" s="21"/>
      <c r="S219" s="21"/>
      <c r="T219" s="21"/>
      <c r="AA219"/>
      <c r="AH219" t="str">
        <f t="shared" si="35"/>
        <v>k yet</v>
      </c>
    </row>
    <row r="220" spans="1:39">
      <c r="A220" s="42" t="s">
        <v>268</v>
      </c>
      <c r="B220" s="1" t="s">
        <v>20</v>
      </c>
      <c r="C220" s="40" t="str">
        <f t="shared" si="32"/>
        <v>23-&gt;</v>
      </c>
      <c r="D220" s="40" t="str">
        <f t="shared" si="33"/>
        <v xml:space="preserve">No pick yet                                                 </v>
      </c>
      <c r="E220" s="52">
        <f t="shared" si="34"/>
        <v>0</v>
      </c>
      <c r="F220" s="18"/>
      <c r="G220" s="13">
        <f t="shared" si="24"/>
        <v>0</v>
      </c>
      <c r="H220" s="13" t="e">
        <f>LEFT(VLOOKUP(ScoPo!T19,ScoPo!$G$150:$J$277,4,0),FIND(",",VLOOKUP(ScoPo!T19,ScoPo!$G$150:$J$277,4,0))-1)&amp;" "&amp;$AH$65&amp;" "&amp;LEFT(VLOOKUP(ScoPo!S19,ScoPo!$G$150:$J$277,4,0),FIND(",",VLOOKUP(ScoPo!S19,ScoPo!$G$150:$J$277,4,0))-1)</f>
        <v>#N/A</v>
      </c>
      <c r="I220" s="13" t="str">
        <f>IF(ScoPo!K19=1,0,IF(ScoPo!K19=2,ScoPo!O19," "))</f>
        <v xml:space="preserve"> </v>
      </c>
      <c r="M220" s="18"/>
      <c r="N220" s="18"/>
      <c r="O220" s="18"/>
      <c r="P220" s="18"/>
      <c r="Q220" s="22"/>
      <c r="R220" s="21"/>
      <c r="S220" s="21"/>
      <c r="T220" s="21"/>
      <c r="AA220"/>
      <c r="AH220" t="str">
        <f t="shared" si="35"/>
        <v>k yet</v>
      </c>
    </row>
    <row r="221" spans="1:39">
      <c r="A221" s="42" t="s">
        <v>269</v>
      </c>
      <c r="B221" s="1" t="s">
        <v>20</v>
      </c>
      <c r="C221" s="40" t="str">
        <f t="shared" si="32"/>
        <v>24-&gt;</v>
      </c>
      <c r="D221" s="40" t="str">
        <f t="shared" si="33"/>
        <v xml:space="preserve">No pick yet                                                 </v>
      </c>
      <c r="E221" s="52">
        <f t="shared" si="34"/>
        <v>0</v>
      </c>
      <c r="F221" s="18"/>
      <c r="G221" s="13">
        <f t="shared" si="24"/>
        <v>0</v>
      </c>
      <c r="H221" s="13" t="e">
        <f>LEFT(VLOOKUP(ScoPo!T20,ScoPo!$G$150:$J$277,4,0),FIND(",",VLOOKUP(ScoPo!T20,ScoPo!$G$150:$J$277,4,0))-1)&amp;" "&amp;$AH$65&amp;" "&amp;LEFT(VLOOKUP(ScoPo!S20,ScoPo!$G$150:$J$277,4,0),FIND(",",VLOOKUP(ScoPo!S20,ScoPo!$G$150:$J$277,4,0))-1)</f>
        <v>#N/A</v>
      </c>
      <c r="I221" s="13" t="str">
        <f>IF(ScoPo!K20=1,0,IF(ScoPo!K20=2,ScoPo!O20," "))</f>
        <v xml:space="preserve"> </v>
      </c>
      <c r="M221" s="18"/>
      <c r="N221" s="18"/>
      <c r="O221" s="18"/>
      <c r="P221" s="18"/>
      <c r="Q221" s="22"/>
      <c r="R221" s="21"/>
      <c r="S221" s="21"/>
      <c r="T221" s="21"/>
      <c r="AA221"/>
      <c r="AH221" t="str">
        <f t="shared" si="35"/>
        <v>k yet</v>
      </c>
    </row>
    <row r="222" spans="1:39">
      <c r="A222" s="42" t="s">
        <v>270</v>
      </c>
      <c r="B222" s="1" t="s">
        <v>20</v>
      </c>
      <c r="C222" s="40" t="str">
        <f t="shared" si="32"/>
        <v>25-&gt;</v>
      </c>
      <c r="D222" s="40" t="str">
        <f t="shared" si="33"/>
        <v xml:space="preserve">No pick yet                                                 </v>
      </c>
      <c r="E222" s="52">
        <f t="shared" si="34"/>
        <v>0</v>
      </c>
      <c r="F222" s="18"/>
      <c r="G222" s="13">
        <f t="shared" si="24"/>
        <v>0</v>
      </c>
      <c r="H222" s="13" t="e">
        <f>LEFT(VLOOKUP(ScoPo!T21,ScoPo!$G$150:$J$277,4,0),FIND(",",VLOOKUP(ScoPo!T21,ScoPo!$G$150:$J$277,4,0))-1)&amp;" "&amp;$AH$65&amp;" "&amp;LEFT(VLOOKUP(ScoPo!S21,ScoPo!$G$150:$J$277,4,0),FIND(",",VLOOKUP(ScoPo!S21,ScoPo!$G$150:$J$277,4,0))-1)</f>
        <v>#N/A</v>
      </c>
      <c r="I222" s="13" t="str">
        <f>IF(ScoPo!K21=1,0,IF(ScoPo!K21=2,ScoPo!O21," "))</f>
        <v xml:space="preserve"> </v>
      </c>
      <c r="M222" s="18"/>
      <c r="N222" s="18"/>
      <c r="O222" s="18"/>
      <c r="P222" s="18"/>
      <c r="Q222" s="22"/>
      <c r="R222" s="21"/>
      <c r="S222" s="21"/>
      <c r="T222" s="21"/>
      <c r="AA222"/>
      <c r="AH222" t="str">
        <f t="shared" si="35"/>
        <v>k yet</v>
      </c>
    </row>
    <row r="223" spans="1:39">
      <c r="A223" s="42" t="s">
        <v>271</v>
      </c>
      <c r="B223" s="1" t="s">
        <v>20</v>
      </c>
      <c r="C223" s="40" t="str">
        <f t="shared" si="32"/>
        <v>26-&gt;</v>
      </c>
      <c r="D223" s="40" t="str">
        <f t="shared" si="33"/>
        <v xml:space="preserve">No pick yet                                                 </v>
      </c>
      <c r="E223" s="52">
        <f t="shared" si="34"/>
        <v>0</v>
      </c>
      <c r="F223" s="18"/>
      <c r="G223" s="13">
        <f t="shared" si="24"/>
        <v>0</v>
      </c>
      <c r="H223" s="13" t="e">
        <f>LEFT(VLOOKUP(ScoPo!T22,ScoPo!$G$150:$J$277,4,0),FIND(",",VLOOKUP(ScoPo!T22,ScoPo!$G$150:$J$277,4,0))-1)&amp;" "&amp;$AH$65&amp;" "&amp;LEFT(VLOOKUP(ScoPo!S22,ScoPo!$G$150:$J$277,4,0),FIND(",",VLOOKUP(ScoPo!S22,ScoPo!$G$150:$J$277,4,0))-1)</f>
        <v>#N/A</v>
      </c>
      <c r="I223" s="13" t="str">
        <f>IF(ScoPo!K22=1,0,IF(ScoPo!K22=2,ScoPo!O22," "))</f>
        <v xml:space="preserve"> </v>
      </c>
      <c r="M223" s="18"/>
      <c r="N223" s="18"/>
      <c r="O223" s="18"/>
      <c r="P223" s="18"/>
      <c r="Q223" s="22"/>
      <c r="R223" s="21"/>
      <c r="S223" s="21"/>
      <c r="T223" s="21"/>
      <c r="AA223"/>
      <c r="AH223" t="str">
        <f t="shared" si="35"/>
        <v>k yet</v>
      </c>
    </row>
    <row r="224" spans="1:39">
      <c r="A224" s="38"/>
      <c r="B224" s="40"/>
      <c r="C224" s="40"/>
      <c r="D224" s="49"/>
      <c r="E224" s="41" t="s">
        <v>69</v>
      </c>
      <c r="F224" s="18"/>
      <c r="G224" s="13">
        <f t="shared" si="24"/>
        <v>0</v>
      </c>
      <c r="H224" s="13" t="e">
        <f>LEFT(VLOOKUP(ScoPo!T23,ScoPo!$G$150:$J$277,4,0),FIND(",",VLOOKUP(ScoPo!T23,ScoPo!$G$150:$J$277,4,0))-1)&amp;" "&amp;$AH$65&amp;" "&amp;LEFT(VLOOKUP(ScoPo!S23,ScoPo!$G$150:$J$277,4,0),FIND(",",VLOOKUP(ScoPo!S23,ScoPo!$G$150:$J$277,4,0))-1)</f>
        <v>#N/A</v>
      </c>
      <c r="I224" s="13" t="str">
        <f>IF(ScoPo!K23=1,0,IF(ScoPo!K23=2,ScoPo!O23," "))</f>
        <v xml:space="preserve"> </v>
      </c>
      <c r="K224" s="22" t="s">
        <v>73</v>
      </c>
      <c r="L224" s="18" t="s">
        <v>74</v>
      </c>
      <c r="M224" s="22" t="s">
        <v>78</v>
      </c>
      <c r="N224" s="22" t="s">
        <v>79</v>
      </c>
      <c r="O224" s="22" t="s">
        <v>80</v>
      </c>
      <c r="P224" s="22" t="s">
        <v>81</v>
      </c>
      <c r="Q224" s="22" t="s">
        <v>82</v>
      </c>
      <c r="R224" s="22" t="s">
        <v>83</v>
      </c>
      <c r="S224" s="22" t="s">
        <v>84</v>
      </c>
      <c r="T224" s="18" t="s">
        <v>85</v>
      </c>
      <c r="U224" s="18" t="s">
        <v>86</v>
      </c>
      <c r="V224" s="18" t="s">
        <v>87</v>
      </c>
      <c r="W224" s="18" t="s">
        <v>88</v>
      </c>
      <c r="X224" s="18" t="s">
        <v>89</v>
      </c>
      <c r="Y224" s="18" t="s">
        <v>90</v>
      </c>
      <c r="Z224" s="18" t="s">
        <v>91</v>
      </c>
      <c r="AA224" s="18" t="s">
        <v>92</v>
      </c>
      <c r="AB224" s="18" t="s">
        <v>93</v>
      </c>
      <c r="AC224" s="18" t="s">
        <v>94</v>
      </c>
      <c r="AD224" s="18" t="s">
        <v>235</v>
      </c>
      <c r="AE224" s="18" t="s">
        <v>236</v>
      </c>
      <c r="AF224" s="18" t="s">
        <v>237</v>
      </c>
      <c r="AG224" s="18" t="s">
        <v>238</v>
      </c>
      <c r="AH224" s="18" t="s">
        <v>239</v>
      </c>
      <c r="AI224" s="18" t="s">
        <v>240</v>
      </c>
      <c r="AJ224" s="18" t="s">
        <v>241</v>
      </c>
      <c r="AK224" s="18" t="s">
        <v>242</v>
      </c>
      <c r="AL224" s="18" t="s">
        <v>243</v>
      </c>
      <c r="AM224" s="50" t="s">
        <v>244</v>
      </c>
    </row>
    <row r="225" spans="1:39">
      <c r="A225" s="40" t="s">
        <v>245</v>
      </c>
      <c r="B225" s="51" t="str">
        <f>D7</f>
        <v/>
      </c>
      <c r="C225" s="40" t="str">
        <f t="shared" ref="C225:C251" si="36">A225</f>
        <v>#</v>
      </c>
      <c r="D225" s="40" t="str">
        <f>"   "&amp;B225&amp;REPT(" ",$AH$70-LEN(B225)-3)</f>
        <v xml:space="preserve">                                                            </v>
      </c>
      <c r="E225" s="38" t="str">
        <f>SUM(E226:E251)&amp;" pts[/b]"</f>
        <v>0 pts[/b]</v>
      </c>
      <c r="F225" s="21">
        <f>SUM(E226:E251)</f>
        <v>0</v>
      </c>
      <c r="G225" s="13">
        <f t="shared" si="24"/>
        <v>0</v>
      </c>
      <c r="H225" s="13" t="e">
        <f>LEFT(VLOOKUP(ScoPo!T24,ScoPo!$G$150:$J$277,4,0),FIND(",",VLOOKUP(ScoPo!T24,ScoPo!$G$150:$J$277,4,0))-1)&amp;" "&amp;$AH$65&amp;" "&amp;LEFT(VLOOKUP(ScoPo!S24,ScoPo!$G$150:$J$277,4,0),FIND(",",VLOOKUP(ScoPo!S24,ScoPo!$G$150:$J$277,4,0))-1)</f>
        <v>#N/A</v>
      </c>
      <c r="I225" s="13" t="str">
        <f>IF(ScoPo!K24=1,0,IF(ScoPo!K24=2,ScoPo!O24," "))</f>
        <v xml:space="preserve"> </v>
      </c>
      <c r="K225" s="18">
        <f>COUNTIF(E226:E251,"&gt;0")</f>
        <v>0</v>
      </c>
      <c r="L225" s="21">
        <f>AM225-K225</f>
        <v>0</v>
      </c>
      <c r="M225" s="22">
        <f>MAX(E226:E251)</f>
        <v>0</v>
      </c>
      <c r="N225" s="22">
        <f>LARGE(E226:E251,2)</f>
        <v>0</v>
      </c>
      <c r="O225" s="22">
        <f>LARGE(E226:E251,3)</f>
        <v>0</v>
      </c>
      <c r="P225" s="18">
        <f>LARGE(E226:E251,4)</f>
        <v>0</v>
      </c>
      <c r="Q225" s="22">
        <f>LARGE(E226:E251,5)</f>
        <v>0</v>
      </c>
      <c r="R225" s="22">
        <f>LARGE(E226:E251,6)</f>
        <v>0</v>
      </c>
      <c r="S225" s="22">
        <f>LARGE(E226:E251,7)</f>
        <v>0</v>
      </c>
      <c r="T225" s="18">
        <f>LARGE(E226:E251,8)</f>
        <v>0</v>
      </c>
      <c r="U225" s="18">
        <f>LARGE(E226:E251,9)</f>
        <v>0</v>
      </c>
      <c r="V225" s="18">
        <f>LARGE(E226:E251,10)</f>
        <v>0</v>
      </c>
      <c r="W225" s="18">
        <f>LARGE(E226:E251,11)</f>
        <v>0</v>
      </c>
      <c r="X225" s="18">
        <f>LARGE(E226:E251,12)</f>
        <v>0</v>
      </c>
      <c r="Y225" s="18">
        <f>LARGE(E226:E251,13)</f>
        <v>0</v>
      </c>
      <c r="Z225" s="18">
        <f>LARGE(E226:E251,14)</f>
        <v>0</v>
      </c>
      <c r="AA225" s="18">
        <f>LARGE(E226:E251,15)</f>
        <v>0</v>
      </c>
      <c r="AB225" s="18">
        <f>LARGE(E226:E251,16)</f>
        <v>0</v>
      </c>
      <c r="AC225" s="18">
        <f>LARGE(E226:E251,17)</f>
        <v>0</v>
      </c>
      <c r="AD225" s="18">
        <f>LARGE(E226:E252,13)</f>
        <v>0</v>
      </c>
      <c r="AE225" s="18">
        <f>LARGE(E226:E251,19)</f>
        <v>0</v>
      </c>
      <c r="AF225" s="18">
        <f>LARGE(E226:E251,20)</f>
        <v>0</v>
      </c>
      <c r="AG225" s="18">
        <f>LARGE(E226:E251,21)</f>
        <v>0</v>
      </c>
      <c r="AH225" s="18">
        <f>LARGE(E226:E251,22)</f>
        <v>0</v>
      </c>
      <c r="AI225" s="18">
        <f>LARGE(E226:E251,23)</f>
        <v>0</v>
      </c>
      <c r="AJ225" s="18">
        <f>LARGE(E226:E251,24)</f>
        <v>0</v>
      </c>
      <c r="AK225" s="18">
        <f>LARGE(E226:E251,25)</f>
        <v>0</v>
      </c>
      <c r="AL225" s="18">
        <f>LARGE(E226:E251,26)</f>
        <v>0</v>
      </c>
      <c r="AM225" s="50">
        <f>COUNTIF(AH226:AH251,"&lt;&gt;"&amp;AH76)-(26-COUNTIF(E226:E251,"&gt;=0"))</f>
        <v>0</v>
      </c>
    </row>
    <row r="226" spans="1:39">
      <c r="A226" s="42" t="s">
        <v>246</v>
      </c>
      <c r="B226" s="1" t="s">
        <v>20</v>
      </c>
      <c r="C226" s="40" t="str">
        <f t="shared" si="36"/>
        <v>01-&gt;</v>
      </c>
      <c r="D226" s="40" t="str">
        <f t="shared" ref="D226:D251" si="37">B226&amp;REPT(" ",$AH$70-LEN(B226))</f>
        <v xml:space="preserve">No pick yet                                                 </v>
      </c>
      <c r="E226" s="52">
        <f t="shared" ref="E226:E251" si="38">VLOOKUP(RIGHT(B226,LEN(B226)-$AH$66),$H$138:$I$420,2,0)</f>
        <v>0</v>
      </c>
      <c r="F226" s="18"/>
      <c r="G226" s="13">
        <f t="shared" si="24"/>
        <v>0</v>
      </c>
      <c r="H226" s="13" t="e">
        <f>LEFT(VLOOKUP(ScoPo!T25,ScoPo!$G$150:$J$277,4,0),FIND(",",VLOOKUP(ScoPo!T25,ScoPo!$G$150:$J$277,4,0))-1)&amp;" "&amp;$AH$65&amp;" "&amp;LEFT(VLOOKUP(ScoPo!S25,ScoPo!$G$150:$J$277,4,0),FIND(",",VLOOKUP(ScoPo!S25,ScoPo!$G$150:$J$277,4,0))-1)</f>
        <v>#N/A</v>
      </c>
      <c r="I226" s="13" t="str">
        <f>IF(ScoPo!K25=1,0,IF(ScoPo!K25=2,ScoPo!O25," "))</f>
        <v xml:space="preserve"> </v>
      </c>
      <c r="M226" s="18"/>
      <c r="N226" s="18"/>
      <c r="O226" s="18"/>
      <c r="P226" s="18"/>
      <c r="Q226" s="22"/>
      <c r="R226" s="21"/>
      <c r="S226" s="21"/>
      <c r="T226" s="21"/>
      <c r="AA226"/>
      <c r="AH226" t="str">
        <f t="shared" ref="AH226:AH251" si="39">RIGHT(B226,LEN(B226)-$AH$66)</f>
        <v>k yet</v>
      </c>
    </row>
    <row r="227" spans="1:39">
      <c r="A227" s="42" t="s">
        <v>247</v>
      </c>
      <c r="B227" s="1" t="s">
        <v>20</v>
      </c>
      <c r="C227" s="40" t="str">
        <f t="shared" si="36"/>
        <v>02-&gt;</v>
      </c>
      <c r="D227" s="40" t="str">
        <f t="shared" si="37"/>
        <v xml:space="preserve">No pick yet                                                 </v>
      </c>
      <c r="E227" s="52">
        <f t="shared" si="38"/>
        <v>0</v>
      </c>
      <c r="F227" s="18"/>
      <c r="G227" s="13">
        <f t="shared" si="24"/>
        <v>0</v>
      </c>
      <c r="H227" s="13" t="e">
        <f>LEFT(VLOOKUP(ScoPo!T26,ScoPo!$G$150:$J$277,4,0),FIND(",",VLOOKUP(ScoPo!T26,ScoPo!$G$150:$J$277,4,0))-1)&amp;" "&amp;$AH$65&amp;" "&amp;LEFT(VLOOKUP(ScoPo!S26,ScoPo!$G$150:$J$277,4,0),FIND(",",VLOOKUP(ScoPo!S26,ScoPo!$G$150:$J$277,4,0))-1)</f>
        <v>#N/A</v>
      </c>
      <c r="I227" s="13" t="str">
        <f>IF(ScoPo!K26=1,0,IF(ScoPo!K26=2,ScoPo!O26," "))</f>
        <v xml:space="preserve"> </v>
      </c>
      <c r="K227" s="22"/>
      <c r="N227" s="22"/>
      <c r="O227" s="22"/>
      <c r="P227" s="22"/>
      <c r="Q227" s="22"/>
      <c r="R227" s="22"/>
      <c r="S227" s="22"/>
      <c r="Z227" s="53"/>
      <c r="AA227"/>
      <c r="AH227" t="str">
        <f t="shared" si="39"/>
        <v>k yet</v>
      </c>
    </row>
    <row r="228" spans="1:39">
      <c r="A228" s="42" t="s">
        <v>248</v>
      </c>
      <c r="B228" s="1" t="s">
        <v>20</v>
      </c>
      <c r="C228" s="40" t="str">
        <f t="shared" si="36"/>
        <v>03-&gt;</v>
      </c>
      <c r="D228" s="40" t="str">
        <f t="shared" si="37"/>
        <v xml:space="preserve">No pick yet                                                 </v>
      </c>
      <c r="E228" s="52">
        <f t="shared" si="38"/>
        <v>0</v>
      </c>
      <c r="F228" s="18"/>
      <c r="G228" s="13">
        <f t="shared" si="24"/>
        <v>0</v>
      </c>
      <c r="H228" s="13" t="e">
        <f>LEFT(VLOOKUP(ScoPo!T27,ScoPo!$G$150:$J$277,4,0),FIND(",",VLOOKUP(ScoPo!T27,ScoPo!$G$150:$J$277,4,0))-1)&amp;" "&amp;$AH$65&amp;" "&amp;LEFT(VLOOKUP(ScoPo!S27,ScoPo!$G$150:$J$277,4,0),FIND(",",VLOOKUP(ScoPo!S27,ScoPo!$G$150:$J$277,4,0))-1)</f>
        <v>#N/A</v>
      </c>
      <c r="I228" s="13" t="str">
        <f>IF(ScoPo!K27=1,0,IF(ScoPo!K27=2,ScoPo!O27," "))</f>
        <v xml:space="preserve"> </v>
      </c>
      <c r="L228" s="21"/>
      <c r="N228" s="22"/>
      <c r="O228" s="22"/>
      <c r="P228" s="18"/>
      <c r="Q228" s="22"/>
      <c r="R228" s="22"/>
      <c r="S228" s="22"/>
      <c r="Z228" s="53"/>
      <c r="AA228"/>
      <c r="AH228" t="str">
        <f t="shared" si="39"/>
        <v>k yet</v>
      </c>
    </row>
    <row r="229" spans="1:39">
      <c r="A229" s="42" t="s">
        <v>249</v>
      </c>
      <c r="B229" s="1" t="s">
        <v>20</v>
      </c>
      <c r="C229" s="40" t="str">
        <f t="shared" si="36"/>
        <v>04-&gt;</v>
      </c>
      <c r="D229" s="40" t="str">
        <f t="shared" si="37"/>
        <v xml:space="preserve">No pick yet                                                 </v>
      </c>
      <c r="E229" s="52">
        <f t="shared" si="38"/>
        <v>0</v>
      </c>
      <c r="F229" s="18"/>
      <c r="G229" s="13">
        <f t="shared" si="24"/>
        <v>0</v>
      </c>
      <c r="H229" s="13" t="e">
        <f>LEFT(VLOOKUP(ScoPo!T28,ScoPo!$G$150:$J$277,4,0),FIND(",",VLOOKUP(ScoPo!T28,ScoPo!$G$150:$J$277,4,0))-1)&amp;" "&amp;$AH$65&amp;" "&amp;LEFT(VLOOKUP(ScoPo!S28,ScoPo!$G$150:$J$277,4,0),FIND(",",VLOOKUP(ScoPo!S28,ScoPo!$G$150:$J$277,4,0))-1)</f>
        <v>#N/A</v>
      </c>
      <c r="I229" s="13" t="str">
        <f>IF(ScoPo!K28=1,0,IF(ScoPo!K28=2,ScoPo!O28," "))</f>
        <v xml:space="preserve"> </v>
      </c>
      <c r="M229" s="18"/>
      <c r="N229" s="18"/>
      <c r="O229" s="18"/>
      <c r="P229" s="18"/>
      <c r="Q229" s="22"/>
      <c r="R229" s="21"/>
      <c r="S229" s="21"/>
      <c r="T229" s="21"/>
      <c r="AA229"/>
      <c r="AH229" t="str">
        <f t="shared" si="39"/>
        <v>k yet</v>
      </c>
    </row>
    <row r="230" spans="1:39">
      <c r="A230" s="42" t="s">
        <v>250</v>
      </c>
      <c r="B230" s="1" t="s">
        <v>20</v>
      </c>
      <c r="C230" s="40" t="str">
        <f t="shared" si="36"/>
        <v>05-&gt;</v>
      </c>
      <c r="D230" s="40" t="str">
        <f t="shared" si="37"/>
        <v xml:space="preserve">No pick yet                                                 </v>
      </c>
      <c r="E230" s="52">
        <f t="shared" si="38"/>
        <v>0</v>
      </c>
      <c r="F230" s="18"/>
      <c r="G230" s="13">
        <f t="shared" si="24"/>
        <v>0</v>
      </c>
      <c r="H230" s="13" t="e">
        <f>LEFT(VLOOKUP(ScoPo!T29,ScoPo!$G$150:$J$277,4,0),FIND(",",VLOOKUP(ScoPo!T29,ScoPo!$G$150:$J$277,4,0))-1)&amp;" "&amp;$AH$65&amp;" "&amp;LEFT(VLOOKUP(ScoPo!S29,ScoPo!$G$150:$J$277,4,0),FIND(",",VLOOKUP(ScoPo!S29,ScoPo!$G$150:$J$277,4,0))-1)</f>
        <v>#N/A</v>
      </c>
      <c r="I230" s="13" t="str">
        <f>IF(ScoPo!K29=1,0,IF(ScoPo!K29=2,ScoPo!O29," "))</f>
        <v xml:space="preserve"> </v>
      </c>
      <c r="M230" s="18"/>
      <c r="N230" s="18"/>
      <c r="O230" s="18"/>
      <c r="P230" s="18"/>
      <c r="Q230" s="22"/>
      <c r="R230" s="21"/>
      <c r="S230" s="21"/>
      <c r="T230" s="21"/>
      <c r="AA230"/>
      <c r="AH230" t="str">
        <f t="shared" si="39"/>
        <v>k yet</v>
      </c>
    </row>
    <row r="231" spans="1:39">
      <c r="A231" s="42" t="s">
        <v>251</v>
      </c>
      <c r="B231" s="1" t="s">
        <v>20</v>
      </c>
      <c r="C231" s="40" t="str">
        <f t="shared" si="36"/>
        <v>06-&gt;</v>
      </c>
      <c r="D231" s="40" t="str">
        <f t="shared" si="37"/>
        <v xml:space="preserve">No pick yet                                                 </v>
      </c>
      <c r="E231" s="52">
        <f t="shared" si="38"/>
        <v>0</v>
      </c>
      <c r="F231" s="18"/>
      <c r="G231" s="13">
        <f t="shared" si="24"/>
        <v>0</v>
      </c>
      <c r="H231" s="13" t="e">
        <f>LEFT(VLOOKUP(ScoPo!T30,ScoPo!$G$150:$J$277,4,0),FIND(",",VLOOKUP(ScoPo!T30,ScoPo!$G$150:$J$277,4,0))-1)&amp;" "&amp;$AH$65&amp;" "&amp;LEFT(VLOOKUP(ScoPo!S30,ScoPo!$G$150:$J$277,4,0),FIND(",",VLOOKUP(ScoPo!S30,ScoPo!$G$150:$J$277,4,0))-1)</f>
        <v>#N/A</v>
      </c>
      <c r="I231" s="13" t="str">
        <f>IF(ScoPo!K30=1,0,IF(ScoPo!K30=2,ScoPo!O30," "))</f>
        <v xml:space="preserve"> </v>
      </c>
      <c r="M231" s="18"/>
      <c r="N231" s="18"/>
      <c r="O231" s="18"/>
      <c r="P231" s="18"/>
      <c r="Q231" s="22"/>
      <c r="R231" s="21"/>
      <c r="S231" s="21"/>
      <c r="T231" s="21"/>
      <c r="AA231"/>
      <c r="AH231" t="str">
        <f t="shared" si="39"/>
        <v>k yet</v>
      </c>
    </row>
    <row r="232" spans="1:39">
      <c r="A232" s="42" t="s">
        <v>252</v>
      </c>
      <c r="B232" s="1" t="s">
        <v>20</v>
      </c>
      <c r="C232" s="40" t="str">
        <f t="shared" si="36"/>
        <v>07-&gt;</v>
      </c>
      <c r="D232" s="40" t="str">
        <f t="shared" si="37"/>
        <v xml:space="preserve">No pick yet                                                 </v>
      </c>
      <c r="E232" s="52">
        <f t="shared" si="38"/>
        <v>0</v>
      </c>
      <c r="F232" s="18"/>
      <c r="G232" s="13">
        <f t="shared" si="24"/>
        <v>0</v>
      </c>
      <c r="H232" s="13" t="e">
        <f>LEFT(VLOOKUP(ScoPo!T31,ScoPo!$G$150:$J$277,4,0),FIND(",",VLOOKUP(ScoPo!T31,ScoPo!$G$150:$J$277,4,0))-1)&amp;" "&amp;$AH$65&amp;" "&amp;LEFT(VLOOKUP(ScoPo!S31,ScoPo!$G$150:$J$277,4,0),FIND(",",VLOOKUP(ScoPo!S31,ScoPo!$G$150:$J$277,4,0))-1)</f>
        <v>#N/A</v>
      </c>
      <c r="I232" s="13" t="str">
        <f>IF(ScoPo!K31=1,0,IF(ScoPo!K31=2,ScoPo!O31," "))</f>
        <v xml:space="preserve"> </v>
      </c>
      <c r="M232" s="18"/>
      <c r="N232" s="18"/>
      <c r="O232" s="18"/>
      <c r="P232" s="18"/>
      <c r="Q232" s="22"/>
      <c r="R232" s="21"/>
      <c r="S232" s="21"/>
      <c r="T232" s="21"/>
      <c r="AA232"/>
      <c r="AH232" t="str">
        <f t="shared" si="39"/>
        <v>k yet</v>
      </c>
    </row>
    <row r="233" spans="1:39">
      <c r="A233" s="42" t="s">
        <v>253</v>
      </c>
      <c r="B233" s="1" t="s">
        <v>20</v>
      </c>
      <c r="C233" s="40" t="str">
        <f t="shared" si="36"/>
        <v>08-&gt;</v>
      </c>
      <c r="D233" s="40" t="str">
        <f t="shared" si="37"/>
        <v xml:space="preserve">No pick yet                                                 </v>
      </c>
      <c r="E233" s="52">
        <f t="shared" si="38"/>
        <v>0</v>
      </c>
      <c r="F233" s="18"/>
      <c r="G233" s="13">
        <f t="shared" si="24"/>
        <v>0</v>
      </c>
      <c r="H233" s="13" t="e">
        <f>LEFT(VLOOKUP(ScoPo!T32,ScoPo!$G$150:$J$277,4,0),FIND(",",VLOOKUP(ScoPo!T32,ScoPo!$G$150:$J$277,4,0))-1)&amp;" "&amp;$AH$65&amp;" "&amp;LEFT(VLOOKUP(ScoPo!S32,ScoPo!$G$150:$J$277,4,0),FIND(",",VLOOKUP(ScoPo!S32,ScoPo!$G$150:$J$277,4,0))-1)</f>
        <v>#N/A</v>
      </c>
      <c r="I233" s="13" t="str">
        <f>IF(ScoPo!K32=1,0,IF(ScoPo!K32=2,ScoPo!O32," "))</f>
        <v xml:space="preserve"> </v>
      </c>
      <c r="J233" s="22"/>
      <c r="M233" s="18"/>
      <c r="N233" s="18"/>
      <c r="O233" s="18"/>
      <c r="P233" s="18"/>
      <c r="Q233" s="22"/>
      <c r="R233" s="21"/>
      <c r="S233" s="21"/>
      <c r="T233" s="21"/>
      <c r="AA233"/>
      <c r="AH233" t="str">
        <f t="shared" si="39"/>
        <v>k yet</v>
      </c>
    </row>
    <row r="234" spans="1:39">
      <c r="A234" s="42" t="s">
        <v>254</v>
      </c>
      <c r="B234" s="1" t="s">
        <v>20</v>
      </c>
      <c r="C234" s="40" t="str">
        <f t="shared" si="36"/>
        <v>09-&gt;</v>
      </c>
      <c r="D234" s="40" t="str">
        <f t="shared" si="37"/>
        <v xml:space="preserve">No pick yet                                                 </v>
      </c>
      <c r="E234" s="52">
        <f t="shared" si="38"/>
        <v>0</v>
      </c>
      <c r="F234" s="18"/>
      <c r="G234" s="13">
        <f t="shared" si="24"/>
        <v>0</v>
      </c>
      <c r="H234" s="13" t="e">
        <f>LEFT(VLOOKUP(ScoPo!T33,ScoPo!$G$150:$J$277,4,0),FIND(",",VLOOKUP(ScoPo!T33,ScoPo!$G$150:$J$277,4,0))-1)&amp;" "&amp;$AH$65&amp;" "&amp;LEFT(VLOOKUP(ScoPo!S33,ScoPo!$G$150:$J$277,4,0),FIND(",",VLOOKUP(ScoPo!S33,ScoPo!$G$150:$J$277,4,0))-1)</f>
        <v>#N/A</v>
      </c>
      <c r="I234" s="13" t="str">
        <f>IF(ScoPo!K33=1,0,IF(ScoPo!K33=2,ScoPo!O33," "))</f>
        <v xml:space="preserve"> </v>
      </c>
      <c r="J234" s="22"/>
      <c r="M234" s="18"/>
      <c r="N234" s="18"/>
      <c r="O234" s="18"/>
      <c r="P234" s="18"/>
      <c r="Q234" s="22"/>
      <c r="R234" s="21"/>
      <c r="S234" s="21"/>
      <c r="T234" s="21"/>
      <c r="AA234"/>
      <c r="AH234" t="str">
        <f t="shared" si="39"/>
        <v>k yet</v>
      </c>
    </row>
    <row r="235" spans="1:39">
      <c r="A235" s="42" t="s">
        <v>255</v>
      </c>
      <c r="B235" s="1" t="s">
        <v>20</v>
      </c>
      <c r="C235" s="40" t="str">
        <f t="shared" si="36"/>
        <v>10-&gt;</v>
      </c>
      <c r="D235" s="40" t="str">
        <f t="shared" si="37"/>
        <v xml:space="preserve">No pick yet                                                 </v>
      </c>
      <c r="E235" s="52">
        <f t="shared" si="38"/>
        <v>0</v>
      </c>
      <c r="F235" s="22"/>
      <c r="G235" s="13">
        <f t="shared" si="24"/>
        <v>0</v>
      </c>
      <c r="H235" s="13" t="e">
        <f>LEFT(VLOOKUP(ScoPo!T34,ScoPo!$G$150:$J$277,4,0),FIND(",",VLOOKUP(ScoPo!T34,ScoPo!$G$150:$J$277,4,0))-1)&amp;" "&amp;$AH$65&amp;" "&amp;LEFT(VLOOKUP(ScoPo!S34,ScoPo!$G$150:$J$277,4,0),FIND(",",VLOOKUP(ScoPo!S34,ScoPo!$G$150:$J$277,4,0))-1)</f>
        <v>#N/A</v>
      </c>
      <c r="I235" s="13" t="str">
        <f>IF(ScoPo!K34=1,0,IF(ScoPo!K34=2,ScoPo!O34," "))</f>
        <v xml:space="preserve"> </v>
      </c>
      <c r="M235" s="18"/>
      <c r="N235" s="18"/>
      <c r="O235" s="18"/>
      <c r="P235" s="18"/>
      <c r="Q235" s="22"/>
      <c r="R235" s="21"/>
      <c r="S235" s="21"/>
      <c r="T235" s="21"/>
      <c r="AA235"/>
      <c r="AH235" t="str">
        <f t="shared" si="39"/>
        <v>k yet</v>
      </c>
    </row>
    <row r="236" spans="1:39">
      <c r="A236" s="42" t="s">
        <v>256</v>
      </c>
      <c r="B236" s="1" t="s">
        <v>20</v>
      </c>
      <c r="C236" s="40" t="str">
        <f t="shared" si="36"/>
        <v>11-&gt;</v>
      </c>
      <c r="D236" s="40" t="str">
        <f t="shared" si="37"/>
        <v xml:space="preserve">No pick yet                                                 </v>
      </c>
      <c r="E236" s="52">
        <f t="shared" si="38"/>
        <v>0</v>
      </c>
      <c r="G236" s="13">
        <f t="shared" si="24"/>
        <v>0</v>
      </c>
      <c r="H236" s="13" t="e">
        <f>LEFT(VLOOKUP(ScoPo!T35,ScoPo!$G$150:$J$277,4,0),FIND(",",VLOOKUP(ScoPo!T35,ScoPo!$G$150:$J$277,4,0))-1)&amp;" "&amp;$AH$65&amp;" "&amp;LEFT(VLOOKUP(ScoPo!S35,ScoPo!$G$150:$J$277,4,0),FIND(",",VLOOKUP(ScoPo!S35,ScoPo!$G$150:$J$277,4,0))-1)</f>
        <v>#N/A</v>
      </c>
      <c r="I236" s="13" t="str">
        <f>IF(ScoPo!K35=1,0,IF(ScoPo!K35=2,ScoPo!O35," "))</f>
        <v xml:space="preserve"> </v>
      </c>
      <c r="M236" s="18"/>
      <c r="N236" s="18"/>
      <c r="O236" s="18"/>
      <c r="P236" s="18"/>
      <c r="Q236" s="22"/>
      <c r="R236" s="21"/>
      <c r="S236" s="21"/>
      <c r="T236" s="21"/>
      <c r="AA236"/>
      <c r="AH236" t="str">
        <f t="shared" si="39"/>
        <v>k yet</v>
      </c>
    </row>
    <row r="237" spans="1:39">
      <c r="A237" s="42" t="s">
        <v>257</v>
      </c>
      <c r="B237" s="1" t="s">
        <v>20</v>
      </c>
      <c r="C237" s="40" t="str">
        <f t="shared" si="36"/>
        <v>12-&gt;</v>
      </c>
      <c r="D237" s="40" t="str">
        <f t="shared" si="37"/>
        <v xml:space="preserve">No pick yet                                                 </v>
      </c>
      <c r="E237" s="52">
        <f t="shared" si="38"/>
        <v>0</v>
      </c>
      <c r="G237" s="13">
        <f t="shared" si="24"/>
        <v>0</v>
      </c>
      <c r="H237" s="13" t="e">
        <f>LEFT(VLOOKUP(ScoPo!T36,ScoPo!$G$150:$J$277,4,0),FIND(",",VLOOKUP(ScoPo!T36,ScoPo!$G$150:$J$277,4,0))-1)&amp;" "&amp;$AH$65&amp;" "&amp;LEFT(VLOOKUP(ScoPo!S36,ScoPo!$G$150:$J$277,4,0),FIND(",",VLOOKUP(ScoPo!S36,ScoPo!$G$150:$J$277,4,0))-1)</f>
        <v>#N/A</v>
      </c>
      <c r="I237" s="13" t="str">
        <f>IF(ScoPo!K36=1,0,IF(ScoPo!K36=2,ScoPo!O36," "))</f>
        <v xml:space="preserve"> </v>
      </c>
      <c r="M237" s="18"/>
      <c r="N237" s="18"/>
      <c r="O237" s="18"/>
      <c r="P237" s="18"/>
      <c r="Q237" s="22"/>
      <c r="R237" s="21"/>
      <c r="S237" s="21"/>
      <c r="T237" s="21"/>
      <c r="AA237"/>
      <c r="AH237" t="str">
        <f t="shared" si="39"/>
        <v>k yet</v>
      </c>
    </row>
    <row r="238" spans="1:39">
      <c r="A238" s="42" t="s">
        <v>258</v>
      </c>
      <c r="B238" s="1" t="s">
        <v>20</v>
      </c>
      <c r="C238" s="40" t="str">
        <f t="shared" si="36"/>
        <v>13-&gt;</v>
      </c>
      <c r="D238" s="40" t="str">
        <f t="shared" si="37"/>
        <v xml:space="preserve">No pick yet                                                 </v>
      </c>
      <c r="E238" s="52">
        <f t="shared" si="38"/>
        <v>0</v>
      </c>
      <c r="G238" s="13">
        <f t="shared" si="24"/>
        <v>0</v>
      </c>
      <c r="H238" s="13" t="e">
        <f>LEFT(VLOOKUP(ScoPo!T37,ScoPo!$G$150:$J$277,4,0),FIND(",",VLOOKUP(ScoPo!T37,ScoPo!$G$150:$J$277,4,0))-1)&amp;" "&amp;$AH$65&amp;" "&amp;LEFT(VLOOKUP(ScoPo!S37,ScoPo!$G$150:$J$277,4,0),FIND(",",VLOOKUP(ScoPo!S37,ScoPo!$G$150:$J$277,4,0))-1)</f>
        <v>#N/A</v>
      </c>
      <c r="I238" s="13" t="str">
        <f>IF(ScoPo!K37=1,0,IF(ScoPo!K37=2,ScoPo!O37," "))</f>
        <v xml:space="preserve"> </v>
      </c>
      <c r="M238" s="18"/>
      <c r="N238" s="18"/>
      <c r="O238" s="18"/>
      <c r="P238" s="18"/>
      <c r="Q238" s="22"/>
      <c r="R238" s="21"/>
      <c r="S238" s="21"/>
      <c r="T238" s="21"/>
      <c r="AA238"/>
      <c r="AH238" t="str">
        <f t="shared" si="39"/>
        <v>k yet</v>
      </c>
    </row>
    <row r="239" spans="1:39">
      <c r="A239" s="42" t="s">
        <v>259</v>
      </c>
      <c r="B239" s="1" t="s">
        <v>20</v>
      </c>
      <c r="C239" s="40" t="str">
        <f t="shared" si="36"/>
        <v>14-&gt;</v>
      </c>
      <c r="D239" s="40" t="str">
        <f t="shared" si="37"/>
        <v xml:space="preserve">No pick yet                                                 </v>
      </c>
      <c r="E239" s="52">
        <f t="shared" si="38"/>
        <v>0</v>
      </c>
      <c r="G239" s="13">
        <f t="shared" si="24"/>
        <v>0</v>
      </c>
      <c r="H239" s="13" t="e">
        <f>LEFT(VLOOKUP(ScoPo!T38,ScoPo!$G$150:$J$277,4,0),FIND(",",VLOOKUP(ScoPo!T38,ScoPo!$G$150:$J$277,4,0))-1)&amp;" "&amp;$AH$65&amp;" "&amp;LEFT(VLOOKUP(ScoPo!S38,ScoPo!$G$150:$J$277,4,0),FIND(",",VLOOKUP(ScoPo!S38,ScoPo!$G$150:$J$277,4,0))-1)</f>
        <v>#N/A</v>
      </c>
      <c r="I239" s="13" t="str">
        <f>IF(ScoPo!K38=1,0,IF(ScoPo!K38=2,ScoPo!O38," "))</f>
        <v xml:space="preserve"> </v>
      </c>
      <c r="M239" s="18"/>
      <c r="N239" s="18"/>
      <c r="O239" s="18"/>
      <c r="P239" s="18"/>
      <c r="Q239" s="22"/>
      <c r="R239" s="21"/>
      <c r="S239" s="21"/>
      <c r="T239" s="21"/>
      <c r="AA239"/>
      <c r="AH239" t="str">
        <f t="shared" si="39"/>
        <v>k yet</v>
      </c>
    </row>
    <row r="240" spans="1:39">
      <c r="A240" s="42" t="s">
        <v>260</v>
      </c>
      <c r="B240" s="1" t="s">
        <v>20</v>
      </c>
      <c r="C240" s="40" t="str">
        <f t="shared" si="36"/>
        <v>15-&gt;</v>
      </c>
      <c r="D240" s="40" t="str">
        <f t="shared" si="37"/>
        <v xml:space="preserve">No pick yet                                                 </v>
      </c>
      <c r="E240" s="52">
        <f t="shared" si="38"/>
        <v>0</v>
      </c>
      <c r="G240" s="13">
        <f t="shared" si="24"/>
        <v>0</v>
      </c>
      <c r="H240" s="13" t="e">
        <f>LEFT(VLOOKUP(ScoPo!T39,ScoPo!$G$150:$J$277,4,0),FIND(",",VLOOKUP(ScoPo!T39,ScoPo!$G$150:$J$277,4,0))-1)&amp;" "&amp;$AH$65&amp;" "&amp;LEFT(VLOOKUP(ScoPo!S39,ScoPo!$G$150:$J$277,4,0),FIND(",",VLOOKUP(ScoPo!S39,ScoPo!$G$150:$J$277,4,0))-1)</f>
        <v>#N/A</v>
      </c>
      <c r="I240" s="13" t="str">
        <f>IF(ScoPo!K39=1,0,IF(ScoPo!K39=2,ScoPo!O39," "))</f>
        <v xml:space="preserve"> </v>
      </c>
      <c r="M240" s="18"/>
      <c r="N240" s="18"/>
      <c r="O240" s="18"/>
      <c r="P240" s="18"/>
      <c r="Q240" s="22"/>
      <c r="R240" s="21"/>
      <c r="S240" s="21"/>
      <c r="T240" s="21"/>
      <c r="AA240"/>
      <c r="AH240" t="str">
        <f t="shared" si="39"/>
        <v>k yet</v>
      </c>
    </row>
    <row r="241" spans="1:39">
      <c r="A241" s="42" t="s">
        <v>261</v>
      </c>
      <c r="B241" s="1" t="s">
        <v>20</v>
      </c>
      <c r="C241" s="40" t="str">
        <f t="shared" si="36"/>
        <v>16-&gt;</v>
      </c>
      <c r="D241" s="40" t="str">
        <f t="shared" si="37"/>
        <v xml:space="preserve">No pick yet                                                 </v>
      </c>
      <c r="E241" s="52">
        <f t="shared" si="38"/>
        <v>0</v>
      </c>
      <c r="G241" s="13">
        <f t="shared" si="24"/>
        <v>0</v>
      </c>
      <c r="H241" s="13" t="e">
        <f>LEFT(VLOOKUP(ScoPo!T40,ScoPo!$G$150:$J$277,4,0),FIND(",",VLOOKUP(ScoPo!T40,ScoPo!$G$150:$J$277,4,0))-1)&amp;" "&amp;$AH$65&amp;" "&amp;LEFT(VLOOKUP(ScoPo!S40,ScoPo!$G$150:$J$277,4,0),FIND(",",VLOOKUP(ScoPo!S40,ScoPo!$G$150:$J$277,4,0))-1)</f>
        <v>#N/A</v>
      </c>
      <c r="I241" s="13" t="str">
        <f>IF(ScoPo!K40=1,0,IF(ScoPo!K40=2,ScoPo!O40," "))</f>
        <v xml:space="preserve"> </v>
      </c>
      <c r="M241" s="18"/>
      <c r="N241" s="18"/>
      <c r="O241" s="18"/>
      <c r="P241" s="18"/>
      <c r="Q241" s="22"/>
      <c r="R241" s="21"/>
      <c r="S241" s="21"/>
      <c r="T241" s="21"/>
      <c r="AA241"/>
      <c r="AH241" t="str">
        <f t="shared" si="39"/>
        <v>k yet</v>
      </c>
    </row>
    <row r="242" spans="1:39">
      <c r="A242" s="42" t="s">
        <v>262</v>
      </c>
      <c r="B242" s="1" t="s">
        <v>20</v>
      </c>
      <c r="C242" s="40" t="str">
        <f t="shared" si="36"/>
        <v>17-&gt;</v>
      </c>
      <c r="D242" s="40" t="str">
        <f t="shared" si="37"/>
        <v xml:space="preserve">No pick yet                                                 </v>
      </c>
      <c r="E242" s="52">
        <f t="shared" si="38"/>
        <v>0</v>
      </c>
      <c r="G242" s="13">
        <f t="shared" si="24"/>
        <v>0</v>
      </c>
      <c r="H242" s="13" t="e">
        <f>LEFT(VLOOKUP(ScoPo!T41,ScoPo!$G$150:$J$277,4,0),FIND(",",VLOOKUP(ScoPo!T41,ScoPo!$G$150:$J$277,4,0))-1)&amp;" "&amp;$AH$65&amp;" "&amp;LEFT(VLOOKUP(ScoPo!S41,ScoPo!$G$150:$J$277,4,0),FIND(",",VLOOKUP(ScoPo!S41,ScoPo!$G$150:$J$277,4,0))-1)</f>
        <v>#N/A</v>
      </c>
      <c r="I242" s="13" t="str">
        <f>IF(ScoPo!K41=1,0,IF(ScoPo!K41=2,ScoPo!O41," "))</f>
        <v xml:space="preserve"> </v>
      </c>
      <c r="K242" s="22"/>
      <c r="N242" s="22"/>
      <c r="O242" s="22"/>
      <c r="P242" s="22"/>
      <c r="Q242" s="22"/>
      <c r="R242" s="22"/>
      <c r="S242" s="22"/>
      <c r="Z242" s="53"/>
      <c r="AA242"/>
      <c r="AH242" t="str">
        <f t="shared" si="39"/>
        <v>k yet</v>
      </c>
    </row>
    <row r="243" spans="1:39">
      <c r="A243" s="42" t="s">
        <v>263</v>
      </c>
      <c r="B243" s="1" t="s">
        <v>20</v>
      </c>
      <c r="C243" s="40" t="str">
        <f t="shared" si="36"/>
        <v>18-&gt;</v>
      </c>
      <c r="D243" s="40" t="str">
        <f t="shared" si="37"/>
        <v xml:space="preserve">No pick yet                                                 </v>
      </c>
      <c r="E243" s="52">
        <f t="shared" si="38"/>
        <v>0</v>
      </c>
      <c r="F243" s="18"/>
      <c r="G243" s="13">
        <f t="shared" si="24"/>
        <v>0</v>
      </c>
      <c r="H243" s="13" t="e">
        <f>LEFT(VLOOKUP(ScoPo!T42,ScoPo!$G$150:$J$277,4,0),FIND(",",VLOOKUP(ScoPo!T42,ScoPo!$G$150:$J$277,4,0))-1)&amp;" "&amp;$AH$65&amp;" "&amp;LEFT(VLOOKUP(ScoPo!S42,ScoPo!$G$150:$J$277,4,0),FIND(",",VLOOKUP(ScoPo!S42,ScoPo!$G$150:$J$277,4,0))-1)</f>
        <v>#N/A</v>
      </c>
      <c r="I243" s="13" t="str">
        <f>IF(ScoPo!K42=1,0,IF(ScoPo!K42=2,ScoPo!O42," "))</f>
        <v xml:space="preserve"> </v>
      </c>
      <c r="L243" s="21"/>
      <c r="N243" s="22"/>
      <c r="O243" s="22"/>
      <c r="P243" s="18"/>
      <c r="Q243" s="22"/>
      <c r="R243" s="22"/>
      <c r="S243" s="22"/>
      <c r="Z243" s="53"/>
      <c r="AA243"/>
      <c r="AH243" t="str">
        <f t="shared" si="39"/>
        <v>k yet</v>
      </c>
    </row>
    <row r="244" spans="1:39">
      <c r="A244" s="42" t="s">
        <v>264</v>
      </c>
      <c r="B244" s="1" t="s">
        <v>20</v>
      </c>
      <c r="C244" s="40" t="str">
        <f t="shared" si="36"/>
        <v>19-&gt;</v>
      </c>
      <c r="D244" s="40" t="str">
        <f t="shared" si="37"/>
        <v xml:space="preserve">No pick yet                                                 </v>
      </c>
      <c r="E244" s="52">
        <f t="shared" si="38"/>
        <v>0</v>
      </c>
      <c r="F244" s="18"/>
      <c r="G244" s="13">
        <f t="shared" si="24"/>
        <v>0</v>
      </c>
      <c r="H244" s="13" t="e">
        <f>LEFT(VLOOKUP(ScoPo!T43,ScoPo!$G$150:$J$277,4,0),FIND(",",VLOOKUP(ScoPo!T43,ScoPo!$G$150:$J$277,4,0))-1)&amp;" "&amp;$AH$65&amp;" "&amp;LEFT(VLOOKUP(ScoPo!S43,ScoPo!$G$150:$J$277,4,0),FIND(",",VLOOKUP(ScoPo!S43,ScoPo!$G$150:$J$277,4,0))-1)</f>
        <v>#N/A</v>
      </c>
      <c r="I244" s="13" t="str">
        <f>IF(ScoPo!K43=1,0,IF(ScoPo!K43=2,ScoPo!O43," "))</f>
        <v xml:space="preserve"> </v>
      </c>
      <c r="M244" s="18"/>
      <c r="N244" s="18"/>
      <c r="O244" s="18"/>
      <c r="P244" s="18"/>
      <c r="Q244" s="22"/>
      <c r="R244" s="21"/>
      <c r="S244" s="21"/>
      <c r="T244" s="21"/>
      <c r="AA244"/>
      <c r="AH244" t="str">
        <f t="shared" si="39"/>
        <v>k yet</v>
      </c>
    </row>
    <row r="245" spans="1:39">
      <c r="A245" s="42" t="s">
        <v>265</v>
      </c>
      <c r="B245" s="1" t="s">
        <v>20</v>
      </c>
      <c r="C245" s="40" t="str">
        <f t="shared" si="36"/>
        <v>20-&gt;</v>
      </c>
      <c r="D245" s="40" t="str">
        <f t="shared" si="37"/>
        <v xml:space="preserve">No pick yet                                                 </v>
      </c>
      <c r="E245" s="52">
        <f t="shared" si="38"/>
        <v>0</v>
      </c>
      <c r="F245" s="18"/>
      <c r="G245" s="13">
        <f t="shared" si="24"/>
        <v>0</v>
      </c>
      <c r="H245" s="13" t="e">
        <f>LEFT(VLOOKUP(ScoPo!T44,ScoPo!$G$150:$J$277,4,0),FIND(",",VLOOKUP(ScoPo!T44,ScoPo!$G$150:$J$277,4,0))-1)&amp;" "&amp;$AH$65&amp;" "&amp;LEFT(VLOOKUP(ScoPo!S44,ScoPo!$G$150:$J$277,4,0),FIND(",",VLOOKUP(ScoPo!S44,ScoPo!$G$150:$J$277,4,0))-1)</f>
        <v>#N/A</v>
      </c>
      <c r="I245" s="13" t="str">
        <f>IF(ScoPo!K44=1,0,IF(ScoPo!K44=2,ScoPo!O44," "))</f>
        <v xml:space="preserve"> </v>
      </c>
      <c r="M245" s="18"/>
      <c r="N245" s="18"/>
      <c r="O245" s="18"/>
      <c r="P245" s="18"/>
      <c r="Q245" s="22"/>
      <c r="R245" s="21"/>
      <c r="S245" s="21"/>
      <c r="T245" s="21"/>
      <c r="AA245"/>
      <c r="AH245" t="str">
        <f t="shared" si="39"/>
        <v>k yet</v>
      </c>
    </row>
    <row r="246" spans="1:39">
      <c r="A246" s="42" t="s">
        <v>266</v>
      </c>
      <c r="B246" s="1" t="s">
        <v>20</v>
      </c>
      <c r="C246" s="40" t="str">
        <f t="shared" si="36"/>
        <v>21-&gt;</v>
      </c>
      <c r="D246" s="40" t="str">
        <f t="shared" si="37"/>
        <v xml:space="preserve">No pick yet                                                 </v>
      </c>
      <c r="E246" s="52">
        <f t="shared" si="38"/>
        <v>0</v>
      </c>
      <c r="F246" s="18"/>
      <c r="G246" s="13">
        <f t="shared" si="24"/>
        <v>0</v>
      </c>
      <c r="H246" s="13" t="e">
        <f>LEFT(VLOOKUP(ScoPo!T45,ScoPo!$G$150:$J$277,4,0),FIND(",",VLOOKUP(ScoPo!T45,ScoPo!$G$150:$J$277,4,0))-1)&amp;" "&amp;$AH$65&amp;" "&amp;LEFT(VLOOKUP(ScoPo!S45,ScoPo!$G$150:$J$277,4,0),FIND(",",VLOOKUP(ScoPo!S45,ScoPo!$G$150:$J$277,4,0))-1)</f>
        <v>#N/A</v>
      </c>
      <c r="I246" s="13" t="str">
        <f>IF(ScoPo!K45=1,0,IF(ScoPo!K45=2,ScoPo!O45," "))</f>
        <v xml:space="preserve"> </v>
      </c>
      <c r="M246" s="18"/>
      <c r="N246" s="18"/>
      <c r="O246" s="18"/>
      <c r="P246" s="18"/>
      <c r="Q246" s="22"/>
      <c r="R246" s="21"/>
      <c r="S246" s="21"/>
      <c r="T246" s="21"/>
      <c r="AA246"/>
      <c r="AH246" t="str">
        <f t="shared" si="39"/>
        <v>k yet</v>
      </c>
    </row>
    <row r="247" spans="1:39">
      <c r="A247" s="42" t="s">
        <v>267</v>
      </c>
      <c r="B247" s="1" t="s">
        <v>20</v>
      </c>
      <c r="C247" s="40" t="str">
        <f t="shared" si="36"/>
        <v>22-&gt;</v>
      </c>
      <c r="D247" s="40" t="str">
        <f t="shared" si="37"/>
        <v xml:space="preserve">No pick yet                                                 </v>
      </c>
      <c r="E247" s="52">
        <f t="shared" si="38"/>
        <v>0</v>
      </c>
      <c r="F247" s="18"/>
      <c r="G247" s="13">
        <f t="shared" si="24"/>
        <v>0</v>
      </c>
      <c r="H247" s="13" t="e">
        <f>LEFT(VLOOKUP(ScoPo!T46,ScoPo!$G$150:$J$277,4,0),FIND(",",VLOOKUP(ScoPo!T46,ScoPo!$G$150:$J$277,4,0))-1)&amp;" "&amp;$AH$65&amp;" "&amp;LEFT(VLOOKUP(ScoPo!S46,ScoPo!$G$150:$J$277,4,0),FIND(",",VLOOKUP(ScoPo!S46,ScoPo!$G$150:$J$277,4,0))-1)</f>
        <v>#N/A</v>
      </c>
      <c r="I247" s="13" t="str">
        <f>IF(ScoPo!K46=1,0,IF(ScoPo!K46=2,ScoPo!O46," "))</f>
        <v xml:space="preserve"> </v>
      </c>
      <c r="M247" s="18"/>
      <c r="N247" s="18"/>
      <c r="O247" s="18"/>
      <c r="P247" s="18"/>
      <c r="Q247" s="22"/>
      <c r="R247" s="21"/>
      <c r="S247" s="21"/>
      <c r="T247" s="21"/>
      <c r="AA247"/>
      <c r="AH247" t="str">
        <f t="shared" si="39"/>
        <v>k yet</v>
      </c>
    </row>
    <row r="248" spans="1:39">
      <c r="A248" s="42" t="s">
        <v>268</v>
      </c>
      <c r="B248" s="1" t="s">
        <v>20</v>
      </c>
      <c r="C248" s="40" t="str">
        <f t="shared" si="36"/>
        <v>23-&gt;</v>
      </c>
      <c r="D248" s="40" t="str">
        <f t="shared" si="37"/>
        <v xml:space="preserve">No pick yet                                                 </v>
      </c>
      <c r="E248" s="52">
        <f t="shared" si="38"/>
        <v>0</v>
      </c>
      <c r="F248" s="18"/>
      <c r="G248" s="13">
        <f t="shared" si="24"/>
        <v>0</v>
      </c>
      <c r="H248" s="13" t="e">
        <f>LEFT(VLOOKUP(ScoPo!T47,ScoPo!$G$150:$J$277,4,0),FIND(",",VLOOKUP(ScoPo!T47,ScoPo!$G$150:$J$277,4,0))-1)&amp;" "&amp;$AH$65&amp;" "&amp;LEFT(VLOOKUP(ScoPo!S47,ScoPo!$G$150:$J$277,4,0),FIND(",",VLOOKUP(ScoPo!S47,ScoPo!$G$150:$J$277,4,0))-1)</f>
        <v>#N/A</v>
      </c>
      <c r="I248" s="13" t="str">
        <f>IF(ScoPo!K47=1,0,IF(ScoPo!K47=2,ScoPo!O47," "))</f>
        <v xml:space="preserve"> </v>
      </c>
      <c r="J248" s="22"/>
      <c r="M248" s="18"/>
      <c r="N248" s="18"/>
      <c r="O248" s="18"/>
      <c r="P248" s="18"/>
      <c r="Q248" s="22"/>
      <c r="R248" s="21"/>
      <c r="S248" s="21"/>
      <c r="T248" s="21"/>
      <c r="AA248"/>
      <c r="AH248" t="str">
        <f t="shared" si="39"/>
        <v>k yet</v>
      </c>
    </row>
    <row r="249" spans="1:39">
      <c r="A249" s="42" t="s">
        <v>269</v>
      </c>
      <c r="B249" s="1" t="s">
        <v>20</v>
      </c>
      <c r="C249" s="40" t="str">
        <f t="shared" si="36"/>
        <v>24-&gt;</v>
      </c>
      <c r="D249" s="40" t="str">
        <f t="shared" si="37"/>
        <v xml:space="preserve">No pick yet                                                 </v>
      </c>
      <c r="E249" s="52">
        <f t="shared" si="38"/>
        <v>0</v>
      </c>
      <c r="F249" s="18"/>
      <c r="G249" s="13">
        <f t="shared" si="24"/>
        <v>0</v>
      </c>
      <c r="H249" s="13" t="e">
        <f>LEFT(VLOOKUP(ScoPo!T48,ScoPo!$G$150:$J$277,4,0),FIND(",",VLOOKUP(ScoPo!T48,ScoPo!$G$150:$J$277,4,0))-1)&amp;" "&amp;$AH$65&amp;" "&amp;LEFT(VLOOKUP(ScoPo!S48,ScoPo!$G$150:$J$277,4,0),FIND(",",VLOOKUP(ScoPo!S48,ScoPo!$G$150:$J$277,4,0))-1)</f>
        <v>#N/A</v>
      </c>
      <c r="I249" s="13" t="str">
        <f>IF(ScoPo!K48=1,0,IF(ScoPo!K48=2,ScoPo!O48," "))</f>
        <v xml:space="preserve"> </v>
      </c>
      <c r="J249" s="22"/>
      <c r="M249" s="18"/>
      <c r="N249" s="18"/>
      <c r="O249" s="18"/>
      <c r="P249" s="18"/>
      <c r="Q249" s="22"/>
      <c r="R249" s="21"/>
      <c r="S249" s="21"/>
      <c r="T249" s="21"/>
      <c r="AA249"/>
      <c r="AH249" t="str">
        <f t="shared" si="39"/>
        <v>k yet</v>
      </c>
    </row>
    <row r="250" spans="1:39">
      <c r="A250" s="42" t="s">
        <v>270</v>
      </c>
      <c r="B250" s="1" t="s">
        <v>20</v>
      </c>
      <c r="C250" s="40" t="str">
        <f t="shared" si="36"/>
        <v>25-&gt;</v>
      </c>
      <c r="D250" s="40" t="str">
        <f t="shared" si="37"/>
        <v xml:space="preserve">No pick yet                                                 </v>
      </c>
      <c r="E250" s="52">
        <f t="shared" si="38"/>
        <v>0</v>
      </c>
      <c r="F250" s="18"/>
      <c r="G250" s="13">
        <f t="shared" si="24"/>
        <v>0</v>
      </c>
      <c r="H250" s="13" t="e">
        <f>LEFT(VLOOKUP(ScoPo!T49,ScoPo!$G$150:$J$277,4,0),FIND(",",VLOOKUP(ScoPo!T49,ScoPo!$G$150:$J$277,4,0))-1)&amp;" "&amp;$AH$65&amp;" "&amp;LEFT(VLOOKUP(ScoPo!S49,ScoPo!$G$150:$J$277,4,0),FIND(",",VLOOKUP(ScoPo!S49,ScoPo!$G$150:$J$277,4,0))-1)</f>
        <v>#N/A</v>
      </c>
      <c r="I250" s="13" t="str">
        <f>IF(ScoPo!K49=1,0,IF(ScoPo!K49=2,ScoPo!O49," "))</f>
        <v xml:space="preserve"> </v>
      </c>
      <c r="M250" s="18"/>
      <c r="N250" s="18"/>
      <c r="O250" s="18"/>
      <c r="P250" s="18"/>
      <c r="Q250" s="22"/>
      <c r="R250" s="21"/>
      <c r="S250" s="21"/>
      <c r="T250" s="21"/>
      <c r="AA250"/>
      <c r="AH250" t="str">
        <f t="shared" si="39"/>
        <v>k yet</v>
      </c>
    </row>
    <row r="251" spans="1:39">
      <c r="A251" s="42" t="s">
        <v>271</v>
      </c>
      <c r="B251" s="1" t="s">
        <v>20</v>
      </c>
      <c r="C251" s="40" t="str">
        <f t="shared" si="36"/>
        <v>26-&gt;</v>
      </c>
      <c r="D251" s="40" t="str">
        <f t="shared" si="37"/>
        <v xml:space="preserve">No pick yet                                                 </v>
      </c>
      <c r="E251" s="52">
        <f t="shared" si="38"/>
        <v>0</v>
      </c>
      <c r="F251" s="18"/>
      <c r="G251" s="13">
        <f t="shared" si="24"/>
        <v>0</v>
      </c>
      <c r="H251" s="13" t="e">
        <f>LEFT(VLOOKUP(ScoPo!T50,ScoPo!$G$150:$J$277,4,0),FIND(",",VLOOKUP(ScoPo!T50,ScoPo!$G$150:$J$277,4,0))-1)&amp;" "&amp;$AH$65&amp;" "&amp;LEFT(VLOOKUP(ScoPo!S50,ScoPo!$G$150:$J$277,4,0),FIND(",",VLOOKUP(ScoPo!S50,ScoPo!$G$150:$J$277,4,0))-1)</f>
        <v>#N/A</v>
      </c>
      <c r="I251" s="13" t="str">
        <f>IF(ScoPo!K50=1,0,IF(ScoPo!K50=2,ScoPo!O50," "))</f>
        <v xml:space="preserve"> </v>
      </c>
      <c r="M251" s="18"/>
      <c r="N251" s="18"/>
      <c r="O251" s="18"/>
      <c r="P251" s="18"/>
      <c r="Q251" s="22"/>
      <c r="R251" s="21"/>
      <c r="S251" s="21"/>
      <c r="T251" s="21"/>
      <c r="AA251"/>
      <c r="AH251" t="str">
        <f t="shared" si="39"/>
        <v>k yet</v>
      </c>
    </row>
    <row r="252" spans="1:39">
      <c r="A252" s="38"/>
      <c r="B252" s="59"/>
      <c r="C252" s="40"/>
      <c r="D252" s="49"/>
      <c r="E252" s="41" t="s">
        <v>69</v>
      </c>
      <c r="F252" s="18"/>
      <c r="G252" s="13">
        <f t="shared" si="24"/>
        <v>0</v>
      </c>
      <c r="H252" s="13" t="e">
        <f>LEFT(VLOOKUP(ScoPo!T51,ScoPo!$G$150:$J$277,4,0),FIND(",",VLOOKUP(ScoPo!T51,ScoPo!$G$150:$J$277,4,0))-1)&amp;" "&amp;$AH$65&amp;" "&amp;LEFT(VLOOKUP(ScoPo!S51,ScoPo!$G$150:$J$277,4,0),FIND(",",VLOOKUP(ScoPo!S51,ScoPo!$G$150:$J$277,4,0))-1)</f>
        <v>#N/A</v>
      </c>
      <c r="I252" s="13" t="str">
        <f>IF(ScoPo!K51=1,0,IF(ScoPo!K51=2,ScoPo!O51," "))</f>
        <v xml:space="preserve"> </v>
      </c>
      <c r="K252" s="22" t="s">
        <v>73</v>
      </c>
      <c r="L252" s="18" t="s">
        <v>74</v>
      </c>
      <c r="M252" s="22" t="s">
        <v>78</v>
      </c>
      <c r="N252" s="22" t="s">
        <v>79</v>
      </c>
      <c r="O252" s="22" t="s">
        <v>80</v>
      </c>
      <c r="P252" s="22" t="s">
        <v>81</v>
      </c>
      <c r="Q252" s="22" t="s">
        <v>82</v>
      </c>
      <c r="R252" s="22" t="s">
        <v>83</v>
      </c>
      <c r="S252" s="22" t="s">
        <v>84</v>
      </c>
      <c r="T252" s="18" t="s">
        <v>85</v>
      </c>
      <c r="U252" s="18" t="s">
        <v>86</v>
      </c>
      <c r="V252" s="18" t="s">
        <v>87</v>
      </c>
      <c r="W252" s="18" t="s">
        <v>88</v>
      </c>
      <c r="X252" s="18" t="s">
        <v>89</v>
      </c>
      <c r="Y252" s="18" t="s">
        <v>90</v>
      </c>
      <c r="Z252" s="18" t="s">
        <v>91</v>
      </c>
      <c r="AA252" s="18" t="s">
        <v>92</v>
      </c>
      <c r="AB252" s="18" t="s">
        <v>93</v>
      </c>
      <c r="AC252" s="18" t="s">
        <v>94</v>
      </c>
      <c r="AD252" s="18" t="s">
        <v>235</v>
      </c>
      <c r="AE252" s="18" t="s">
        <v>236</v>
      </c>
      <c r="AF252" s="18" t="s">
        <v>237</v>
      </c>
      <c r="AG252" s="18" t="s">
        <v>238</v>
      </c>
      <c r="AH252" s="18" t="s">
        <v>239</v>
      </c>
      <c r="AI252" s="18" t="s">
        <v>240</v>
      </c>
      <c r="AJ252" s="18" t="s">
        <v>241</v>
      </c>
      <c r="AK252" s="18" t="s">
        <v>242</v>
      </c>
      <c r="AL252" s="18" t="s">
        <v>243</v>
      </c>
      <c r="AM252" s="50" t="s">
        <v>244</v>
      </c>
    </row>
    <row r="253" spans="1:39">
      <c r="A253" s="40" t="s">
        <v>245</v>
      </c>
      <c r="B253" s="51" t="str">
        <f>D8</f>
        <v/>
      </c>
      <c r="C253" s="40" t="str">
        <f t="shared" ref="C253:C279" si="40">A253</f>
        <v>#</v>
      </c>
      <c r="D253" s="40" t="str">
        <f>"   "&amp;B253&amp;REPT(" ",$AH$70-LEN(B253)-3)</f>
        <v xml:space="preserve">                                                            </v>
      </c>
      <c r="E253" s="38" t="str">
        <f>SUM(E254:E279)&amp;" pts[/b]"</f>
        <v>0 pts[/b]</v>
      </c>
      <c r="F253" s="21">
        <f>SUM(E254:E279)</f>
        <v>0</v>
      </c>
      <c r="G253" s="13">
        <f t="shared" si="24"/>
        <v>0</v>
      </c>
      <c r="H253" s="13" t="e">
        <f>LEFT(VLOOKUP(ScoPo!T52,ScoPo!$G$150:$J$277,4,0),FIND(",",VLOOKUP(ScoPo!T52,ScoPo!$G$150:$J$277,4,0))-1)&amp;" "&amp;$AH$65&amp;" "&amp;LEFT(VLOOKUP(ScoPo!S52,ScoPo!$G$150:$J$277,4,0),FIND(",",VLOOKUP(ScoPo!S52,ScoPo!$G$150:$J$277,4,0))-1)</f>
        <v>#N/A</v>
      </c>
      <c r="I253" s="13" t="str">
        <f>IF(ScoPo!K52=1,0,IF(ScoPo!K52=2,ScoPo!O52," "))</f>
        <v xml:space="preserve"> </v>
      </c>
      <c r="K253" s="18">
        <f>COUNTIF(E254:E279,"&gt;0")</f>
        <v>0</v>
      </c>
      <c r="L253" s="21">
        <f>AM253-K253</f>
        <v>0</v>
      </c>
      <c r="M253" s="22">
        <f>MAX(E254:E279)</f>
        <v>0</v>
      </c>
      <c r="N253" s="22">
        <f>LARGE(E254:E279,2)</f>
        <v>0</v>
      </c>
      <c r="O253" s="22">
        <f>LARGE(E254:E279,3)</f>
        <v>0</v>
      </c>
      <c r="P253" s="18">
        <f>LARGE(E254:E279,4)</f>
        <v>0</v>
      </c>
      <c r="Q253" s="22">
        <f>LARGE(E254:E279,5)</f>
        <v>0</v>
      </c>
      <c r="R253" s="22">
        <f>LARGE(E254:E279,6)</f>
        <v>0</v>
      </c>
      <c r="S253" s="22">
        <f>LARGE(E254:E279,7)</f>
        <v>0</v>
      </c>
      <c r="T253" s="18">
        <f>LARGE(E254:E279,8)</f>
        <v>0</v>
      </c>
      <c r="U253" s="18">
        <f>LARGE(E254:E279,9)</f>
        <v>0</v>
      </c>
      <c r="V253" s="18">
        <f>LARGE(E254:E279,10)</f>
        <v>0</v>
      </c>
      <c r="W253" s="18">
        <f>LARGE(E254:E279,11)</f>
        <v>0</v>
      </c>
      <c r="X253" s="18">
        <f>LARGE(E254:E279,12)</f>
        <v>0</v>
      </c>
      <c r="Y253" s="18">
        <f>LARGE(E254:E279,13)</f>
        <v>0</v>
      </c>
      <c r="Z253" s="18">
        <f>LARGE(E254:E279,14)</f>
        <v>0</v>
      </c>
      <c r="AA253" s="18">
        <f>LARGE(E254:E279,15)</f>
        <v>0</v>
      </c>
      <c r="AB253" s="18">
        <f>LARGE(E254:E279,16)</f>
        <v>0</v>
      </c>
      <c r="AC253" s="18">
        <f>LARGE(E254:E279,17)</f>
        <v>0</v>
      </c>
      <c r="AD253" s="18">
        <f>LARGE(E254:E280,13)</f>
        <v>0</v>
      </c>
      <c r="AE253" s="18">
        <f>LARGE(E254:E279,19)</f>
        <v>0</v>
      </c>
      <c r="AF253" s="18">
        <f>LARGE(E254:E279,20)</f>
        <v>0</v>
      </c>
      <c r="AG253" s="18">
        <f>LARGE(E254:E279,21)</f>
        <v>0</v>
      </c>
      <c r="AH253" s="18">
        <f>LARGE(E254:E279,22)</f>
        <v>0</v>
      </c>
      <c r="AI253" s="18">
        <f>LARGE(E254:E279,23)</f>
        <v>0</v>
      </c>
      <c r="AJ253" s="18">
        <f>LARGE(E254:E279,24)</f>
        <v>0</v>
      </c>
      <c r="AK253" s="18">
        <f>LARGE(E254:E279,25)</f>
        <v>0</v>
      </c>
      <c r="AL253" s="18">
        <f>LARGE(E254:E279,26)</f>
        <v>0</v>
      </c>
      <c r="AM253" s="50">
        <f>COUNTIF(AH254:AH279,"&lt;&gt;"&amp;AH76)-(26-COUNTIF(E254:E279,"&gt;=0"))</f>
        <v>0</v>
      </c>
    </row>
    <row r="254" spans="1:39">
      <c r="A254" s="42" t="s">
        <v>246</v>
      </c>
      <c r="B254" s="1" t="s">
        <v>20</v>
      </c>
      <c r="C254" s="40" t="str">
        <f t="shared" si="40"/>
        <v>01-&gt;</v>
      </c>
      <c r="D254" s="40" t="str">
        <f t="shared" ref="D254:D279" si="41">B254&amp;REPT(" ",$AH$70-LEN(B254))</f>
        <v xml:space="preserve">No pick yet                                                 </v>
      </c>
      <c r="E254" s="52">
        <f t="shared" ref="E254:E279" si="42">VLOOKUP(RIGHT(B254,LEN(B254)-$AH$66),$H$138:$I$420,2,0)</f>
        <v>0</v>
      </c>
      <c r="F254" s="18"/>
      <c r="G254" s="13">
        <f t="shared" si="24"/>
        <v>0</v>
      </c>
      <c r="H254" s="13" t="e">
        <f>LEFT(VLOOKUP(ScoPo!T53,ScoPo!$G$150:$J$277,4,0),FIND(",",VLOOKUP(ScoPo!T53,ScoPo!$G$150:$J$277,4,0))-1)&amp;" "&amp;$AH$65&amp;" "&amp;LEFT(VLOOKUP(ScoPo!S53,ScoPo!$G$150:$J$277,4,0),FIND(",",VLOOKUP(ScoPo!S53,ScoPo!$G$150:$J$277,4,0))-1)</f>
        <v>#N/A</v>
      </c>
      <c r="I254" s="13" t="str">
        <f>IF(ScoPo!K53=1,0,IF(ScoPo!K53=2,ScoPo!O53," "))</f>
        <v xml:space="preserve"> </v>
      </c>
      <c r="M254" s="18"/>
      <c r="N254" s="18"/>
      <c r="O254" s="18"/>
      <c r="P254" s="18"/>
      <c r="Q254" s="22"/>
      <c r="R254" s="21"/>
      <c r="S254" s="21"/>
      <c r="T254" s="21"/>
      <c r="AA254"/>
      <c r="AH254" t="str">
        <f t="shared" ref="AH254:AH279" si="43">RIGHT(B254,LEN(B254)-$AH$66)</f>
        <v>k yet</v>
      </c>
    </row>
    <row r="255" spans="1:39">
      <c r="A255" s="42" t="s">
        <v>247</v>
      </c>
      <c r="B255" s="1" t="s">
        <v>20</v>
      </c>
      <c r="C255" s="40" t="str">
        <f t="shared" si="40"/>
        <v>02-&gt;</v>
      </c>
      <c r="D255" s="40" t="str">
        <f t="shared" si="41"/>
        <v xml:space="preserve">No pick yet                                                 </v>
      </c>
      <c r="E255" s="52">
        <f t="shared" si="42"/>
        <v>0</v>
      </c>
      <c r="F255" s="18"/>
      <c r="G255" s="13">
        <f t="shared" si="24"/>
        <v>0</v>
      </c>
      <c r="H255" s="13" t="e">
        <f>LEFT(VLOOKUP(ScoPo!T54,ScoPo!$G$150:$J$277,4,0),FIND(",",VLOOKUP(ScoPo!T54,ScoPo!$G$150:$J$277,4,0))-1)&amp;" "&amp;$AH$65&amp;" "&amp;LEFT(VLOOKUP(ScoPo!S54,ScoPo!$G$150:$J$277,4,0),FIND(",",VLOOKUP(ScoPo!S54,ScoPo!$G$150:$J$277,4,0))-1)</f>
        <v>#N/A</v>
      </c>
      <c r="I255" s="13" t="str">
        <f>IF(ScoPo!K54=1,0,IF(ScoPo!K54=2,ScoPo!O54," "))</f>
        <v xml:space="preserve"> </v>
      </c>
      <c r="K255" s="22"/>
      <c r="N255" s="22"/>
      <c r="O255" s="22"/>
      <c r="P255" s="22"/>
      <c r="Q255" s="22"/>
      <c r="R255" s="22"/>
      <c r="S255" s="22"/>
      <c r="Z255" s="53"/>
      <c r="AA255"/>
      <c r="AH255" t="str">
        <f t="shared" si="43"/>
        <v>k yet</v>
      </c>
    </row>
    <row r="256" spans="1:39">
      <c r="A256" s="42" t="s">
        <v>248</v>
      </c>
      <c r="B256" s="1" t="s">
        <v>20</v>
      </c>
      <c r="C256" s="40" t="str">
        <f t="shared" si="40"/>
        <v>03-&gt;</v>
      </c>
      <c r="D256" s="40" t="str">
        <f t="shared" si="41"/>
        <v xml:space="preserve">No pick yet                                                 </v>
      </c>
      <c r="E256" s="52">
        <f t="shared" si="42"/>
        <v>0</v>
      </c>
      <c r="F256" s="18"/>
      <c r="G256" s="13">
        <f t="shared" si="24"/>
        <v>0</v>
      </c>
      <c r="H256" s="13" t="e">
        <f>LEFT(VLOOKUP(ScoPo!T55,ScoPo!$G$150:$J$277,4,0),FIND(",",VLOOKUP(ScoPo!T55,ScoPo!$G$150:$J$277,4,0))-1)&amp;" "&amp;$AH$65&amp;" "&amp;LEFT(VLOOKUP(ScoPo!S55,ScoPo!$G$150:$J$277,4,0),FIND(",",VLOOKUP(ScoPo!S55,ScoPo!$G$150:$J$277,4,0))-1)</f>
        <v>#N/A</v>
      </c>
      <c r="I256" s="13" t="str">
        <f>IF(ScoPo!K55=1,0,IF(ScoPo!K55=2,ScoPo!O55," "))</f>
        <v xml:space="preserve"> </v>
      </c>
      <c r="L256" s="21"/>
      <c r="N256" s="22"/>
      <c r="O256" s="22"/>
      <c r="P256" s="18"/>
      <c r="Q256" s="22"/>
      <c r="R256" s="22"/>
      <c r="S256" s="22"/>
      <c r="Z256" s="53"/>
      <c r="AA256"/>
      <c r="AH256" t="str">
        <f t="shared" si="43"/>
        <v>k yet</v>
      </c>
    </row>
    <row r="257" spans="1:34">
      <c r="A257" s="42" t="s">
        <v>249</v>
      </c>
      <c r="B257" s="1" t="s">
        <v>20</v>
      </c>
      <c r="C257" s="40" t="str">
        <f t="shared" si="40"/>
        <v>04-&gt;</v>
      </c>
      <c r="D257" s="40" t="str">
        <f t="shared" si="41"/>
        <v xml:space="preserve">No pick yet                                                 </v>
      </c>
      <c r="E257" s="52">
        <f t="shared" si="42"/>
        <v>0</v>
      </c>
      <c r="F257" s="18"/>
      <c r="G257" s="13">
        <f t="shared" si="24"/>
        <v>0</v>
      </c>
      <c r="H257" s="13" t="e">
        <f>LEFT(VLOOKUP(ScoPo!T56,ScoPo!$G$150:$J$277,4,0),FIND(",",VLOOKUP(ScoPo!T56,ScoPo!$G$150:$J$277,4,0))-1)&amp;" "&amp;$AH$65&amp;" "&amp;LEFT(VLOOKUP(ScoPo!S56,ScoPo!$G$150:$J$277,4,0),FIND(",",VLOOKUP(ScoPo!S56,ScoPo!$G$150:$J$277,4,0))-1)</f>
        <v>#N/A</v>
      </c>
      <c r="I257" s="13" t="str">
        <f>IF(ScoPo!K56=1,0,IF(ScoPo!K56=2,ScoPo!O56," "))</f>
        <v xml:space="preserve"> </v>
      </c>
      <c r="M257" s="18"/>
      <c r="N257" s="18"/>
      <c r="O257" s="18"/>
      <c r="P257" s="18"/>
      <c r="Q257" s="22"/>
      <c r="R257" s="21"/>
      <c r="S257" s="21"/>
      <c r="T257" s="21"/>
      <c r="AA257"/>
      <c r="AH257" t="str">
        <f t="shared" si="43"/>
        <v>k yet</v>
      </c>
    </row>
    <row r="258" spans="1:34">
      <c r="A258" s="42" t="s">
        <v>250</v>
      </c>
      <c r="B258" s="1" t="s">
        <v>20</v>
      </c>
      <c r="C258" s="40" t="str">
        <f t="shared" si="40"/>
        <v>05-&gt;</v>
      </c>
      <c r="D258" s="40" t="str">
        <f t="shared" si="41"/>
        <v xml:space="preserve">No pick yet                                                 </v>
      </c>
      <c r="E258" s="52">
        <f t="shared" si="42"/>
        <v>0</v>
      </c>
      <c r="F258" s="18"/>
      <c r="G258" s="13">
        <f t="shared" si="24"/>
        <v>0</v>
      </c>
      <c r="H258" s="13" t="e">
        <f>LEFT(VLOOKUP(ScoPo!T57,ScoPo!$G$150:$J$277,4,0),FIND(",",VLOOKUP(ScoPo!T57,ScoPo!$G$150:$J$277,4,0))-1)&amp;" "&amp;$AH$65&amp;" "&amp;LEFT(VLOOKUP(ScoPo!S57,ScoPo!$G$150:$J$277,4,0),FIND(",",VLOOKUP(ScoPo!S57,ScoPo!$G$150:$J$277,4,0))-1)</f>
        <v>#N/A</v>
      </c>
      <c r="I258" s="13" t="str">
        <f>IF(ScoPo!K57=1,0,IF(ScoPo!K57=2,ScoPo!O57," "))</f>
        <v xml:space="preserve"> </v>
      </c>
      <c r="M258" s="18"/>
      <c r="N258" s="18"/>
      <c r="O258" s="18"/>
      <c r="P258" s="18"/>
      <c r="Q258" s="22"/>
      <c r="R258" s="21"/>
      <c r="S258" s="21"/>
      <c r="T258" s="21"/>
      <c r="AA258"/>
      <c r="AH258" t="str">
        <f t="shared" si="43"/>
        <v>k yet</v>
      </c>
    </row>
    <row r="259" spans="1:34">
      <c r="A259" s="42" t="s">
        <v>251</v>
      </c>
      <c r="B259" s="1" t="s">
        <v>20</v>
      </c>
      <c r="C259" s="40" t="str">
        <f t="shared" si="40"/>
        <v>06-&gt;</v>
      </c>
      <c r="D259" s="40" t="str">
        <f t="shared" si="41"/>
        <v xml:space="preserve">No pick yet                                                 </v>
      </c>
      <c r="E259" s="52">
        <f t="shared" si="42"/>
        <v>0</v>
      </c>
      <c r="F259" s="18"/>
      <c r="G259" s="13">
        <f t="shared" si="24"/>
        <v>0</v>
      </c>
      <c r="H259" s="13" t="e">
        <f>LEFT(VLOOKUP(ScoPo!T58,ScoPo!$G$150:$J$277,4,0),FIND(",",VLOOKUP(ScoPo!T58,ScoPo!$G$150:$J$277,4,0))-1)&amp;" "&amp;$AH$65&amp;" "&amp;LEFT(VLOOKUP(ScoPo!S58,ScoPo!$G$150:$J$277,4,0),FIND(",",VLOOKUP(ScoPo!S58,ScoPo!$G$150:$J$277,4,0))-1)</f>
        <v>#N/A</v>
      </c>
      <c r="I259" s="13" t="str">
        <f>IF(ScoPo!K58=1,0,IF(ScoPo!K58=2,ScoPo!O58," "))</f>
        <v xml:space="preserve"> </v>
      </c>
      <c r="M259" s="18"/>
      <c r="N259" s="18"/>
      <c r="O259" s="18"/>
      <c r="P259" s="18"/>
      <c r="Q259" s="22"/>
      <c r="R259" s="21"/>
      <c r="S259" s="21"/>
      <c r="T259" s="21"/>
      <c r="AA259"/>
      <c r="AH259" t="str">
        <f t="shared" si="43"/>
        <v>k yet</v>
      </c>
    </row>
    <row r="260" spans="1:34">
      <c r="A260" s="42" t="s">
        <v>252</v>
      </c>
      <c r="B260" s="1" t="s">
        <v>20</v>
      </c>
      <c r="C260" s="40" t="str">
        <f t="shared" si="40"/>
        <v>07-&gt;</v>
      </c>
      <c r="D260" s="40" t="str">
        <f t="shared" si="41"/>
        <v xml:space="preserve">No pick yet                                                 </v>
      </c>
      <c r="E260" s="52">
        <f t="shared" si="42"/>
        <v>0</v>
      </c>
      <c r="F260" s="18"/>
      <c r="G260" s="13">
        <f t="shared" si="24"/>
        <v>0</v>
      </c>
      <c r="H260" s="13" t="e">
        <f>LEFT(VLOOKUP(ScoPo!T59,ScoPo!$G$150:$J$277,4,0),FIND(",",VLOOKUP(ScoPo!T59,ScoPo!$G$150:$J$277,4,0))-1)&amp;" "&amp;$AH$65&amp;" "&amp;LEFT(VLOOKUP(ScoPo!S59,ScoPo!$G$150:$J$277,4,0),FIND(",",VLOOKUP(ScoPo!S59,ScoPo!$G$150:$J$277,4,0))-1)</f>
        <v>#N/A</v>
      </c>
      <c r="I260" s="13" t="str">
        <f>IF(ScoPo!K59=1,0,IF(ScoPo!K59=2,ScoPo!O59," "))</f>
        <v xml:space="preserve"> </v>
      </c>
      <c r="M260" s="18"/>
      <c r="N260" s="18"/>
      <c r="O260" s="18"/>
      <c r="P260" s="18"/>
      <c r="Q260" s="22"/>
      <c r="R260" s="21"/>
      <c r="S260" s="21"/>
      <c r="T260" s="21"/>
      <c r="AA260"/>
      <c r="AH260" t="str">
        <f t="shared" si="43"/>
        <v>k yet</v>
      </c>
    </row>
    <row r="261" spans="1:34">
      <c r="A261" s="42" t="s">
        <v>253</v>
      </c>
      <c r="B261" s="1" t="s">
        <v>20</v>
      </c>
      <c r="C261" s="40" t="str">
        <f t="shared" si="40"/>
        <v>08-&gt;</v>
      </c>
      <c r="D261" s="40" t="str">
        <f t="shared" si="41"/>
        <v xml:space="preserve">No pick yet                                                 </v>
      </c>
      <c r="E261" s="52">
        <f t="shared" si="42"/>
        <v>0</v>
      </c>
      <c r="F261" s="18"/>
      <c r="G261" s="13">
        <f t="shared" si="24"/>
        <v>0</v>
      </c>
      <c r="H261" s="13" t="e">
        <f>LEFT(VLOOKUP(ScoPo!T60,ScoPo!$G$150:$J$277,4,0),FIND(",",VLOOKUP(ScoPo!T60,ScoPo!$G$150:$J$277,4,0))-1)&amp;" "&amp;$AH$65&amp;" "&amp;LEFT(VLOOKUP(ScoPo!S60,ScoPo!$G$150:$J$277,4,0),FIND(",",VLOOKUP(ScoPo!S60,ScoPo!$G$150:$J$277,4,0))-1)</f>
        <v>#N/A</v>
      </c>
      <c r="I261" s="13" t="str">
        <f>IF(ScoPo!K60=1,0,IF(ScoPo!K60=2,ScoPo!O60," "))</f>
        <v xml:space="preserve"> </v>
      </c>
      <c r="M261" s="18"/>
      <c r="N261" s="18"/>
      <c r="O261" s="18"/>
      <c r="P261" s="18"/>
      <c r="Q261" s="22"/>
      <c r="R261" s="21"/>
      <c r="S261" s="21"/>
      <c r="T261" s="21"/>
      <c r="AA261"/>
      <c r="AH261" t="str">
        <f t="shared" si="43"/>
        <v>k yet</v>
      </c>
    </row>
    <row r="262" spans="1:34">
      <c r="A262" s="42" t="s">
        <v>254</v>
      </c>
      <c r="B262" s="1" t="s">
        <v>20</v>
      </c>
      <c r="C262" s="40" t="str">
        <f t="shared" si="40"/>
        <v>09-&gt;</v>
      </c>
      <c r="D262" s="40" t="str">
        <f t="shared" si="41"/>
        <v xml:space="preserve">No pick yet                                                 </v>
      </c>
      <c r="E262" s="52">
        <f t="shared" si="42"/>
        <v>0</v>
      </c>
      <c r="F262" s="18"/>
      <c r="G262" s="13">
        <f t="shared" si="24"/>
        <v>0</v>
      </c>
      <c r="H262" s="13" t="e">
        <f>LEFT(VLOOKUP(ScoPo!T61,ScoPo!$G$150:$J$277,4,0),FIND(",",VLOOKUP(ScoPo!T61,ScoPo!$G$150:$J$277,4,0))-1)&amp;" "&amp;$AH$65&amp;" "&amp;LEFT(VLOOKUP(ScoPo!S61,ScoPo!$G$150:$J$277,4,0),FIND(",",VLOOKUP(ScoPo!S61,ScoPo!$G$150:$J$277,4,0))-1)</f>
        <v>#N/A</v>
      </c>
      <c r="I262" s="13" t="str">
        <f>IF(ScoPo!K61=1,0,IF(ScoPo!K61=2,ScoPo!O61," "))</f>
        <v xml:space="preserve"> </v>
      </c>
      <c r="M262" s="18"/>
      <c r="N262" s="18"/>
      <c r="O262" s="18"/>
      <c r="P262" s="18"/>
      <c r="Q262" s="22"/>
      <c r="R262" s="21"/>
      <c r="S262" s="21"/>
      <c r="T262" s="21"/>
      <c r="AA262"/>
      <c r="AH262" t="str">
        <f t="shared" si="43"/>
        <v>k yet</v>
      </c>
    </row>
    <row r="263" spans="1:34">
      <c r="A263" s="42" t="s">
        <v>255</v>
      </c>
      <c r="B263" s="1" t="s">
        <v>20</v>
      </c>
      <c r="C263" s="40" t="str">
        <f t="shared" si="40"/>
        <v>10-&gt;</v>
      </c>
      <c r="D263" s="40" t="str">
        <f t="shared" si="41"/>
        <v xml:space="preserve">No pick yet                                                 </v>
      </c>
      <c r="E263" s="52">
        <f t="shared" si="42"/>
        <v>0</v>
      </c>
      <c r="F263" s="22"/>
      <c r="G263" s="13">
        <f t="shared" si="24"/>
        <v>0</v>
      </c>
      <c r="H263" s="13" t="e">
        <f>LEFT(VLOOKUP(ScoPo!T62,ScoPo!$G$150:$J$277,4,0),FIND(",",VLOOKUP(ScoPo!T62,ScoPo!$G$150:$J$277,4,0))-1)&amp;" "&amp;$AH$65&amp;" "&amp;LEFT(VLOOKUP(ScoPo!S62,ScoPo!$G$150:$J$277,4,0),FIND(",",VLOOKUP(ScoPo!S62,ScoPo!$G$150:$J$277,4,0))-1)</f>
        <v>#N/A</v>
      </c>
      <c r="I263" s="13" t="str">
        <f>IF(ScoPo!K62=1,0,IF(ScoPo!K62=2,ScoPo!O62," "))</f>
        <v xml:space="preserve"> </v>
      </c>
      <c r="J263" s="22"/>
      <c r="M263" s="18"/>
      <c r="N263" s="18"/>
      <c r="O263" s="18"/>
      <c r="P263" s="18"/>
      <c r="Q263" s="22"/>
      <c r="R263" s="21"/>
      <c r="S263" s="21"/>
      <c r="T263" s="21"/>
      <c r="AA263"/>
      <c r="AH263" t="str">
        <f t="shared" si="43"/>
        <v>k yet</v>
      </c>
    </row>
    <row r="264" spans="1:34">
      <c r="A264" s="42" t="s">
        <v>256</v>
      </c>
      <c r="B264" s="1" t="s">
        <v>20</v>
      </c>
      <c r="C264" s="40" t="str">
        <f t="shared" si="40"/>
        <v>11-&gt;</v>
      </c>
      <c r="D264" s="40" t="str">
        <f t="shared" si="41"/>
        <v xml:space="preserve">No pick yet                                                 </v>
      </c>
      <c r="E264" s="52">
        <f t="shared" si="42"/>
        <v>0</v>
      </c>
      <c r="G264" s="13">
        <f t="shared" si="24"/>
        <v>0</v>
      </c>
      <c r="H264" s="13" t="e">
        <f>LEFT(VLOOKUP(ScoPo!T63,ScoPo!$G$150:$J$277,4,0),FIND(",",VLOOKUP(ScoPo!T63,ScoPo!$G$150:$J$277,4,0))-1)&amp;" "&amp;$AH$65&amp;" "&amp;LEFT(VLOOKUP(ScoPo!S63,ScoPo!$G$150:$J$277,4,0),FIND(",",VLOOKUP(ScoPo!S63,ScoPo!$G$150:$J$277,4,0))-1)</f>
        <v>#N/A</v>
      </c>
      <c r="I264" s="13" t="str">
        <f>IF(ScoPo!K63=1,0,IF(ScoPo!K63=2,ScoPo!O63," "))</f>
        <v xml:space="preserve"> </v>
      </c>
      <c r="J264" s="22"/>
      <c r="M264" s="18"/>
      <c r="N264" s="18"/>
      <c r="O264" s="18"/>
      <c r="P264" s="18"/>
      <c r="Q264" s="22"/>
      <c r="R264" s="21"/>
      <c r="S264" s="21"/>
      <c r="T264" s="21"/>
      <c r="AA264"/>
      <c r="AH264" t="str">
        <f t="shared" si="43"/>
        <v>k yet</v>
      </c>
    </row>
    <row r="265" spans="1:34">
      <c r="A265" s="42" t="s">
        <v>257</v>
      </c>
      <c r="B265" s="1" t="s">
        <v>20</v>
      </c>
      <c r="C265" s="40" t="str">
        <f t="shared" si="40"/>
        <v>12-&gt;</v>
      </c>
      <c r="D265" s="40" t="str">
        <f t="shared" si="41"/>
        <v xml:space="preserve">No pick yet                                                 </v>
      </c>
      <c r="E265" s="52">
        <f t="shared" si="42"/>
        <v>0</v>
      </c>
      <c r="G265" s="13">
        <f t="shared" si="24"/>
        <v>0</v>
      </c>
      <c r="H265" s="13" t="e">
        <f>LEFT(VLOOKUP(ScoPo!T64,ScoPo!$G$150:$J$277,4,0),FIND(",",VLOOKUP(ScoPo!T64,ScoPo!$G$150:$J$277,4,0))-1)&amp;" "&amp;$AH$65&amp;" "&amp;LEFT(VLOOKUP(ScoPo!S64,ScoPo!$G$150:$J$277,4,0),FIND(",",VLOOKUP(ScoPo!S64,ScoPo!$G$150:$J$277,4,0))-1)</f>
        <v>#N/A</v>
      </c>
      <c r="I265" s="13" t="str">
        <f>IF(ScoPo!K64=1,0,IF(ScoPo!K64=2,ScoPo!O64," "))</f>
        <v xml:space="preserve"> </v>
      </c>
      <c r="M265" s="18"/>
      <c r="N265" s="18"/>
      <c r="O265" s="18"/>
      <c r="P265" s="18"/>
      <c r="Q265" s="22"/>
      <c r="R265" s="21"/>
      <c r="S265" s="21"/>
      <c r="T265" s="21"/>
      <c r="AA265"/>
      <c r="AH265" t="str">
        <f t="shared" si="43"/>
        <v>k yet</v>
      </c>
    </row>
    <row r="266" spans="1:34">
      <c r="A266" s="42" t="s">
        <v>258</v>
      </c>
      <c r="B266" s="1" t="s">
        <v>20</v>
      </c>
      <c r="C266" s="40" t="str">
        <f t="shared" si="40"/>
        <v>13-&gt;</v>
      </c>
      <c r="D266" s="40" t="str">
        <f t="shared" si="41"/>
        <v xml:space="preserve">No pick yet                                                 </v>
      </c>
      <c r="E266" s="52">
        <f t="shared" si="42"/>
        <v>0</v>
      </c>
      <c r="G266" s="13">
        <f t="shared" si="24"/>
        <v>0</v>
      </c>
      <c r="H266" s="13" t="e">
        <f>LEFT(VLOOKUP(ScoPo!T65,ScoPo!$G$150:$J$277,4,0),FIND(",",VLOOKUP(ScoPo!T65,ScoPo!$G$150:$J$277,4,0))-1)&amp;" "&amp;$AH$65&amp;" "&amp;LEFT(VLOOKUP(ScoPo!S65,ScoPo!$G$150:$J$277,4,0),FIND(",",VLOOKUP(ScoPo!S65,ScoPo!$G$150:$J$277,4,0))-1)</f>
        <v>#N/A</v>
      </c>
      <c r="I266" s="13" t="str">
        <f>IF(ScoPo!K65=1,0,IF(ScoPo!K65=2,ScoPo!O65," "))</f>
        <v xml:space="preserve"> </v>
      </c>
      <c r="M266" s="18"/>
      <c r="N266" s="18"/>
      <c r="O266" s="18"/>
      <c r="P266" s="18"/>
      <c r="Q266" s="22"/>
      <c r="R266" s="21"/>
      <c r="S266" s="21"/>
      <c r="T266" s="21"/>
      <c r="AA266"/>
      <c r="AH266" t="str">
        <f t="shared" si="43"/>
        <v>k yet</v>
      </c>
    </row>
    <row r="267" spans="1:34">
      <c r="A267" s="42" t="s">
        <v>259</v>
      </c>
      <c r="B267" s="1" t="s">
        <v>20</v>
      </c>
      <c r="C267" s="40" t="str">
        <f t="shared" si="40"/>
        <v>14-&gt;</v>
      </c>
      <c r="D267" s="40" t="str">
        <f t="shared" si="41"/>
        <v xml:space="preserve">No pick yet                                                 </v>
      </c>
      <c r="E267" s="52">
        <f t="shared" si="42"/>
        <v>0</v>
      </c>
      <c r="G267" s="13">
        <f t="shared" si="24"/>
        <v>0</v>
      </c>
      <c r="H267" s="13" t="e">
        <f>LEFT(VLOOKUP(ScoPo!T66,ScoPo!$G$150:$J$277,4,0),FIND(",",VLOOKUP(ScoPo!T66,ScoPo!$G$150:$J$277,4,0))-1)&amp;" "&amp;$AH$65&amp;" "&amp;LEFT(VLOOKUP(ScoPo!S66,ScoPo!$G$150:$J$277,4,0),FIND(",",VLOOKUP(ScoPo!S66,ScoPo!$G$150:$J$277,4,0))-1)</f>
        <v>#N/A</v>
      </c>
      <c r="I267" s="13" t="str">
        <f>IF(ScoPo!K66=1,0,IF(ScoPo!K66=2,ScoPo!O66," "))</f>
        <v xml:space="preserve"> </v>
      </c>
      <c r="M267" s="18"/>
      <c r="N267" s="18"/>
      <c r="O267" s="18"/>
      <c r="P267" s="18"/>
      <c r="Q267" s="22"/>
      <c r="R267" s="21"/>
      <c r="S267" s="21"/>
      <c r="T267" s="21"/>
      <c r="AA267"/>
      <c r="AH267" t="str">
        <f t="shared" si="43"/>
        <v>k yet</v>
      </c>
    </row>
    <row r="268" spans="1:34">
      <c r="A268" s="42" t="s">
        <v>260</v>
      </c>
      <c r="B268" s="1" t="s">
        <v>20</v>
      </c>
      <c r="C268" s="40" t="str">
        <f t="shared" si="40"/>
        <v>15-&gt;</v>
      </c>
      <c r="D268" s="40" t="str">
        <f t="shared" si="41"/>
        <v xml:space="preserve">No pick yet                                                 </v>
      </c>
      <c r="E268" s="52">
        <f t="shared" si="42"/>
        <v>0</v>
      </c>
      <c r="G268" s="13">
        <f t="shared" si="24"/>
        <v>0</v>
      </c>
      <c r="H268" s="13" t="e">
        <f>LEFT(VLOOKUP(ScoPo!T67,ScoPo!$G$150:$J$277,4,0),FIND(",",VLOOKUP(ScoPo!T67,ScoPo!$G$150:$J$277,4,0))-1)&amp;" "&amp;$AH$65&amp;" "&amp;LEFT(VLOOKUP(ScoPo!S67,ScoPo!$G$150:$J$277,4,0),FIND(",",VLOOKUP(ScoPo!S67,ScoPo!$G$150:$J$277,4,0))-1)</f>
        <v>#N/A</v>
      </c>
      <c r="I268" s="13" t="str">
        <f>IF(ScoPo!K67=1,0,IF(ScoPo!K67=2,ScoPo!O67," "))</f>
        <v xml:space="preserve"> </v>
      </c>
      <c r="M268" s="18"/>
      <c r="N268" s="18"/>
      <c r="O268" s="18"/>
      <c r="P268" s="18"/>
      <c r="Q268" s="22"/>
      <c r="R268" s="21"/>
      <c r="S268" s="21"/>
      <c r="T268" s="21"/>
      <c r="AA268"/>
      <c r="AH268" t="str">
        <f t="shared" si="43"/>
        <v>k yet</v>
      </c>
    </row>
    <row r="269" spans="1:34">
      <c r="A269" s="42" t="s">
        <v>261</v>
      </c>
      <c r="B269" s="1" t="s">
        <v>20</v>
      </c>
      <c r="C269" s="40" t="str">
        <f t="shared" si="40"/>
        <v>16-&gt;</v>
      </c>
      <c r="D269" s="40" t="str">
        <f t="shared" si="41"/>
        <v xml:space="preserve">No pick yet                                                 </v>
      </c>
      <c r="E269" s="52">
        <f t="shared" si="42"/>
        <v>0</v>
      </c>
      <c r="H269" s="9" t="s">
        <v>63</v>
      </c>
      <c r="I269" s="45"/>
      <c r="M269" s="18"/>
      <c r="N269" s="18"/>
      <c r="O269" s="18"/>
      <c r="P269" s="18"/>
      <c r="Q269" s="22"/>
      <c r="R269" s="21"/>
      <c r="S269" s="21"/>
      <c r="T269" s="21"/>
      <c r="AA269"/>
      <c r="AH269" t="str">
        <f t="shared" si="43"/>
        <v>k yet</v>
      </c>
    </row>
    <row r="270" spans="1:34">
      <c r="A270" s="42" t="s">
        <v>262</v>
      </c>
      <c r="B270" s="1" t="s">
        <v>20</v>
      </c>
      <c r="C270" s="40" t="str">
        <f t="shared" si="40"/>
        <v>17-&gt;</v>
      </c>
      <c r="D270" s="40" t="str">
        <f t="shared" si="41"/>
        <v xml:space="preserve">No pick yet                                                 </v>
      </c>
      <c r="E270" s="52">
        <f t="shared" si="42"/>
        <v>0</v>
      </c>
      <c r="G270" s="13">
        <f t="shared" ref="G270:G333" si="44">COUNTIF($AH$142:$AH$3800,"="&amp;H270)</f>
        <v>0</v>
      </c>
      <c r="H270" s="13" t="e">
        <f>LEFT(VLOOKUP(ScoPo!S70,ScoPo!$G$150:$J$277,4,0),FIND(",",VLOOKUP(ScoPo!S70,ScoPo!$G$150:$J$277,4,0))-1)&amp;" "&amp;$AH$65&amp;" "&amp;LEFT(VLOOKUP(ScoPo!T70,ScoPo!$G$150:$J$277,4,0),FIND(",",VLOOKUP(ScoPo!T70,ScoPo!$G$150:$J$277,4,0))-1)</f>
        <v>#N/A</v>
      </c>
      <c r="I270" s="13" t="str">
        <f>IF(ScoPo!K70=1,ScoPo!N70,IF(ScoPo!K70=2,0," "))</f>
        <v xml:space="preserve"> </v>
      </c>
      <c r="K270" s="22"/>
      <c r="N270" s="22"/>
      <c r="O270" s="22"/>
      <c r="P270" s="22"/>
      <c r="Q270" s="22"/>
      <c r="R270" s="22"/>
      <c r="S270" s="22"/>
      <c r="Z270" s="53"/>
      <c r="AA270"/>
      <c r="AH270" t="str">
        <f t="shared" si="43"/>
        <v>k yet</v>
      </c>
    </row>
    <row r="271" spans="1:34">
      <c r="A271" s="42" t="s">
        <v>263</v>
      </c>
      <c r="B271" s="1" t="s">
        <v>20</v>
      </c>
      <c r="C271" s="40" t="str">
        <f t="shared" si="40"/>
        <v>18-&gt;</v>
      </c>
      <c r="D271" s="40" t="str">
        <f t="shared" si="41"/>
        <v xml:space="preserve">No pick yet                                                 </v>
      </c>
      <c r="E271" s="52">
        <f t="shared" si="42"/>
        <v>0</v>
      </c>
      <c r="F271" s="18"/>
      <c r="G271" s="13">
        <f t="shared" si="44"/>
        <v>0</v>
      </c>
      <c r="H271" s="13" t="e">
        <f>LEFT(VLOOKUP(ScoPo!S71,ScoPo!$G$150:$J$277,4,0),FIND(",",VLOOKUP(ScoPo!S71,ScoPo!$G$150:$J$277,4,0))-1)&amp;" "&amp;$AH$65&amp;" "&amp;LEFT(VLOOKUP(ScoPo!T71,ScoPo!$G$150:$J$277,4,0),FIND(",",VLOOKUP(ScoPo!T71,ScoPo!$G$150:$J$277,4,0))-1)</f>
        <v>#N/A</v>
      </c>
      <c r="I271" s="13" t="str">
        <f>IF(ScoPo!K71=1,ScoPo!N71,IF(ScoPo!K71=2,0," "))</f>
        <v xml:space="preserve"> </v>
      </c>
      <c r="L271" s="21"/>
      <c r="N271" s="22"/>
      <c r="O271" s="22"/>
      <c r="P271" s="18"/>
      <c r="Q271" s="22"/>
      <c r="R271" s="22"/>
      <c r="S271" s="22"/>
      <c r="Z271" s="53"/>
      <c r="AA271"/>
      <c r="AH271" t="str">
        <f t="shared" si="43"/>
        <v>k yet</v>
      </c>
    </row>
    <row r="272" spans="1:34">
      <c r="A272" s="42" t="s">
        <v>264</v>
      </c>
      <c r="B272" s="1" t="s">
        <v>20</v>
      </c>
      <c r="C272" s="40" t="str">
        <f t="shared" si="40"/>
        <v>19-&gt;</v>
      </c>
      <c r="D272" s="40" t="str">
        <f t="shared" si="41"/>
        <v xml:space="preserve">No pick yet                                                 </v>
      </c>
      <c r="E272" s="52">
        <f t="shared" si="42"/>
        <v>0</v>
      </c>
      <c r="F272" s="18"/>
      <c r="G272" s="13">
        <f t="shared" si="44"/>
        <v>0</v>
      </c>
      <c r="H272" s="13" t="e">
        <f>LEFT(VLOOKUP(ScoPo!S72,ScoPo!$G$150:$J$277,4,0),FIND(",",VLOOKUP(ScoPo!S72,ScoPo!$G$150:$J$277,4,0))-1)&amp;" "&amp;$AH$65&amp;" "&amp;LEFT(VLOOKUP(ScoPo!T72,ScoPo!$G$150:$J$277,4,0),FIND(",",VLOOKUP(ScoPo!T72,ScoPo!$G$150:$J$277,4,0))-1)</f>
        <v>#N/A</v>
      </c>
      <c r="I272" s="13" t="str">
        <f>IF(ScoPo!K72=1,ScoPo!N72,IF(ScoPo!K72=2,0," "))</f>
        <v xml:space="preserve"> </v>
      </c>
      <c r="M272" s="18"/>
      <c r="N272" s="18"/>
      <c r="O272" s="18"/>
      <c r="P272" s="18"/>
      <c r="Q272" s="22"/>
      <c r="R272" s="21"/>
      <c r="S272" s="21"/>
      <c r="T272" s="21"/>
      <c r="AA272"/>
      <c r="AH272" t="str">
        <f t="shared" si="43"/>
        <v>k yet</v>
      </c>
    </row>
    <row r="273" spans="1:39">
      <c r="A273" s="42" t="s">
        <v>265</v>
      </c>
      <c r="B273" s="1" t="s">
        <v>20</v>
      </c>
      <c r="C273" s="40" t="str">
        <f t="shared" si="40"/>
        <v>20-&gt;</v>
      </c>
      <c r="D273" s="40" t="str">
        <f t="shared" si="41"/>
        <v xml:space="preserve">No pick yet                                                 </v>
      </c>
      <c r="E273" s="52">
        <f t="shared" si="42"/>
        <v>0</v>
      </c>
      <c r="F273" s="18"/>
      <c r="G273" s="13">
        <f t="shared" si="44"/>
        <v>0</v>
      </c>
      <c r="H273" s="13" t="e">
        <f>LEFT(VLOOKUP(ScoPo!S73,ScoPo!$G$150:$J$277,4,0),FIND(",",VLOOKUP(ScoPo!S73,ScoPo!$G$150:$J$277,4,0))-1)&amp;" "&amp;$AH$65&amp;" "&amp;LEFT(VLOOKUP(ScoPo!T73,ScoPo!$G$150:$J$277,4,0),FIND(",",VLOOKUP(ScoPo!T73,ScoPo!$G$150:$J$277,4,0))-1)</f>
        <v>#N/A</v>
      </c>
      <c r="I273" s="13" t="str">
        <f>IF(ScoPo!K73=1,ScoPo!N73,IF(ScoPo!K73=2,0," "))</f>
        <v xml:space="preserve"> </v>
      </c>
      <c r="M273" s="18"/>
      <c r="N273" s="18"/>
      <c r="O273" s="18"/>
      <c r="P273" s="18"/>
      <c r="Q273" s="22"/>
      <c r="R273" s="21"/>
      <c r="S273" s="21"/>
      <c r="T273" s="21"/>
      <c r="AA273"/>
      <c r="AH273" t="str">
        <f t="shared" si="43"/>
        <v>k yet</v>
      </c>
    </row>
    <row r="274" spans="1:39">
      <c r="A274" s="42" t="s">
        <v>266</v>
      </c>
      <c r="B274" s="1" t="s">
        <v>20</v>
      </c>
      <c r="C274" s="40" t="str">
        <f t="shared" si="40"/>
        <v>21-&gt;</v>
      </c>
      <c r="D274" s="40" t="str">
        <f t="shared" si="41"/>
        <v xml:space="preserve">No pick yet                                                 </v>
      </c>
      <c r="E274" s="52">
        <f t="shared" si="42"/>
        <v>0</v>
      </c>
      <c r="F274" s="18"/>
      <c r="G274" s="13">
        <f t="shared" si="44"/>
        <v>0</v>
      </c>
      <c r="H274" s="13" t="e">
        <f>LEFT(VLOOKUP(ScoPo!S74,ScoPo!$G$150:$J$277,4,0),FIND(",",VLOOKUP(ScoPo!S74,ScoPo!$G$150:$J$277,4,0))-1)&amp;" "&amp;$AH$65&amp;" "&amp;LEFT(VLOOKUP(ScoPo!T74,ScoPo!$G$150:$J$277,4,0),FIND(",",VLOOKUP(ScoPo!T74,ScoPo!$G$150:$J$277,4,0))-1)</f>
        <v>#N/A</v>
      </c>
      <c r="I274" s="13" t="str">
        <f>IF(ScoPo!K74=1,ScoPo!N74,IF(ScoPo!K74=2,0," "))</f>
        <v xml:space="preserve"> </v>
      </c>
      <c r="M274" s="18"/>
      <c r="N274" s="18"/>
      <c r="O274" s="18"/>
      <c r="P274" s="18"/>
      <c r="Q274" s="22"/>
      <c r="R274" s="21"/>
      <c r="S274" s="21"/>
      <c r="T274" s="21"/>
      <c r="AA274"/>
      <c r="AH274" t="str">
        <f t="shared" si="43"/>
        <v>k yet</v>
      </c>
    </row>
    <row r="275" spans="1:39">
      <c r="A275" s="42" t="s">
        <v>267</v>
      </c>
      <c r="B275" s="1" t="s">
        <v>20</v>
      </c>
      <c r="C275" s="40" t="str">
        <f t="shared" si="40"/>
        <v>22-&gt;</v>
      </c>
      <c r="D275" s="40" t="str">
        <f t="shared" si="41"/>
        <v xml:space="preserve">No pick yet                                                 </v>
      </c>
      <c r="E275" s="52">
        <f t="shared" si="42"/>
        <v>0</v>
      </c>
      <c r="F275" s="18"/>
      <c r="G275" s="13">
        <f t="shared" si="44"/>
        <v>0</v>
      </c>
      <c r="H275" s="13" t="e">
        <f>LEFT(VLOOKUP(ScoPo!S75,ScoPo!$G$150:$J$277,4,0),FIND(",",VLOOKUP(ScoPo!S75,ScoPo!$G$150:$J$277,4,0))-1)&amp;" "&amp;$AH$65&amp;" "&amp;LEFT(VLOOKUP(ScoPo!T75,ScoPo!$G$150:$J$277,4,0),FIND(",",VLOOKUP(ScoPo!T75,ScoPo!$G$150:$J$277,4,0))-1)</f>
        <v>#N/A</v>
      </c>
      <c r="I275" s="13" t="str">
        <f>IF(ScoPo!K75=1,ScoPo!N75,IF(ScoPo!K75=2,0," "))</f>
        <v xml:space="preserve"> </v>
      </c>
      <c r="M275" s="18"/>
      <c r="N275" s="18"/>
      <c r="O275" s="18"/>
      <c r="P275" s="18"/>
      <c r="Q275" s="22"/>
      <c r="R275" s="21"/>
      <c r="S275" s="21"/>
      <c r="T275" s="21"/>
      <c r="AA275"/>
      <c r="AH275" t="str">
        <f t="shared" si="43"/>
        <v>k yet</v>
      </c>
    </row>
    <row r="276" spans="1:39">
      <c r="A276" s="42" t="s">
        <v>268</v>
      </c>
      <c r="B276" s="1" t="s">
        <v>20</v>
      </c>
      <c r="C276" s="40" t="str">
        <f t="shared" si="40"/>
        <v>23-&gt;</v>
      </c>
      <c r="D276" s="40" t="str">
        <f t="shared" si="41"/>
        <v xml:space="preserve">No pick yet                                                 </v>
      </c>
      <c r="E276" s="52">
        <f t="shared" si="42"/>
        <v>0</v>
      </c>
      <c r="F276" s="18"/>
      <c r="G276" s="13">
        <f t="shared" si="44"/>
        <v>0</v>
      </c>
      <c r="H276" s="13" t="e">
        <f>LEFT(VLOOKUP(ScoPo!S76,ScoPo!$G$150:$J$277,4,0),FIND(",",VLOOKUP(ScoPo!S76,ScoPo!$G$150:$J$277,4,0))-1)&amp;" "&amp;$AH$65&amp;" "&amp;LEFT(VLOOKUP(ScoPo!T76,ScoPo!$G$150:$J$277,4,0),FIND(",",VLOOKUP(ScoPo!T76,ScoPo!$G$150:$J$277,4,0))-1)</f>
        <v>#N/A</v>
      </c>
      <c r="I276" s="13" t="str">
        <f>IF(ScoPo!K76=1,ScoPo!N76,IF(ScoPo!K76=2,0," "))</f>
        <v xml:space="preserve"> </v>
      </c>
      <c r="M276" s="18"/>
      <c r="N276" s="18"/>
      <c r="O276" s="18"/>
      <c r="P276" s="18"/>
      <c r="Q276" s="22"/>
      <c r="R276" s="21"/>
      <c r="S276" s="21"/>
      <c r="T276" s="21"/>
      <c r="AA276"/>
      <c r="AH276" t="str">
        <f t="shared" si="43"/>
        <v>k yet</v>
      </c>
    </row>
    <row r="277" spans="1:39">
      <c r="A277" s="42" t="s">
        <v>269</v>
      </c>
      <c r="B277" s="1" t="s">
        <v>20</v>
      </c>
      <c r="C277" s="40" t="str">
        <f t="shared" si="40"/>
        <v>24-&gt;</v>
      </c>
      <c r="D277" s="40" t="str">
        <f t="shared" si="41"/>
        <v xml:space="preserve">No pick yet                                                 </v>
      </c>
      <c r="E277" s="52">
        <f t="shared" si="42"/>
        <v>0</v>
      </c>
      <c r="F277" s="18"/>
      <c r="G277" s="13">
        <f t="shared" si="44"/>
        <v>0</v>
      </c>
      <c r="H277" s="13" t="e">
        <f>LEFT(VLOOKUP(ScoPo!S77,ScoPo!$G$150:$J$277,4,0),FIND(",",VLOOKUP(ScoPo!S77,ScoPo!$G$150:$J$277,4,0))-1)&amp;" "&amp;$AH$65&amp;" "&amp;LEFT(VLOOKUP(ScoPo!T77,ScoPo!$G$150:$J$277,4,0),FIND(",",VLOOKUP(ScoPo!T77,ScoPo!$G$150:$J$277,4,0))-1)</f>
        <v>#N/A</v>
      </c>
      <c r="I277" s="13" t="str">
        <f>IF(ScoPo!K77=1,ScoPo!N77,IF(ScoPo!K77=2,0," "))</f>
        <v xml:space="preserve"> </v>
      </c>
      <c r="M277" s="18"/>
      <c r="N277" s="18"/>
      <c r="O277" s="18"/>
      <c r="P277" s="18"/>
      <c r="Q277" s="22"/>
      <c r="R277" s="21"/>
      <c r="S277" s="21"/>
      <c r="T277" s="21"/>
      <c r="AA277"/>
      <c r="AH277" t="str">
        <f t="shared" si="43"/>
        <v>k yet</v>
      </c>
    </row>
    <row r="278" spans="1:39">
      <c r="A278" s="42" t="s">
        <v>270</v>
      </c>
      <c r="B278" s="1" t="s">
        <v>20</v>
      </c>
      <c r="C278" s="40" t="str">
        <f t="shared" si="40"/>
        <v>25-&gt;</v>
      </c>
      <c r="D278" s="40" t="str">
        <f t="shared" si="41"/>
        <v xml:space="preserve">No pick yet                                                 </v>
      </c>
      <c r="E278" s="52">
        <f t="shared" si="42"/>
        <v>0</v>
      </c>
      <c r="F278" s="18"/>
      <c r="G278" s="13">
        <f t="shared" si="44"/>
        <v>0</v>
      </c>
      <c r="H278" s="13" t="e">
        <f>LEFT(VLOOKUP(ScoPo!S78,ScoPo!$G$150:$J$277,4,0),FIND(",",VLOOKUP(ScoPo!S78,ScoPo!$G$150:$J$277,4,0))-1)&amp;" "&amp;$AH$65&amp;" "&amp;LEFT(VLOOKUP(ScoPo!T78,ScoPo!$G$150:$J$277,4,0),FIND(",",VLOOKUP(ScoPo!T78,ScoPo!$G$150:$J$277,4,0))-1)</f>
        <v>#N/A</v>
      </c>
      <c r="I278" s="13" t="str">
        <f>IF(ScoPo!K78=1,ScoPo!N78,IF(ScoPo!K78=2,0," "))</f>
        <v xml:space="preserve"> </v>
      </c>
      <c r="J278" s="22"/>
      <c r="M278" s="18"/>
      <c r="N278" s="18"/>
      <c r="O278" s="18"/>
      <c r="P278" s="18"/>
      <c r="Q278" s="22"/>
      <c r="R278" s="21"/>
      <c r="S278" s="21"/>
      <c r="T278" s="21"/>
      <c r="AA278"/>
      <c r="AH278" t="str">
        <f t="shared" si="43"/>
        <v>k yet</v>
      </c>
    </row>
    <row r="279" spans="1:39">
      <c r="A279" s="42" t="s">
        <v>271</v>
      </c>
      <c r="B279" s="1" t="s">
        <v>20</v>
      </c>
      <c r="C279" s="40" t="str">
        <f t="shared" si="40"/>
        <v>26-&gt;</v>
      </c>
      <c r="D279" s="40" t="str">
        <f t="shared" si="41"/>
        <v xml:space="preserve">No pick yet                                                 </v>
      </c>
      <c r="E279" s="52">
        <f t="shared" si="42"/>
        <v>0</v>
      </c>
      <c r="F279" s="18"/>
      <c r="G279" s="13">
        <f t="shared" si="44"/>
        <v>0</v>
      </c>
      <c r="H279" s="13" t="e">
        <f>LEFT(VLOOKUP(ScoPo!S79,ScoPo!$G$150:$J$277,4,0),FIND(",",VLOOKUP(ScoPo!S79,ScoPo!$G$150:$J$277,4,0))-1)&amp;" "&amp;$AH$65&amp;" "&amp;LEFT(VLOOKUP(ScoPo!T79,ScoPo!$G$150:$J$277,4,0),FIND(",",VLOOKUP(ScoPo!T79,ScoPo!$G$150:$J$277,4,0))-1)</f>
        <v>#N/A</v>
      </c>
      <c r="I279" s="13" t="str">
        <f>IF(ScoPo!K79=1,ScoPo!N79,IF(ScoPo!K79=2,0," "))</f>
        <v xml:space="preserve"> </v>
      </c>
      <c r="J279" s="22"/>
      <c r="M279" s="18"/>
      <c r="N279" s="18"/>
      <c r="O279" s="18"/>
      <c r="P279" s="18"/>
      <c r="Q279" s="22"/>
      <c r="R279" s="21"/>
      <c r="S279" s="21"/>
      <c r="T279" s="21"/>
      <c r="AA279"/>
      <c r="AH279" t="str">
        <f t="shared" si="43"/>
        <v>k yet</v>
      </c>
    </row>
    <row r="280" spans="1:39">
      <c r="A280" s="38"/>
      <c r="B280" s="40"/>
      <c r="C280" s="40"/>
      <c r="D280" s="49"/>
      <c r="E280" s="41" t="s">
        <v>69</v>
      </c>
      <c r="F280" s="18"/>
      <c r="G280" s="13">
        <f t="shared" si="44"/>
        <v>0</v>
      </c>
      <c r="H280" s="13" t="e">
        <f>LEFT(VLOOKUP(ScoPo!S80,ScoPo!$G$150:$J$277,4,0),FIND(",",VLOOKUP(ScoPo!S80,ScoPo!$G$150:$J$277,4,0))-1)&amp;" "&amp;$AH$65&amp;" "&amp;LEFT(VLOOKUP(ScoPo!T80,ScoPo!$G$150:$J$277,4,0),FIND(",",VLOOKUP(ScoPo!T80,ScoPo!$G$150:$J$277,4,0))-1)</f>
        <v>#N/A</v>
      </c>
      <c r="I280" s="13" t="str">
        <f>IF(ScoPo!K80=1,ScoPo!N80,IF(ScoPo!K80=2,0," "))</f>
        <v xml:space="preserve"> </v>
      </c>
      <c r="K280" s="22" t="s">
        <v>73</v>
      </c>
      <c r="L280" s="18" t="s">
        <v>74</v>
      </c>
      <c r="M280" s="22" t="s">
        <v>78</v>
      </c>
      <c r="N280" s="22" t="s">
        <v>79</v>
      </c>
      <c r="O280" s="22" t="s">
        <v>80</v>
      </c>
      <c r="P280" s="22" t="s">
        <v>81</v>
      </c>
      <c r="Q280" s="22" t="s">
        <v>82</v>
      </c>
      <c r="R280" s="22" t="s">
        <v>83</v>
      </c>
      <c r="S280" s="22" t="s">
        <v>84</v>
      </c>
      <c r="T280" s="18" t="s">
        <v>85</v>
      </c>
      <c r="U280" s="18" t="s">
        <v>86</v>
      </c>
      <c r="V280" s="18" t="s">
        <v>87</v>
      </c>
      <c r="W280" s="18" t="s">
        <v>88</v>
      </c>
      <c r="X280" s="18" t="s">
        <v>89</v>
      </c>
      <c r="Y280" s="18" t="s">
        <v>90</v>
      </c>
      <c r="Z280" s="18" t="s">
        <v>91</v>
      </c>
      <c r="AA280" s="18" t="s">
        <v>92</v>
      </c>
      <c r="AB280" s="18" t="s">
        <v>93</v>
      </c>
      <c r="AC280" s="18" t="s">
        <v>94</v>
      </c>
      <c r="AD280" s="18" t="s">
        <v>235</v>
      </c>
      <c r="AE280" s="18" t="s">
        <v>236</v>
      </c>
      <c r="AF280" s="18" t="s">
        <v>237</v>
      </c>
      <c r="AG280" s="18" t="s">
        <v>238</v>
      </c>
      <c r="AH280" s="18" t="s">
        <v>239</v>
      </c>
      <c r="AI280" s="18" t="s">
        <v>240</v>
      </c>
      <c r="AJ280" s="18" t="s">
        <v>241</v>
      </c>
      <c r="AK280" s="18" t="s">
        <v>242</v>
      </c>
      <c r="AL280" s="18" t="s">
        <v>243</v>
      </c>
      <c r="AM280" s="50" t="s">
        <v>244</v>
      </c>
    </row>
    <row r="281" spans="1:39">
      <c r="A281" s="40" t="s">
        <v>245</v>
      </c>
      <c r="B281" s="51" t="str">
        <f>D9</f>
        <v/>
      </c>
      <c r="C281" s="40" t="str">
        <f t="shared" ref="C281:C307" si="45">A281</f>
        <v>#</v>
      </c>
      <c r="D281" s="40" t="str">
        <f>"   "&amp;B281&amp;REPT(" ",$AH$70-LEN(B281)-3)</f>
        <v xml:space="preserve">                                                            </v>
      </c>
      <c r="E281" s="38" t="str">
        <f>SUM(E282:E307)&amp;" pts[/b]"</f>
        <v>0 pts[/b]</v>
      </c>
      <c r="F281" s="21">
        <f>SUM(E282:E307)</f>
        <v>0</v>
      </c>
      <c r="G281" s="13">
        <f t="shared" si="44"/>
        <v>0</v>
      </c>
      <c r="H281" s="13" t="e">
        <f>LEFT(VLOOKUP(ScoPo!S81,ScoPo!$G$150:$J$277,4,0),FIND(",",VLOOKUP(ScoPo!S81,ScoPo!$G$150:$J$277,4,0))-1)&amp;" "&amp;$AH$65&amp;" "&amp;LEFT(VLOOKUP(ScoPo!T81,ScoPo!$G$150:$J$277,4,0),FIND(",",VLOOKUP(ScoPo!T81,ScoPo!$G$150:$J$277,4,0))-1)</f>
        <v>#N/A</v>
      </c>
      <c r="I281" s="13" t="str">
        <f>IF(ScoPo!K81=1,ScoPo!N81,IF(ScoPo!K81=2,0," "))</f>
        <v xml:space="preserve"> </v>
      </c>
      <c r="K281" s="18">
        <f>COUNTIF(E282:E307,"&gt;0")</f>
        <v>0</v>
      </c>
      <c r="L281" s="21">
        <f>AM281-K281</f>
        <v>0</v>
      </c>
      <c r="M281" s="22">
        <f>MAX(E282:E307)</f>
        <v>0</v>
      </c>
      <c r="N281" s="22">
        <f>LARGE(E282:E307,2)</f>
        <v>0</v>
      </c>
      <c r="O281" s="22">
        <f>LARGE(E282:E307,3)</f>
        <v>0</v>
      </c>
      <c r="P281" s="18">
        <f>LARGE(E282:E307,4)</f>
        <v>0</v>
      </c>
      <c r="Q281" s="22">
        <f>LARGE(E282:E307,5)</f>
        <v>0</v>
      </c>
      <c r="R281" s="22">
        <f>LARGE(E282:E307,6)</f>
        <v>0</v>
      </c>
      <c r="S281" s="22">
        <f>LARGE(E282:E307,7)</f>
        <v>0</v>
      </c>
      <c r="T281" s="18">
        <f>LARGE(E282:E307,8)</f>
        <v>0</v>
      </c>
      <c r="U281" s="18">
        <f>LARGE(E282:E307,9)</f>
        <v>0</v>
      </c>
      <c r="V281" s="18">
        <f>LARGE(E282:E307,10)</f>
        <v>0</v>
      </c>
      <c r="W281" s="18">
        <f>LARGE(E282:E307,11)</f>
        <v>0</v>
      </c>
      <c r="X281" s="18">
        <f>LARGE(E282:E307,12)</f>
        <v>0</v>
      </c>
      <c r="Y281" s="18">
        <f>LARGE(E282:E307,13)</f>
        <v>0</v>
      </c>
      <c r="Z281" s="18">
        <f>LARGE(E282:E307,14)</f>
        <v>0</v>
      </c>
      <c r="AA281" s="18">
        <f>LARGE(E282:E307,15)</f>
        <v>0</v>
      </c>
      <c r="AB281" s="18">
        <f>LARGE(E282:E307,16)</f>
        <v>0</v>
      </c>
      <c r="AC281" s="18">
        <f>LARGE(E282:E307,17)</f>
        <v>0</v>
      </c>
      <c r="AD281" s="18">
        <f>LARGE(E282:E308,13)</f>
        <v>0</v>
      </c>
      <c r="AE281" s="18">
        <f>LARGE(E282:E307,19)</f>
        <v>0</v>
      </c>
      <c r="AF281" s="18">
        <f>LARGE(E282:E307,20)</f>
        <v>0</v>
      </c>
      <c r="AG281" s="18">
        <f>LARGE(E282:E307,21)</f>
        <v>0</v>
      </c>
      <c r="AH281" s="18">
        <f>LARGE(E282:E307,22)</f>
        <v>0</v>
      </c>
      <c r="AI281" s="18">
        <f>LARGE(E282:E307,23)</f>
        <v>0</v>
      </c>
      <c r="AJ281" s="18">
        <f>LARGE(E282:E307,24)</f>
        <v>0</v>
      </c>
      <c r="AK281" s="18">
        <f>LARGE(E282:E307,25)</f>
        <v>0</v>
      </c>
      <c r="AL281" s="18">
        <f>LARGE(E282:E307,26)</f>
        <v>0</v>
      </c>
      <c r="AM281" s="50">
        <f>COUNTIF(AH282:AH307,"&lt;&gt;"&amp;AH76)-(26-COUNTIF(E282:E307,"&gt;=0"))</f>
        <v>0</v>
      </c>
    </row>
    <row r="282" spans="1:39">
      <c r="A282" s="42" t="s">
        <v>246</v>
      </c>
      <c r="B282" s="1" t="s">
        <v>20</v>
      </c>
      <c r="C282" s="40" t="str">
        <f t="shared" si="45"/>
        <v>01-&gt;</v>
      </c>
      <c r="D282" s="40" t="str">
        <f t="shared" ref="D282:D307" si="46">B282&amp;REPT(" ",$AH$70-LEN(B282))</f>
        <v xml:space="preserve">No pick yet                                                 </v>
      </c>
      <c r="E282" s="52">
        <f t="shared" ref="E282:E307" si="47">VLOOKUP(RIGHT(B282,LEN(B282)-$AH$66),$H$138:$I$420,2,0)</f>
        <v>0</v>
      </c>
      <c r="F282" s="18"/>
      <c r="G282" s="13">
        <f t="shared" si="44"/>
        <v>0</v>
      </c>
      <c r="H282" s="13" t="e">
        <f>LEFT(VLOOKUP(ScoPo!S82,ScoPo!$G$150:$J$277,4,0),FIND(",",VLOOKUP(ScoPo!S82,ScoPo!$G$150:$J$277,4,0))-1)&amp;" "&amp;$AH$65&amp;" "&amp;LEFT(VLOOKUP(ScoPo!T82,ScoPo!$G$150:$J$277,4,0),FIND(",",VLOOKUP(ScoPo!T82,ScoPo!$G$150:$J$277,4,0))-1)</f>
        <v>#N/A</v>
      </c>
      <c r="I282" s="13" t="str">
        <f>IF(ScoPo!K82=1,ScoPo!N82,IF(ScoPo!K82=2,0," "))</f>
        <v xml:space="preserve"> </v>
      </c>
      <c r="M282" s="18"/>
      <c r="N282" s="18"/>
      <c r="O282" s="18"/>
      <c r="P282" s="18"/>
      <c r="Q282" s="22"/>
      <c r="R282" s="21"/>
      <c r="S282" s="21"/>
      <c r="T282" s="21"/>
      <c r="AA282"/>
      <c r="AH282" t="str">
        <f t="shared" ref="AH282:AH307" si="48">RIGHT(B282,LEN(B282)-$AH$66)</f>
        <v>k yet</v>
      </c>
    </row>
    <row r="283" spans="1:39">
      <c r="A283" s="42" t="s">
        <v>247</v>
      </c>
      <c r="B283" s="1" t="s">
        <v>20</v>
      </c>
      <c r="C283" s="40" t="str">
        <f t="shared" si="45"/>
        <v>02-&gt;</v>
      </c>
      <c r="D283" s="40" t="str">
        <f>B283&amp;REPT(" ",$AH$70-LEN(B283))</f>
        <v xml:space="preserve">No pick yet                                                 </v>
      </c>
      <c r="E283" s="52">
        <f t="shared" si="47"/>
        <v>0</v>
      </c>
      <c r="F283" s="18"/>
      <c r="G283" s="13">
        <f t="shared" si="44"/>
        <v>0</v>
      </c>
      <c r="H283" s="13" t="e">
        <f>LEFT(VLOOKUP(ScoPo!S83,ScoPo!$G$150:$J$277,4,0),FIND(",",VLOOKUP(ScoPo!S83,ScoPo!$G$150:$J$277,4,0))-1)&amp;" "&amp;$AH$65&amp;" "&amp;LEFT(VLOOKUP(ScoPo!T83,ScoPo!$G$150:$J$277,4,0),FIND(",",VLOOKUP(ScoPo!T83,ScoPo!$G$150:$J$277,4,0))-1)</f>
        <v>#N/A</v>
      </c>
      <c r="I283" s="13" t="str">
        <f>IF(ScoPo!K83=1,ScoPo!N83,IF(ScoPo!K83=2,0," "))</f>
        <v xml:space="preserve"> </v>
      </c>
      <c r="K283" s="22"/>
      <c r="N283" s="22"/>
      <c r="O283" s="22"/>
      <c r="P283" s="22"/>
      <c r="Q283" s="22"/>
      <c r="R283" s="22"/>
      <c r="S283" s="22"/>
      <c r="Z283" s="53"/>
      <c r="AA283"/>
      <c r="AH283" t="str">
        <f t="shared" si="48"/>
        <v>k yet</v>
      </c>
    </row>
    <row r="284" spans="1:39">
      <c r="A284" s="42" t="s">
        <v>248</v>
      </c>
      <c r="B284" s="1" t="s">
        <v>20</v>
      </c>
      <c r="C284" s="40" t="str">
        <f t="shared" si="45"/>
        <v>03-&gt;</v>
      </c>
      <c r="D284" s="40" t="str">
        <f t="shared" si="46"/>
        <v xml:space="preserve">No pick yet                                                 </v>
      </c>
      <c r="E284" s="52">
        <f t="shared" si="47"/>
        <v>0</v>
      </c>
      <c r="F284" s="18"/>
      <c r="G284" s="13">
        <f t="shared" si="44"/>
        <v>0</v>
      </c>
      <c r="H284" s="13" t="e">
        <f>LEFT(VLOOKUP(ScoPo!S84,ScoPo!$G$150:$J$277,4,0),FIND(",",VLOOKUP(ScoPo!S84,ScoPo!$G$150:$J$277,4,0))-1)&amp;" "&amp;$AH$65&amp;" "&amp;LEFT(VLOOKUP(ScoPo!T84,ScoPo!$G$150:$J$277,4,0),FIND(",",VLOOKUP(ScoPo!T84,ScoPo!$G$150:$J$277,4,0))-1)</f>
        <v>#N/A</v>
      </c>
      <c r="I284" s="13" t="str">
        <f>IF(ScoPo!K84=1,ScoPo!N84,IF(ScoPo!K84=2,0," "))</f>
        <v xml:space="preserve"> </v>
      </c>
      <c r="L284" s="21"/>
      <c r="N284" s="22"/>
      <c r="O284" s="22"/>
      <c r="P284" s="18"/>
      <c r="Q284" s="22"/>
      <c r="R284" s="22"/>
      <c r="S284" s="22"/>
      <c r="Z284" s="53"/>
      <c r="AA284"/>
      <c r="AH284" t="str">
        <f t="shared" si="48"/>
        <v>k yet</v>
      </c>
    </row>
    <row r="285" spans="1:39">
      <c r="A285" s="42" t="s">
        <v>249</v>
      </c>
      <c r="B285" s="1" t="s">
        <v>20</v>
      </c>
      <c r="C285" s="40" t="str">
        <f t="shared" si="45"/>
        <v>04-&gt;</v>
      </c>
      <c r="D285" s="40" t="str">
        <f t="shared" si="46"/>
        <v xml:space="preserve">No pick yet                                                 </v>
      </c>
      <c r="E285" s="52">
        <f t="shared" si="47"/>
        <v>0</v>
      </c>
      <c r="F285" s="18"/>
      <c r="G285" s="13">
        <f t="shared" si="44"/>
        <v>0</v>
      </c>
      <c r="H285" s="13" t="e">
        <f>LEFT(VLOOKUP(ScoPo!S85,ScoPo!$G$150:$J$277,4,0),FIND(",",VLOOKUP(ScoPo!S85,ScoPo!$G$150:$J$277,4,0))-1)&amp;" "&amp;$AH$65&amp;" "&amp;LEFT(VLOOKUP(ScoPo!T85,ScoPo!$G$150:$J$277,4,0),FIND(",",VLOOKUP(ScoPo!T85,ScoPo!$G$150:$J$277,4,0))-1)</f>
        <v>#N/A</v>
      </c>
      <c r="I285" s="13" t="str">
        <f>IF(ScoPo!K85=1,ScoPo!N85,IF(ScoPo!K85=2,0," "))</f>
        <v xml:space="preserve"> </v>
      </c>
      <c r="M285" s="18"/>
      <c r="N285" s="18"/>
      <c r="O285" s="18"/>
      <c r="P285" s="18"/>
      <c r="Q285" s="22"/>
      <c r="R285" s="21"/>
      <c r="S285" s="21"/>
      <c r="T285" s="21"/>
      <c r="AA285"/>
      <c r="AH285" t="str">
        <f t="shared" si="48"/>
        <v>k yet</v>
      </c>
    </row>
    <row r="286" spans="1:39">
      <c r="A286" s="42" t="s">
        <v>250</v>
      </c>
      <c r="B286" s="1" t="s">
        <v>20</v>
      </c>
      <c r="C286" s="40" t="str">
        <f t="shared" si="45"/>
        <v>05-&gt;</v>
      </c>
      <c r="D286" s="40" t="str">
        <f t="shared" si="46"/>
        <v xml:space="preserve">No pick yet                                                 </v>
      </c>
      <c r="E286" s="52">
        <f t="shared" si="47"/>
        <v>0</v>
      </c>
      <c r="F286" s="18"/>
      <c r="G286" s="13">
        <f t="shared" si="44"/>
        <v>0</v>
      </c>
      <c r="H286" s="13" t="e">
        <f>LEFT(VLOOKUP(ScoPo!S86,ScoPo!$G$150:$J$277,4,0),FIND(",",VLOOKUP(ScoPo!S86,ScoPo!$G$150:$J$277,4,0))-1)&amp;" "&amp;$AH$65&amp;" "&amp;LEFT(VLOOKUP(ScoPo!T86,ScoPo!$G$150:$J$277,4,0),FIND(",",VLOOKUP(ScoPo!T86,ScoPo!$G$150:$J$277,4,0))-1)</f>
        <v>#N/A</v>
      </c>
      <c r="I286" s="13" t="str">
        <f>IF(ScoPo!K86=1,ScoPo!N86,IF(ScoPo!K86=2,0," "))</f>
        <v xml:space="preserve"> </v>
      </c>
      <c r="M286" s="18"/>
      <c r="N286" s="18"/>
      <c r="O286" s="18"/>
      <c r="P286" s="18"/>
      <c r="Q286" s="22"/>
      <c r="R286" s="21"/>
      <c r="S286" s="21"/>
      <c r="T286" s="21"/>
      <c r="AA286"/>
      <c r="AH286" t="str">
        <f t="shared" si="48"/>
        <v>k yet</v>
      </c>
    </row>
    <row r="287" spans="1:39">
      <c r="A287" s="42" t="s">
        <v>251</v>
      </c>
      <c r="B287" s="1" t="s">
        <v>20</v>
      </c>
      <c r="C287" s="40" t="str">
        <f t="shared" si="45"/>
        <v>06-&gt;</v>
      </c>
      <c r="D287" s="40" t="str">
        <f t="shared" si="46"/>
        <v xml:space="preserve">No pick yet                                                 </v>
      </c>
      <c r="E287" s="52">
        <f t="shared" si="47"/>
        <v>0</v>
      </c>
      <c r="F287" s="18"/>
      <c r="G287" s="13">
        <f t="shared" si="44"/>
        <v>0</v>
      </c>
      <c r="H287" s="13" t="e">
        <f>LEFT(VLOOKUP(ScoPo!S87,ScoPo!$G$150:$J$277,4,0),FIND(",",VLOOKUP(ScoPo!S87,ScoPo!$G$150:$J$277,4,0))-1)&amp;" "&amp;$AH$65&amp;" "&amp;LEFT(VLOOKUP(ScoPo!T87,ScoPo!$G$150:$J$277,4,0),FIND(",",VLOOKUP(ScoPo!T87,ScoPo!$G$150:$J$277,4,0))-1)</f>
        <v>#N/A</v>
      </c>
      <c r="I287" s="13" t="str">
        <f>IF(ScoPo!K87=1,ScoPo!N87,IF(ScoPo!K87=2,0," "))</f>
        <v xml:space="preserve"> </v>
      </c>
      <c r="M287" s="18"/>
      <c r="N287" s="18"/>
      <c r="O287" s="18"/>
      <c r="P287" s="18"/>
      <c r="Q287" s="22"/>
      <c r="R287" s="21"/>
      <c r="S287" s="21"/>
      <c r="T287" s="21"/>
      <c r="AA287"/>
      <c r="AH287" t="str">
        <f t="shared" si="48"/>
        <v>k yet</v>
      </c>
    </row>
    <row r="288" spans="1:39">
      <c r="A288" s="42" t="s">
        <v>252</v>
      </c>
      <c r="B288" s="1" t="s">
        <v>20</v>
      </c>
      <c r="C288" s="40" t="str">
        <f t="shared" si="45"/>
        <v>07-&gt;</v>
      </c>
      <c r="D288" s="40" t="str">
        <f t="shared" si="46"/>
        <v xml:space="preserve">No pick yet                                                 </v>
      </c>
      <c r="E288" s="52">
        <f t="shared" si="47"/>
        <v>0</v>
      </c>
      <c r="F288" s="18"/>
      <c r="G288" s="13">
        <f t="shared" si="44"/>
        <v>0</v>
      </c>
      <c r="H288" s="13" t="e">
        <f>LEFT(VLOOKUP(ScoPo!S88,ScoPo!$G$150:$J$277,4,0),FIND(",",VLOOKUP(ScoPo!S88,ScoPo!$G$150:$J$277,4,0))-1)&amp;" "&amp;$AH$65&amp;" "&amp;LEFT(VLOOKUP(ScoPo!T88,ScoPo!$G$150:$J$277,4,0),FIND(",",VLOOKUP(ScoPo!T88,ScoPo!$G$150:$J$277,4,0))-1)</f>
        <v>#N/A</v>
      </c>
      <c r="I288" s="13" t="str">
        <f>IF(ScoPo!K88=1,ScoPo!N88,IF(ScoPo!K88=2,0," "))</f>
        <v xml:space="preserve"> </v>
      </c>
      <c r="M288" s="18"/>
      <c r="N288" s="18"/>
      <c r="O288" s="18"/>
      <c r="P288" s="18"/>
      <c r="Q288" s="22"/>
      <c r="R288" s="21"/>
      <c r="S288" s="21"/>
      <c r="T288" s="21"/>
      <c r="AA288"/>
      <c r="AH288" t="str">
        <f t="shared" si="48"/>
        <v>k yet</v>
      </c>
    </row>
    <row r="289" spans="1:34">
      <c r="A289" s="42" t="s">
        <v>253</v>
      </c>
      <c r="B289" s="1" t="s">
        <v>20</v>
      </c>
      <c r="C289" s="40" t="str">
        <f t="shared" si="45"/>
        <v>08-&gt;</v>
      </c>
      <c r="D289" s="40" t="str">
        <f t="shared" si="46"/>
        <v xml:space="preserve">No pick yet                                                 </v>
      </c>
      <c r="E289" s="52">
        <f t="shared" si="47"/>
        <v>0</v>
      </c>
      <c r="F289" s="18"/>
      <c r="G289" s="13">
        <f t="shared" si="44"/>
        <v>0</v>
      </c>
      <c r="H289" s="13" t="e">
        <f>LEFT(VLOOKUP(ScoPo!S89,ScoPo!$G$150:$J$277,4,0),FIND(",",VLOOKUP(ScoPo!S89,ScoPo!$G$150:$J$277,4,0))-1)&amp;" "&amp;$AH$65&amp;" "&amp;LEFT(VLOOKUP(ScoPo!T89,ScoPo!$G$150:$J$277,4,0),FIND(",",VLOOKUP(ScoPo!T89,ScoPo!$G$150:$J$277,4,0))-1)</f>
        <v>#N/A</v>
      </c>
      <c r="I289" s="13" t="str">
        <f>IF(ScoPo!K89=1,ScoPo!N89,IF(ScoPo!K89=2,0," "))</f>
        <v xml:space="preserve"> </v>
      </c>
      <c r="M289" s="18"/>
      <c r="N289" s="18"/>
      <c r="O289" s="18"/>
      <c r="P289" s="18"/>
      <c r="Q289" s="22"/>
      <c r="R289" s="21"/>
      <c r="S289" s="21"/>
      <c r="T289" s="21"/>
      <c r="AA289"/>
      <c r="AH289" t="str">
        <f t="shared" si="48"/>
        <v>k yet</v>
      </c>
    </row>
    <row r="290" spans="1:34">
      <c r="A290" s="42" t="s">
        <v>254</v>
      </c>
      <c r="B290" s="1" t="s">
        <v>20</v>
      </c>
      <c r="C290" s="40" t="str">
        <f t="shared" si="45"/>
        <v>09-&gt;</v>
      </c>
      <c r="D290" s="40" t="str">
        <f t="shared" si="46"/>
        <v xml:space="preserve">No pick yet                                                 </v>
      </c>
      <c r="E290" s="52">
        <f t="shared" si="47"/>
        <v>0</v>
      </c>
      <c r="F290" s="18"/>
      <c r="G290" s="13">
        <f t="shared" si="44"/>
        <v>0</v>
      </c>
      <c r="H290" s="13" t="e">
        <f>LEFT(VLOOKUP(ScoPo!S90,ScoPo!$G$150:$J$277,4,0),FIND(",",VLOOKUP(ScoPo!S90,ScoPo!$G$150:$J$277,4,0))-1)&amp;" "&amp;$AH$65&amp;" "&amp;LEFT(VLOOKUP(ScoPo!T90,ScoPo!$G$150:$J$277,4,0),FIND(",",VLOOKUP(ScoPo!T90,ScoPo!$G$150:$J$277,4,0))-1)</f>
        <v>#N/A</v>
      </c>
      <c r="I290" s="13" t="str">
        <f>IF(ScoPo!K90=1,ScoPo!N90,IF(ScoPo!K90=2,0," "))</f>
        <v xml:space="preserve"> </v>
      </c>
      <c r="M290" s="18"/>
      <c r="N290" s="18"/>
      <c r="O290" s="18"/>
      <c r="P290" s="18"/>
      <c r="Q290" s="22"/>
      <c r="R290" s="21"/>
      <c r="S290" s="21"/>
      <c r="T290" s="21"/>
      <c r="AA290"/>
      <c r="AH290" t="str">
        <f t="shared" si="48"/>
        <v>k yet</v>
      </c>
    </row>
    <row r="291" spans="1:34">
      <c r="A291" s="42" t="s">
        <v>255</v>
      </c>
      <c r="B291" s="1" t="s">
        <v>20</v>
      </c>
      <c r="C291" s="40" t="str">
        <f t="shared" si="45"/>
        <v>10-&gt;</v>
      </c>
      <c r="D291" s="40" t="str">
        <f t="shared" si="46"/>
        <v xml:space="preserve">No pick yet                                                 </v>
      </c>
      <c r="E291" s="52">
        <f t="shared" si="47"/>
        <v>0</v>
      </c>
      <c r="F291" s="22"/>
      <c r="G291" s="13">
        <f t="shared" si="44"/>
        <v>0</v>
      </c>
      <c r="H291" s="13" t="e">
        <f>LEFT(VLOOKUP(ScoPo!S91,ScoPo!$G$150:$J$277,4,0),FIND(",",VLOOKUP(ScoPo!S91,ScoPo!$G$150:$J$277,4,0))-1)&amp;" "&amp;$AH$65&amp;" "&amp;LEFT(VLOOKUP(ScoPo!T91,ScoPo!$G$150:$J$277,4,0),FIND(",",VLOOKUP(ScoPo!T91,ScoPo!$G$150:$J$277,4,0))-1)</f>
        <v>#N/A</v>
      </c>
      <c r="I291" s="13" t="str">
        <f>IF(ScoPo!K91=1,ScoPo!N91,IF(ScoPo!K91=2,0," "))</f>
        <v xml:space="preserve"> </v>
      </c>
      <c r="M291" s="18"/>
      <c r="N291" s="18"/>
      <c r="O291" s="18"/>
      <c r="P291" s="18"/>
      <c r="Q291" s="22"/>
      <c r="R291" s="21"/>
      <c r="S291" s="21"/>
      <c r="T291" s="21"/>
      <c r="AA291"/>
      <c r="AH291" t="str">
        <f t="shared" si="48"/>
        <v>k yet</v>
      </c>
    </row>
    <row r="292" spans="1:34">
      <c r="A292" s="42" t="s">
        <v>256</v>
      </c>
      <c r="B292" s="1" t="s">
        <v>20</v>
      </c>
      <c r="C292" s="40" t="str">
        <f t="shared" si="45"/>
        <v>11-&gt;</v>
      </c>
      <c r="D292" s="40" t="str">
        <f t="shared" si="46"/>
        <v xml:space="preserve">No pick yet                                                 </v>
      </c>
      <c r="E292" s="52">
        <f t="shared" si="47"/>
        <v>0</v>
      </c>
      <c r="G292" s="13">
        <f t="shared" si="44"/>
        <v>0</v>
      </c>
      <c r="H292" s="13" t="e">
        <f>LEFT(VLOOKUP(ScoPo!S92,ScoPo!$G$150:$J$277,4,0),FIND(",",VLOOKUP(ScoPo!S92,ScoPo!$G$150:$J$277,4,0))-1)&amp;" "&amp;$AH$65&amp;" "&amp;LEFT(VLOOKUP(ScoPo!T92,ScoPo!$G$150:$J$277,4,0),FIND(",",VLOOKUP(ScoPo!T92,ScoPo!$G$150:$J$277,4,0))-1)</f>
        <v>#N/A</v>
      </c>
      <c r="I292" s="13" t="str">
        <f>IF(ScoPo!K92=1,ScoPo!N92,IF(ScoPo!K92=2,0," "))</f>
        <v xml:space="preserve"> </v>
      </c>
      <c r="M292" s="18"/>
      <c r="N292" s="18"/>
      <c r="O292" s="18"/>
      <c r="P292" s="18"/>
      <c r="Q292" s="22"/>
      <c r="R292" s="21"/>
      <c r="S292" s="21"/>
      <c r="T292" s="21"/>
      <c r="AA292"/>
      <c r="AH292" t="str">
        <f t="shared" si="48"/>
        <v>k yet</v>
      </c>
    </row>
    <row r="293" spans="1:34">
      <c r="A293" s="42" t="s">
        <v>257</v>
      </c>
      <c r="B293" s="1" t="s">
        <v>20</v>
      </c>
      <c r="C293" s="40" t="str">
        <f t="shared" si="45"/>
        <v>12-&gt;</v>
      </c>
      <c r="D293" s="40" t="str">
        <f t="shared" si="46"/>
        <v xml:space="preserve">No pick yet                                                 </v>
      </c>
      <c r="E293" s="52">
        <f t="shared" si="47"/>
        <v>0</v>
      </c>
      <c r="G293" s="13">
        <f t="shared" si="44"/>
        <v>0</v>
      </c>
      <c r="H293" s="13" t="e">
        <f>LEFT(VLOOKUP(ScoPo!S93,ScoPo!$G$150:$J$277,4,0),FIND(",",VLOOKUP(ScoPo!S93,ScoPo!$G$150:$J$277,4,0))-1)&amp;" "&amp;$AH$65&amp;" "&amp;LEFT(VLOOKUP(ScoPo!T93,ScoPo!$G$150:$J$277,4,0),FIND(",",VLOOKUP(ScoPo!T93,ScoPo!$G$150:$J$277,4,0))-1)</f>
        <v>#N/A</v>
      </c>
      <c r="I293" s="13" t="str">
        <f>IF(ScoPo!K93=1,ScoPo!N93,IF(ScoPo!K93=2,0," "))</f>
        <v xml:space="preserve"> </v>
      </c>
      <c r="J293" s="22"/>
      <c r="M293" s="18"/>
      <c r="N293" s="18"/>
      <c r="O293" s="18"/>
      <c r="P293" s="18"/>
      <c r="Q293" s="22"/>
      <c r="R293" s="21"/>
      <c r="S293" s="21"/>
      <c r="T293" s="21"/>
      <c r="AA293"/>
      <c r="AH293" t="str">
        <f t="shared" si="48"/>
        <v>k yet</v>
      </c>
    </row>
    <row r="294" spans="1:34">
      <c r="A294" s="42" t="s">
        <v>258</v>
      </c>
      <c r="B294" s="1" t="s">
        <v>20</v>
      </c>
      <c r="C294" s="40" t="str">
        <f t="shared" si="45"/>
        <v>13-&gt;</v>
      </c>
      <c r="D294" s="40" t="str">
        <f t="shared" si="46"/>
        <v xml:space="preserve">No pick yet                                                 </v>
      </c>
      <c r="E294" s="52">
        <f t="shared" si="47"/>
        <v>0</v>
      </c>
      <c r="G294" s="13">
        <f t="shared" si="44"/>
        <v>0</v>
      </c>
      <c r="H294" s="13" t="e">
        <f>LEFT(VLOOKUP(ScoPo!S94,ScoPo!$G$150:$J$277,4,0),FIND(",",VLOOKUP(ScoPo!S94,ScoPo!$G$150:$J$277,4,0))-1)&amp;" "&amp;$AH$65&amp;" "&amp;LEFT(VLOOKUP(ScoPo!T94,ScoPo!$G$150:$J$277,4,0),FIND(",",VLOOKUP(ScoPo!T94,ScoPo!$G$150:$J$277,4,0))-1)</f>
        <v>#N/A</v>
      </c>
      <c r="I294" s="13" t="str">
        <f>IF(ScoPo!K94=1,ScoPo!N94,IF(ScoPo!K94=2,0," "))</f>
        <v xml:space="preserve"> </v>
      </c>
      <c r="J294" s="22"/>
      <c r="M294" s="18"/>
      <c r="N294" s="18"/>
      <c r="O294" s="18"/>
      <c r="P294" s="18"/>
      <c r="Q294" s="22"/>
      <c r="R294" s="21"/>
      <c r="S294" s="21"/>
      <c r="T294" s="21"/>
      <c r="AA294"/>
      <c r="AH294" t="str">
        <f t="shared" si="48"/>
        <v>k yet</v>
      </c>
    </row>
    <row r="295" spans="1:34">
      <c r="A295" s="42" t="s">
        <v>259</v>
      </c>
      <c r="B295" s="1" t="s">
        <v>20</v>
      </c>
      <c r="C295" s="40" t="str">
        <f t="shared" si="45"/>
        <v>14-&gt;</v>
      </c>
      <c r="D295" s="40" t="str">
        <f t="shared" si="46"/>
        <v xml:space="preserve">No pick yet                                                 </v>
      </c>
      <c r="E295" s="52">
        <f t="shared" si="47"/>
        <v>0</v>
      </c>
      <c r="G295" s="13">
        <f t="shared" si="44"/>
        <v>0</v>
      </c>
      <c r="H295" s="13" t="e">
        <f>LEFT(VLOOKUP(ScoPo!S95,ScoPo!$G$150:$J$277,4,0),FIND(",",VLOOKUP(ScoPo!S95,ScoPo!$G$150:$J$277,4,0))-1)&amp;" "&amp;$AH$65&amp;" "&amp;LEFT(VLOOKUP(ScoPo!T95,ScoPo!$G$150:$J$277,4,0),FIND(",",VLOOKUP(ScoPo!T95,ScoPo!$G$150:$J$277,4,0))-1)</f>
        <v>#N/A</v>
      </c>
      <c r="I295" s="13" t="str">
        <f>IF(ScoPo!K95=1,ScoPo!N95,IF(ScoPo!K95=2,0," "))</f>
        <v xml:space="preserve"> </v>
      </c>
      <c r="M295" s="18"/>
      <c r="N295" s="18"/>
      <c r="O295" s="18"/>
      <c r="P295" s="18"/>
      <c r="Q295" s="22"/>
      <c r="R295" s="21"/>
      <c r="S295" s="21"/>
      <c r="T295" s="21"/>
      <c r="AA295"/>
      <c r="AH295" t="str">
        <f t="shared" si="48"/>
        <v>k yet</v>
      </c>
    </row>
    <row r="296" spans="1:34">
      <c r="A296" s="42" t="s">
        <v>260</v>
      </c>
      <c r="B296" s="1" t="s">
        <v>20</v>
      </c>
      <c r="C296" s="40" t="str">
        <f t="shared" si="45"/>
        <v>15-&gt;</v>
      </c>
      <c r="D296" s="40" t="str">
        <f t="shared" si="46"/>
        <v xml:space="preserve">No pick yet                                                 </v>
      </c>
      <c r="E296" s="52">
        <f t="shared" si="47"/>
        <v>0</v>
      </c>
      <c r="G296" s="13">
        <f t="shared" si="44"/>
        <v>0</v>
      </c>
      <c r="H296" s="13" t="e">
        <f>LEFT(VLOOKUP(ScoPo!S96,ScoPo!$G$150:$J$277,4,0),FIND(",",VLOOKUP(ScoPo!S96,ScoPo!$G$150:$J$277,4,0))-1)&amp;" "&amp;$AH$65&amp;" "&amp;LEFT(VLOOKUP(ScoPo!T96,ScoPo!$G$150:$J$277,4,0),FIND(",",VLOOKUP(ScoPo!T96,ScoPo!$G$150:$J$277,4,0))-1)</f>
        <v>#N/A</v>
      </c>
      <c r="I296" s="13" t="str">
        <f>IF(ScoPo!K96=1,ScoPo!N96,IF(ScoPo!K96=2,0," "))</f>
        <v xml:space="preserve"> </v>
      </c>
      <c r="M296" s="18"/>
      <c r="N296" s="18"/>
      <c r="O296" s="18"/>
      <c r="P296" s="18"/>
      <c r="Q296" s="22"/>
      <c r="R296" s="21"/>
      <c r="S296" s="21"/>
      <c r="T296" s="21"/>
      <c r="AA296"/>
      <c r="AH296" t="str">
        <f t="shared" si="48"/>
        <v>k yet</v>
      </c>
    </row>
    <row r="297" spans="1:34">
      <c r="A297" s="42" t="s">
        <v>261</v>
      </c>
      <c r="B297" s="1" t="s">
        <v>20</v>
      </c>
      <c r="C297" s="40" t="str">
        <f t="shared" si="45"/>
        <v>16-&gt;</v>
      </c>
      <c r="D297" s="40" t="str">
        <f t="shared" si="46"/>
        <v xml:space="preserve">No pick yet                                                 </v>
      </c>
      <c r="E297" s="52">
        <f t="shared" si="47"/>
        <v>0</v>
      </c>
      <c r="G297" s="13">
        <f t="shared" si="44"/>
        <v>0</v>
      </c>
      <c r="H297" s="13" t="e">
        <f>LEFT(VLOOKUP(ScoPo!S97,ScoPo!$G$150:$J$277,4,0),FIND(",",VLOOKUP(ScoPo!S97,ScoPo!$G$150:$J$277,4,0))-1)&amp;" "&amp;$AH$65&amp;" "&amp;LEFT(VLOOKUP(ScoPo!T97,ScoPo!$G$150:$J$277,4,0),FIND(",",VLOOKUP(ScoPo!T97,ScoPo!$G$150:$J$277,4,0))-1)</f>
        <v>#N/A</v>
      </c>
      <c r="I297" s="13" t="str">
        <f>IF(ScoPo!K97=1,ScoPo!N97,IF(ScoPo!K97=2,0," "))</f>
        <v xml:space="preserve"> </v>
      </c>
      <c r="M297" s="18"/>
      <c r="N297" s="18"/>
      <c r="O297" s="18"/>
      <c r="P297" s="18"/>
      <c r="Q297" s="22"/>
      <c r="R297" s="21"/>
      <c r="S297" s="21"/>
      <c r="T297" s="21"/>
      <c r="AA297"/>
      <c r="AH297" t="str">
        <f t="shared" si="48"/>
        <v>k yet</v>
      </c>
    </row>
    <row r="298" spans="1:34">
      <c r="A298" s="42" t="s">
        <v>262</v>
      </c>
      <c r="B298" s="1" t="s">
        <v>20</v>
      </c>
      <c r="C298" s="40" t="str">
        <f t="shared" si="45"/>
        <v>17-&gt;</v>
      </c>
      <c r="D298" s="40" t="str">
        <f t="shared" si="46"/>
        <v xml:space="preserve">No pick yet                                                 </v>
      </c>
      <c r="E298" s="52">
        <f t="shared" si="47"/>
        <v>0</v>
      </c>
      <c r="G298" s="13">
        <f t="shared" si="44"/>
        <v>0</v>
      </c>
      <c r="H298" s="13" t="e">
        <f>LEFT(VLOOKUP(ScoPo!S98,ScoPo!$G$150:$J$277,4,0),FIND(",",VLOOKUP(ScoPo!S98,ScoPo!$G$150:$J$277,4,0))-1)&amp;" "&amp;$AH$65&amp;" "&amp;LEFT(VLOOKUP(ScoPo!T98,ScoPo!$G$150:$J$277,4,0),FIND(",",VLOOKUP(ScoPo!T98,ScoPo!$G$150:$J$277,4,0))-1)</f>
        <v>#N/A</v>
      </c>
      <c r="I298" s="13" t="str">
        <f>IF(ScoPo!K98=1,ScoPo!N98,IF(ScoPo!K98=2,0," "))</f>
        <v xml:space="preserve"> </v>
      </c>
      <c r="K298" s="22"/>
      <c r="N298" s="22"/>
      <c r="O298" s="22"/>
      <c r="P298" s="22"/>
      <c r="Q298" s="22"/>
      <c r="R298" s="22"/>
      <c r="S298" s="22"/>
      <c r="Z298" s="53"/>
      <c r="AA298"/>
      <c r="AH298" t="str">
        <f t="shared" si="48"/>
        <v>k yet</v>
      </c>
    </row>
    <row r="299" spans="1:34">
      <c r="A299" s="42" t="s">
        <v>263</v>
      </c>
      <c r="B299" s="1" t="s">
        <v>20</v>
      </c>
      <c r="C299" s="40" t="str">
        <f t="shared" si="45"/>
        <v>18-&gt;</v>
      </c>
      <c r="D299" s="40" t="str">
        <f t="shared" si="46"/>
        <v xml:space="preserve">No pick yet                                                 </v>
      </c>
      <c r="E299" s="52">
        <f t="shared" si="47"/>
        <v>0</v>
      </c>
      <c r="F299" s="18"/>
      <c r="G299" s="13">
        <f t="shared" si="44"/>
        <v>0</v>
      </c>
      <c r="H299" s="13" t="e">
        <f>LEFT(VLOOKUP(ScoPo!S99,ScoPo!$G$150:$J$277,4,0),FIND(",",VLOOKUP(ScoPo!S99,ScoPo!$G$150:$J$277,4,0))-1)&amp;" "&amp;$AH$65&amp;" "&amp;LEFT(VLOOKUP(ScoPo!T99,ScoPo!$G$150:$J$277,4,0),FIND(",",VLOOKUP(ScoPo!T99,ScoPo!$G$150:$J$277,4,0))-1)</f>
        <v>#N/A</v>
      </c>
      <c r="I299" s="13" t="str">
        <f>IF(ScoPo!K99=1,ScoPo!N99,IF(ScoPo!K99=2,0," "))</f>
        <v xml:space="preserve"> </v>
      </c>
      <c r="L299" s="21"/>
      <c r="N299" s="22"/>
      <c r="O299" s="22"/>
      <c r="P299" s="18"/>
      <c r="Q299" s="22"/>
      <c r="R299" s="22"/>
      <c r="S299" s="22"/>
      <c r="Z299" s="53"/>
      <c r="AA299"/>
      <c r="AH299" t="str">
        <f t="shared" si="48"/>
        <v>k yet</v>
      </c>
    </row>
    <row r="300" spans="1:34">
      <c r="A300" s="42" t="s">
        <v>264</v>
      </c>
      <c r="B300" s="1" t="s">
        <v>20</v>
      </c>
      <c r="C300" s="40" t="str">
        <f t="shared" si="45"/>
        <v>19-&gt;</v>
      </c>
      <c r="D300" s="40" t="str">
        <f t="shared" si="46"/>
        <v xml:space="preserve">No pick yet                                                 </v>
      </c>
      <c r="E300" s="52">
        <f t="shared" si="47"/>
        <v>0</v>
      </c>
      <c r="F300" s="18"/>
      <c r="G300" s="13">
        <f t="shared" si="44"/>
        <v>0</v>
      </c>
      <c r="H300" s="13" t="e">
        <f>LEFT(VLOOKUP(ScoPo!S100,ScoPo!$G$150:$J$277,4,0),FIND(",",VLOOKUP(ScoPo!S100,ScoPo!$G$150:$J$277,4,0))-1)&amp;" "&amp;$AH$65&amp;" "&amp;LEFT(VLOOKUP(ScoPo!T100,ScoPo!$G$150:$J$277,4,0),FIND(",",VLOOKUP(ScoPo!T100,ScoPo!$G$150:$J$277,4,0))-1)</f>
        <v>#N/A</v>
      </c>
      <c r="I300" s="13" t="str">
        <f>IF(ScoPo!K100=1,ScoPo!N100,IF(ScoPo!K100=2,0," "))</f>
        <v xml:space="preserve"> </v>
      </c>
      <c r="M300" s="18"/>
      <c r="N300" s="18"/>
      <c r="O300" s="18"/>
      <c r="P300" s="18"/>
      <c r="Q300" s="22"/>
      <c r="R300" s="21"/>
      <c r="S300" s="21"/>
      <c r="T300" s="21"/>
      <c r="AA300"/>
      <c r="AH300" t="str">
        <f t="shared" si="48"/>
        <v>k yet</v>
      </c>
    </row>
    <row r="301" spans="1:34">
      <c r="A301" s="42" t="s">
        <v>265</v>
      </c>
      <c r="B301" s="1" t="s">
        <v>20</v>
      </c>
      <c r="C301" s="40" t="str">
        <f t="shared" si="45"/>
        <v>20-&gt;</v>
      </c>
      <c r="D301" s="40" t="str">
        <f t="shared" si="46"/>
        <v xml:space="preserve">No pick yet                                                 </v>
      </c>
      <c r="E301" s="52">
        <f t="shared" si="47"/>
        <v>0</v>
      </c>
      <c r="F301" s="18"/>
      <c r="G301" s="13">
        <f t="shared" si="44"/>
        <v>0</v>
      </c>
      <c r="H301" s="13" t="e">
        <f>LEFT(VLOOKUP(ScoPo!S101,ScoPo!$G$150:$J$277,4,0),FIND(",",VLOOKUP(ScoPo!S101,ScoPo!$G$150:$J$277,4,0))-1)&amp;" "&amp;$AH$65&amp;" "&amp;LEFT(VLOOKUP(ScoPo!T101,ScoPo!$G$150:$J$277,4,0),FIND(",",VLOOKUP(ScoPo!T101,ScoPo!$G$150:$J$277,4,0))-1)</f>
        <v>#N/A</v>
      </c>
      <c r="I301" s="13" t="str">
        <f>IF(ScoPo!K101=1,ScoPo!N101,IF(ScoPo!K101=2,0," "))</f>
        <v xml:space="preserve"> </v>
      </c>
      <c r="M301" s="18"/>
      <c r="N301" s="18"/>
      <c r="O301" s="18"/>
      <c r="P301" s="18"/>
      <c r="Q301" s="22"/>
      <c r="R301" s="21"/>
      <c r="S301" s="21"/>
      <c r="T301" s="21"/>
      <c r="AA301"/>
      <c r="AH301" t="str">
        <f t="shared" si="48"/>
        <v>k yet</v>
      </c>
    </row>
    <row r="302" spans="1:34">
      <c r="A302" s="42" t="s">
        <v>266</v>
      </c>
      <c r="B302" s="1" t="s">
        <v>20</v>
      </c>
      <c r="C302" s="40" t="str">
        <f t="shared" si="45"/>
        <v>21-&gt;</v>
      </c>
      <c r="D302" s="40" t="str">
        <f t="shared" si="46"/>
        <v xml:space="preserve">No pick yet                                                 </v>
      </c>
      <c r="E302" s="52">
        <f t="shared" si="47"/>
        <v>0</v>
      </c>
      <c r="F302" s="18"/>
      <c r="G302" s="13">
        <f t="shared" si="44"/>
        <v>0</v>
      </c>
      <c r="H302" s="13" t="e">
        <f>LEFT(VLOOKUP(ScoPo!T70,ScoPo!$G$150:$J$277,4,0),FIND(",",VLOOKUP(ScoPo!T70,ScoPo!$G$150:$J$277,4,0))-1)&amp;" "&amp;$AH$65&amp;" "&amp;LEFT(VLOOKUP(ScoPo!S70,ScoPo!$G$150:$J$277,4,0),FIND(",",VLOOKUP(ScoPo!S70,ScoPo!$G$150:$J$277,4,0))-1)</f>
        <v>#N/A</v>
      </c>
      <c r="I302" s="13" t="str">
        <f>IF(ScoPo!K70=1,0,IF(ScoPo!K70=2,ScoPo!O70," "))</f>
        <v xml:space="preserve"> </v>
      </c>
      <c r="M302" s="18"/>
      <c r="N302" s="18"/>
      <c r="O302" s="18"/>
      <c r="P302" s="18"/>
      <c r="Q302" s="22"/>
      <c r="R302" s="21"/>
      <c r="S302" s="21"/>
      <c r="T302" s="21"/>
      <c r="AA302"/>
      <c r="AH302" t="str">
        <f t="shared" si="48"/>
        <v>k yet</v>
      </c>
    </row>
    <row r="303" spans="1:34">
      <c r="A303" s="42" t="s">
        <v>267</v>
      </c>
      <c r="B303" s="1" t="s">
        <v>20</v>
      </c>
      <c r="C303" s="40" t="str">
        <f t="shared" si="45"/>
        <v>22-&gt;</v>
      </c>
      <c r="D303" s="40" t="str">
        <f t="shared" si="46"/>
        <v xml:space="preserve">No pick yet                                                 </v>
      </c>
      <c r="E303" s="52">
        <f t="shared" si="47"/>
        <v>0</v>
      </c>
      <c r="F303" s="18"/>
      <c r="G303" s="13">
        <f t="shared" si="44"/>
        <v>0</v>
      </c>
      <c r="H303" s="13" t="e">
        <f>LEFT(VLOOKUP(ScoPo!T71,ScoPo!$G$150:$J$277,4,0),FIND(",",VLOOKUP(ScoPo!T71,ScoPo!$G$150:$J$277,4,0))-1)&amp;" "&amp;$AH$65&amp;" "&amp;LEFT(VLOOKUP(ScoPo!S71,ScoPo!$G$150:$J$277,4,0),FIND(",",VLOOKUP(ScoPo!S71,ScoPo!$G$150:$J$277,4,0))-1)</f>
        <v>#N/A</v>
      </c>
      <c r="I303" s="13" t="str">
        <f>IF(ScoPo!K71=1,0,IF(ScoPo!K71=2,ScoPo!O71," "))</f>
        <v xml:space="preserve"> </v>
      </c>
      <c r="M303" s="18"/>
      <c r="N303" s="18"/>
      <c r="O303" s="18"/>
      <c r="P303" s="18"/>
      <c r="Q303" s="22"/>
      <c r="R303" s="21"/>
      <c r="S303" s="21"/>
      <c r="T303" s="21"/>
      <c r="AA303"/>
      <c r="AH303" t="str">
        <f t="shared" si="48"/>
        <v>k yet</v>
      </c>
    </row>
    <row r="304" spans="1:34">
      <c r="A304" s="42" t="s">
        <v>268</v>
      </c>
      <c r="B304" s="1" t="s">
        <v>20</v>
      </c>
      <c r="C304" s="40" t="str">
        <f t="shared" si="45"/>
        <v>23-&gt;</v>
      </c>
      <c r="D304" s="40" t="str">
        <f t="shared" si="46"/>
        <v xml:space="preserve">No pick yet                                                 </v>
      </c>
      <c r="E304" s="52">
        <f t="shared" si="47"/>
        <v>0</v>
      </c>
      <c r="F304" s="18"/>
      <c r="G304" s="13">
        <f t="shared" si="44"/>
        <v>0</v>
      </c>
      <c r="H304" s="13" t="e">
        <f>LEFT(VLOOKUP(ScoPo!T72,ScoPo!$G$150:$J$277,4,0),FIND(",",VLOOKUP(ScoPo!T72,ScoPo!$G$150:$J$277,4,0))-1)&amp;" "&amp;$AH$65&amp;" "&amp;LEFT(VLOOKUP(ScoPo!S72,ScoPo!$G$150:$J$277,4,0),FIND(",",VLOOKUP(ScoPo!S72,ScoPo!$G$150:$J$277,4,0))-1)</f>
        <v>#N/A</v>
      </c>
      <c r="I304" s="13" t="str">
        <f>IF(ScoPo!K72=1,0,IF(ScoPo!K72=2,ScoPo!O72," "))</f>
        <v xml:space="preserve"> </v>
      </c>
      <c r="M304" s="18"/>
      <c r="N304" s="18"/>
      <c r="O304" s="18"/>
      <c r="P304" s="18"/>
      <c r="Q304" s="22"/>
      <c r="R304" s="21"/>
      <c r="S304" s="21"/>
      <c r="T304" s="21"/>
      <c r="AA304"/>
      <c r="AH304" t="str">
        <f t="shared" si="48"/>
        <v>k yet</v>
      </c>
    </row>
    <row r="305" spans="1:39">
      <c r="A305" s="42" t="s">
        <v>269</v>
      </c>
      <c r="B305" s="1" t="s">
        <v>20</v>
      </c>
      <c r="C305" s="40" t="str">
        <f t="shared" si="45"/>
        <v>24-&gt;</v>
      </c>
      <c r="D305" s="40" t="str">
        <f t="shared" si="46"/>
        <v xml:space="preserve">No pick yet                                                 </v>
      </c>
      <c r="E305" s="52">
        <f t="shared" si="47"/>
        <v>0</v>
      </c>
      <c r="F305" s="18"/>
      <c r="G305" s="13">
        <f t="shared" si="44"/>
        <v>0</v>
      </c>
      <c r="H305" s="13" t="e">
        <f>LEFT(VLOOKUP(ScoPo!T73,ScoPo!$G$150:$J$277,4,0),FIND(",",VLOOKUP(ScoPo!T73,ScoPo!$G$150:$J$277,4,0))-1)&amp;" "&amp;$AH$65&amp;" "&amp;LEFT(VLOOKUP(ScoPo!S73,ScoPo!$G$150:$J$277,4,0),FIND(",",VLOOKUP(ScoPo!S73,ScoPo!$G$150:$J$277,4,0))-1)</f>
        <v>#N/A</v>
      </c>
      <c r="I305" s="13" t="str">
        <f>IF(ScoPo!K73=1,0,IF(ScoPo!K73=2,ScoPo!O73," "))</f>
        <v xml:space="preserve"> </v>
      </c>
      <c r="M305" s="18"/>
      <c r="N305" s="18"/>
      <c r="O305" s="18"/>
      <c r="P305" s="18"/>
      <c r="Q305" s="22"/>
      <c r="R305" s="21"/>
      <c r="S305" s="21"/>
      <c r="T305" s="21"/>
      <c r="AA305"/>
      <c r="AH305" t="str">
        <f t="shared" si="48"/>
        <v>k yet</v>
      </c>
    </row>
    <row r="306" spans="1:39">
      <c r="A306" s="42" t="s">
        <v>270</v>
      </c>
      <c r="B306" s="1" t="s">
        <v>20</v>
      </c>
      <c r="C306" s="40" t="str">
        <f t="shared" si="45"/>
        <v>25-&gt;</v>
      </c>
      <c r="D306" s="40" t="str">
        <f t="shared" si="46"/>
        <v xml:space="preserve">No pick yet                                                 </v>
      </c>
      <c r="E306" s="52">
        <f t="shared" si="47"/>
        <v>0</v>
      </c>
      <c r="F306" s="18"/>
      <c r="G306" s="13">
        <f t="shared" si="44"/>
        <v>0</v>
      </c>
      <c r="H306" s="13" t="e">
        <f>LEFT(VLOOKUP(ScoPo!T74,ScoPo!$G$150:$J$277,4,0),FIND(",",VLOOKUP(ScoPo!T74,ScoPo!$G$150:$J$277,4,0))-1)&amp;" "&amp;$AH$65&amp;" "&amp;LEFT(VLOOKUP(ScoPo!S74,ScoPo!$G$150:$J$277,4,0),FIND(",",VLOOKUP(ScoPo!S74,ScoPo!$G$150:$J$277,4,0))-1)</f>
        <v>#N/A</v>
      </c>
      <c r="I306" s="13" t="str">
        <f>IF(ScoPo!K74=1,0,IF(ScoPo!K74=2,ScoPo!O74," "))</f>
        <v xml:space="preserve"> </v>
      </c>
      <c r="M306" s="18"/>
      <c r="N306" s="18"/>
      <c r="O306" s="18"/>
      <c r="P306" s="18"/>
      <c r="Q306" s="22"/>
      <c r="R306" s="21"/>
      <c r="S306" s="21"/>
      <c r="T306" s="21"/>
      <c r="AA306"/>
      <c r="AH306" t="str">
        <f t="shared" si="48"/>
        <v>k yet</v>
      </c>
    </row>
    <row r="307" spans="1:39">
      <c r="A307" s="42" t="s">
        <v>271</v>
      </c>
      <c r="B307" s="1" t="s">
        <v>20</v>
      </c>
      <c r="C307" s="40" t="str">
        <f t="shared" si="45"/>
        <v>26-&gt;</v>
      </c>
      <c r="D307" s="40" t="str">
        <f t="shared" si="46"/>
        <v xml:space="preserve">No pick yet                                                 </v>
      </c>
      <c r="E307" s="52">
        <f t="shared" si="47"/>
        <v>0</v>
      </c>
      <c r="F307" s="18"/>
      <c r="G307" s="13">
        <f t="shared" si="44"/>
        <v>0</v>
      </c>
      <c r="H307" s="13" t="e">
        <f>LEFT(VLOOKUP(ScoPo!T75,ScoPo!$G$150:$J$277,4,0),FIND(",",VLOOKUP(ScoPo!T75,ScoPo!$G$150:$J$277,4,0))-1)&amp;" "&amp;$AH$65&amp;" "&amp;LEFT(VLOOKUP(ScoPo!S75,ScoPo!$G$150:$J$277,4,0),FIND(",",VLOOKUP(ScoPo!S75,ScoPo!$G$150:$J$277,4,0))-1)</f>
        <v>#N/A</v>
      </c>
      <c r="I307" s="13" t="str">
        <f>IF(ScoPo!K75=1,0,IF(ScoPo!K75=2,ScoPo!O75," "))</f>
        <v xml:space="preserve"> </v>
      </c>
      <c r="M307" s="18"/>
      <c r="N307" s="18"/>
      <c r="O307" s="18"/>
      <c r="P307" s="18"/>
      <c r="Q307" s="22"/>
      <c r="R307" s="21"/>
      <c r="S307" s="21"/>
      <c r="T307" s="21"/>
      <c r="AA307"/>
      <c r="AH307" t="str">
        <f t="shared" si="48"/>
        <v>k yet</v>
      </c>
    </row>
    <row r="308" spans="1:39">
      <c r="A308" s="38"/>
      <c r="B308" s="40"/>
      <c r="C308" s="40"/>
      <c r="D308" s="49"/>
      <c r="E308" s="41" t="s">
        <v>69</v>
      </c>
      <c r="F308" s="18"/>
      <c r="G308" s="13">
        <f t="shared" si="44"/>
        <v>0</v>
      </c>
      <c r="H308" s="13" t="e">
        <f>LEFT(VLOOKUP(ScoPo!T76,ScoPo!$G$150:$J$277,4,0),FIND(",",VLOOKUP(ScoPo!T76,ScoPo!$G$150:$J$277,4,0))-1)&amp;" "&amp;$AH$65&amp;" "&amp;LEFT(VLOOKUP(ScoPo!S76,ScoPo!$G$150:$J$277,4,0),FIND(",",VLOOKUP(ScoPo!S76,ScoPo!$G$150:$J$277,4,0))-1)</f>
        <v>#N/A</v>
      </c>
      <c r="I308" s="13" t="str">
        <f>IF(ScoPo!K76=1,0,IF(ScoPo!K76=2,ScoPo!O76," "))</f>
        <v xml:space="preserve"> </v>
      </c>
      <c r="J308" s="22"/>
      <c r="K308" s="22" t="s">
        <v>73</v>
      </c>
      <c r="L308" s="18" t="s">
        <v>74</v>
      </c>
      <c r="M308" s="22" t="s">
        <v>78</v>
      </c>
      <c r="N308" s="22" t="s">
        <v>79</v>
      </c>
      <c r="O308" s="22" t="s">
        <v>80</v>
      </c>
      <c r="P308" s="22" t="s">
        <v>81</v>
      </c>
      <c r="Q308" s="22" t="s">
        <v>82</v>
      </c>
      <c r="R308" s="22" t="s">
        <v>83</v>
      </c>
      <c r="S308" s="22" t="s">
        <v>84</v>
      </c>
      <c r="T308" s="18" t="s">
        <v>85</v>
      </c>
      <c r="U308" s="18" t="s">
        <v>86</v>
      </c>
      <c r="V308" s="18" t="s">
        <v>87</v>
      </c>
      <c r="W308" s="18" t="s">
        <v>88</v>
      </c>
      <c r="X308" s="18" t="s">
        <v>89</v>
      </c>
      <c r="Y308" s="18" t="s">
        <v>90</v>
      </c>
      <c r="Z308" s="18" t="s">
        <v>91</v>
      </c>
      <c r="AA308" s="18" t="s">
        <v>92</v>
      </c>
      <c r="AB308" s="18" t="s">
        <v>93</v>
      </c>
      <c r="AC308" s="18" t="s">
        <v>94</v>
      </c>
      <c r="AD308" s="18" t="s">
        <v>235</v>
      </c>
      <c r="AE308" s="18" t="s">
        <v>236</v>
      </c>
      <c r="AF308" s="18" t="s">
        <v>237</v>
      </c>
      <c r="AG308" s="18" t="s">
        <v>238</v>
      </c>
      <c r="AH308" s="18" t="s">
        <v>239</v>
      </c>
      <c r="AI308" s="18" t="s">
        <v>240</v>
      </c>
      <c r="AJ308" s="18" t="s">
        <v>241</v>
      </c>
      <c r="AK308" s="18" t="s">
        <v>242</v>
      </c>
      <c r="AL308" s="18" t="s">
        <v>243</v>
      </c>
      <c r="AM308" s="50" t="s">
        <v>244</v>
      </c>
    </row>
    <row r="309" spans="1:39">
      <c r="A309" s="40" t="s">
        <v>245</v>
      </c>
      <c r="B309" s="51" t="str">
        <f>D10</f>
        <v/>
      </c>
      <c r="C309" s="40" t="str">
        <f t="shared" ref="C309:C335" si="49">A309</f>
        <v>#</v>
      </c>
      <c r="D309" s="40" t="str">
        <f>"   "&amp;B309&amp;REPT(" ",$AH$70-LEN(B309)-3)</f>
        <v xml:space="preserve">                                                            </v>
      </c>
      <c r="E309" s="38" t="str">
        <f>SUM(E310:E335)&amp;" pts[/b]"</f>
        <v>0 pts[/b]</v>
      </c>
      <c r="F309" s="21">
        <f>SUM(E310:E335)</f>
        <v>0</v>
      </c>
      <c r="G309" s="13">
        <f t="shared" si="44"/>
        <v>0</v>
      </c>
      <c r="H309" s="13" t="e">
        <f>LEFT(VLOOKUP(ScoPo!T77,ScoPo!$G$150:$J$277,4,0),FIND(",",VLOOKUP(ScoPo!T77,ScoPo!$G$150:$J$277,4,0))-1)&amp;" "&amp;$AH$65&amp;" "&amp;LEFT(VLOOKUP(ScoPo!S77,ScoPo!$G$150:$J$277,4,0),FIND(",",VLOOKUP(ScoPo!S77,ScoPo!$G$150:$J$277,4,0))-1)</f>
        <v>#N/A</v>
      </c>
      <c r="I309" s="13" t="str">
        <f>IF(ScoPo!K77=1,0,IF(ScoPo!K77=2,ScoPo!O77," "))</f>
        <v xml:space="preserve"> </v>
      </c>
      <c r="J309" s="22"/>
      <c r="K309" s="18">
        <f>COUNTIF(E310:E335,"&gt;0")</f>
        <v>0</v>
      </c>
      <c r="L309" s="21">
        <f>AM309-K309</f>
        <v>0</v>
      </c>
      <c r="M309" s="22">
        <f>MAX(E310:E335)</f>
        <v>0</v>
      </c>
      <c r="N309" s="22">
        <f>LARGE(E310:E335,2)</f>
        <v>0</v>
      </c>
      <c r="O309" s="22">
        <f>LARGE(E310:E335,3)</f>
        <v>0</v>
      </c>
      <c r="P309" s="18">
        <f>LARGE(E310:E335,4)</f>
        <v>0</v>
      </c>
      <c r="Q309" s="22">
        <f>LARGE(E310:E335,5)</f>
        <v>0</v>
      </c>
      <c r="R309" s="22">
        <f>LARGE(E310:E335,6)</f>
        <v>0</v>
      </c>
      <c r="S309" s="22">
        <f>LARGE(E310:E335,7)</f>
        <v>0</v>
      </c>
      <c r="T309" s="18">
        <f>LARGE(E310:E335,8)</f>
        <v>0</v>
      </c>
      <c r="U309" s="18">
        <f>LARGE(E310:E335,9)</f>
        <v>0</v>
      </c>
      <c r="V309" s="18">
        <f>LARGE(E310:E335,10)</f>
        <v>0</v>
      </c>
      <c r="W309" s="18">
        <f>LARGE(E310:E335,11)</f>
        <v>0</v>
      </c>
      <c r="X309" s="18">
        <f>LARGE(E310:E335,12)</f>
        <v>0</v>
      </c>
      <c r="Y309" s="18">
        <f>LARGE(E310:E335,13)</f>
        <v>0</v>
      </c>
      <c r="Z309" s="18">
        <f>LARGE(E310:E335,14)</f>
        <v>0</v>
      </c>
      <c r="AA309" s="18">
        <f>LARGE(E310:E335,15)</f>
        <v>0</v>
      </c>
      <c r="AB309" s="18">
        <f>LARGE(E310:E335,16)</f>
        <v>0</v>
      </c>
      <c r="AC309" s="18">
        <f>LARGE(E310:E335,17)</f>
        <v>0</v>
      </c>
      <c r="AD309" s="18">
        <f>LARGE(E310:E336,13)</f>
        <v>0</v>
      </c>
      <c r="AE309" s="18">
        <f>LARGE(E310:E335,19)</f>
        <v>0</v>
      </c>
      <c r="AF309" s="18">
        <f>LARGE(E310:E335,20)</f>
        <v>0</v>
      </c>
      <c r="AG309" s="18">
        <f>LARGE(E310:E335,21)</f>
        <v>0</v>
      </c>
      <c r="AH309" s="18">
        <f>LARGE(E310:E335,22)</f>
        <v>0</v>
      </c>
      <c r="AI309" s="18">
        <f>LARGE(E310:E335,23)</f>
        <v>0</v>
      </c>
      <c r="AJ309" s="18">
        <f>LARGE(E310:E335,24)</f>
        <v>0</v>
      </c>
      <c r="AK309" s="18">
        <f>LARGE(E310:E335,25)</f>
        <v>0</v>
      </c>
      <c r="AL309" s="18">
        <f>LARGE(E310:E335,26)</f>
        <v>0</v>
      </c>
      <c r="AM309" s="50">
        <f>COUNTIF(AH310:AH335,"&lt;&gt;"&amp;AH76)-(26-COUNTIF(E310:E335,"&gt;=0"))</f>
        <v>0</v>
      </c>
    </row>
    <row r="310" spans="1:39">
      <c r="A310" s="42" t="s">
        <v>246</v>
      </c>
      <c r="B310" s="1" t="s">
        <v>20</v>
      </c>
      <c r="C310" s="40" t="str">
        <f t="shared" si="49"/>
        <v>01-&gt;</v>
      </c>
      <c r="D310" s="40" t="str">
        <f t="shared" ref="D310:D335" si="50">B310&amp;REPT(" ",$AH$70-LEN(B310))</f>
        <v xml:space="preserve">No pick yet                                                 </v>
      </c>
      <c r="E310" s="52">
        <f t="shared" ref="E310:E335" si="51">VLOOKUP(RIGHT(B310,LEN(B310)-$AH$66),$H$138:$I$420,2,0)</f>
        <v>0</v>
      </c>
      <c r="F310" s="18"/>
      <c r="G310" s="13">
        <f t="shared" si="44"/>
        <v>0</v>
      </c>
      <c r="H310" s="13" t="e">
        <f>LEFT(VLOOKUP(ScoPo!T78,ScoPo!$G$150:$J$277,4,0),FIND(",",VLOOKUP(ScoPo!T78,ScoPo!$G$150:$J$277,4,0))-1)&amp;" "&amp;$AH$65&amp;" "&amp;LEFT(VLOOKUP(ScoPo!S78,ScoPo!$G$150:$J$277,4,0),FIND(",",VLOOKUP(ScoPo!S78,ScoPo!$G$150:$J$277,4,0))-1)</f>
        <v>#N/A</v>
      </c>
      <c r="I310" s="13" t="str">
        <f>IF(ScoPo!K78=1,0,IF(ScoPo!K78=2,ScoPo!O78," "))</f>
        <v xml:space="preserve"> </v>
      </c>
      <c r="M310" s="18"/>
      <c r="N310" s="18"/>
      <c r="O310" s="18"/>
      <c r="P310" s="18"/>
      <c r="Q310" s="22"/>
      <c r="R310" s="21"/>
      <c r="S310" s="21"/>
      <c r="T310" s="21"/>
      <c r="AA310"/>
      <c r="AH310" t="str">
        <f t="shared" ref="AH310:AH335" si="52">RIGHT(B310,LEN(B310)-$AH$66)</f>
        <v>k yet</v>
      </c>
    </row>
    <row r="311" spans="1:39">
      <c r="A311" s="42" t="s">
        <v>247</v>
      </c>
      <c r="B311" s="1" t="s">
        <v>20</v>
      </c>
      <c r="C311" s="40" t="str">
        <f t="shared" si="49"/>
        <v>02-&gt;</v>
      </c>
      <c r="D311" s="40" t="str">
        <f t="shared" si="50"/>
        <v xml:space="preserve">No pick yet                                                 </v>
      </c>
      <c r="E311" s="52">
        <f t="shared" si="51"/>
        <v>0</v>
      </c>
      <c r="F311" s="18"/>
      <c r="G311" s="13">
        <f t="shared" si="44"/>
        <v>0</v>
      </c>
      <c r="H311" s="13" t="e">
        <f>LEFT(VLOOKUP(ScoPo!T79,ScoPo!$G$150:$J$277,4,0),FIND(",",VLOOKUP(ScoPo!T79,ScoPo!$G$150:$J$277,4,0))-1)&amp;" "&amp;$AH$65&amp;" "&amp;LEFT(VLOOKUP(ScoPo!S79,ScoPo!$G$150:$J$277,4,0),FIND(",",VLOOKUP(ScoPo!S79,ScoPo!$G$150:$J$277,4,0))-1)</f>
        <v>#N/A</v>
      </c>
      <c r="I311" s="13" t="str">
        <f>IF(ScoPo!K79=1,0,IF(ScoPo!K79=2,ScoPo!O79," "))</f>
        <v xml:space="preserve"> </v>
      </c>
      <c r="K311" s="22"/>
      <c r="N311" s="22"/>
      <c r="O311" s="22"/>
      <c r="P311" s="22"/>
      <c r="Q311" s="22"/>
      <c r="R311" s="22"/>
      <c r="S311" s="22"/>
      <c r="Z311" s="53"/>
      <c r="AA311"/>
      <c r="AH311" t="str">
        <f t="shared" si="52"/>
        <v>k yet</v>
      </c>
    </row>
    <row r="312" spans="1:39">
      <c r="A312" s="42" t="s">
        <v>248</v>
      </c>
      <c r="B312" s="1" t="s">
        <v>20</v>
      </c>
      <c r="C312" s="40" t="str">
        <f t="shared" si="49"/>
        <v>03-&gt;</v>
      </c>
      <c r="D312" s="40" t="str">
        <f t="shared" si="50"/>
        <v xml:space="preserve">No pick yet                                                 </v>
      </c>
      <c r="E312" s="52">
        <f t="shared" si="51"/>
        <v>0</v>
      </c>
      <c r="F312" s="18"/>
      <c r="G312" s="13">
        <f t="shared" si="44"/>
        <v>0</v>
      </c>
      <c r="H312" s="13" t="e">
        <f>LEFT(VLOOKUP(ScoPo!T80,ScoPo!$G$150:$J$277,4,0),FIND(",",VLOOKUP(ScoPo!T80,ScoPo!$G$150:$J$277,4,0))-1)&amp;" "&amp;$AH$65&amp;" "&amp;LEFT(VLOOKUP(ScoPo!S80,ScoPo!$G$150:$J$277,4,0),FIND(",",VLOOKUP(ScoPo!S80,ScoPo!$G$150:$J$277,4,0))-1)</f>
        <v>#N/A</v>
      </c>
      <c r="I312" s="13" t="str">
        <f>IF(ScoPo!K80=1,0,IF(ScoPo!K80=2,ScoPo!O80," "))</f>
        <v xml:space="preserve"> </v>
      </c>
      <c r="L312" s="21"/>
      <c r="N312" s="22"/>
      <c r="O312" s="22"/>
      <c r="P312" s="18"/>
      <c r="Q312" s="22"/>
      <c r="R312" s="22"/>
      <c r="S312" s="22"/>
      <c r="Z312" s="53"/>
      <c r="AA312"/>
      <c r="AH312" t="str">
        <f t="shared" si="52"/>
        <v>k yet</v>
      </c>
    </row>
    <row r="313" spans="1:39">
      <c r="A313" s="42" t="s">
        <v>249</v>
      </c>
      <c r="B313" s="1" t="s">
        <v>20</v>
      </c>
      <c r="C313" s="40" t="str">
        <f t="shared" si="49"/>
        <v>04-&gt;</v>
      </c>
      <c r="D313" s="40" t="str">
        <f t="shared" si="50"/>
        <v xml:space="preserve">No pick yet                                                 </v>
      </c>
      <c r="E313" s="52">
        <f t="shared" si="51"/>
        <v>0</v>
      </c>
      <c r="F313" s="18"/>
      <c r="G313" s="13">
        <f t="shared" si="44"/>
        <v>0</v>
      </c>
      <c r="H313" s="13" t="e">
        <f>LEFT(VLOOKUP(ScoPo!T81,ScoPo!$G$150:$J$277,4,0),FIND(",",VLOOKUP(ScoPo!T81,ScoPo!$G$150:$J$277,4,0))-1)&amp;" "&amp;$AH$65&amp;" "&amp;LEFT(VLOOKUP(ScoPo!S81,ScoPo!$G$150:$J$277,4,0),FIND(",",VLOOKUP(ScoPo!S81,ScoPo!$G$150:$J$277,4,0))-1)</f>
        <v>#N/A</v>
      </c>
      <c r="I313" s="13" t="str">
        <f>IF(ScoPo!K81=1,0,IF(ScoPo!K81=2,ScoPo!O81," "))</f>
        <v xml:space="preserve"> </v>
      </c>
      <c r="M313" s="18"/>
      <c r="N313" s="18"/>
      <c r="O313" s="18"/>
      <c r="P313" s="18"/>
      <c r="Q313" s="22"/>
      <c r="R313" s="21"/>
      <c r="S313" s="21"/>
      <c r="T313" s="21"/>
      <c r="AA313"/>
      <c r="AH313" t="str">
        <f t="shared" si="52"/>
        <v>k yet</v>
      </c>
    </row>
    <row r="314" spans="1:39">
      <c r="A314" s="42" t="s">
        <v>250</v>
      </c>
      <c r="B314" s="1" t="s">
        <v>20</v>
      </c>
      <c r="C314" s="40" t="str">
        <f t="shared" si="49"/>
        <v>05-&gt;</v>
      </c>
      <c r="D314" s="40" t="str">
        <f t="shared" si="50"/>
        <v xml:space="preserve">No pick yet                                                 </v>
      </c>
      <c r="E314" s="52">
        <f t="shared" si="51"/>
        <v>0</v>
      </c>
      <c r="F314" s="18"/>
      <c r="G314" s="13">
        <f t="shared" si="44"/>
        <v>0</v>
      </c>
      <c r="H314" s="13" t="e">
        <f>LEFT(VLOOKUP(ScoPo!T82,ScoPo!$G$150:$J$277,4,0),FIND(",",VLOOKUP(ScoPo!T82,ScoPo!$G$150:$J$277,4,0))-1)&amp;" "&amp;$AH$65&amp;" "&amp;LEFT(VLOOKUP(ScoPo!S82,ScoPo!$G$150:$J$277,4,0),FIND(",",VLOOKUP(ScoPo!S82,ScoPo!$G$150:$J$277,4,0))-1)</f>
        <v>#N/A</v>
      </c>
      <c r="I314" s="13" t="str">
        <f>IF(ScoPo!K82=1,0,IF(ScoPo!K82=2,ScoPo!O82," "))</f>
        <v xml:space="preserve"> </v>
      </c>
      <c r="M314" s="18"/>
      <c r="N314" s="18"/>
      <c r="O314" s="18"/>
      <c r="P314" s="18"/>
      <c r="Q314" s="22"/>
      <c r="R314" s="21"/>
      <c r="S314" s="21"/>
      <c r="T314" s="21"/>
      <c r="AA314"/>
      <c r="AH314" t="str">
        <f t="shared" si="52"/>
        <v>k yet</v>
      </c>
    </row>
    <row r="315" spans="1:39">
      <c r="A315" s="42" t="s">
        <v>251</v>
      </c>
      <c r="B315" s="1" t="s">
        <v>20</v>
      </c>
      <c r="C315" s="40" t="str">
        <f t="shared" si="49"/>
        <v>06-&gt;</v>
      </c>
      <c r="D315" s="40" t="str">
        <f t="shared" si="50"/>
        <v xml:space="preserve">No pick yet                                                 </v>
      </c>
      <c r="E315" s="52">
        <f t="shared" si="51"/>
        <v>0</v>
      </c>
      <c r="F315" s="18"/>
      <c r="G315" s="13">
        <f t="shared" si="44"/>
        <v>0</v>
      </c>
      <c r="H315" s="13" t="e">
        <f>LEFT(VLOOKUP(ScoPo!T83,ScoPo!$G$150:$J$277,4,0),FIND(",",VLOOKUP(ScoPo!T83,ScoPo!$G$150:$J$277,4,0))-1)&amp;" "&amp;$AH$65&amp;" "&amp;LEFT(VLOOKUP(ScoPo!S83,ScoPo!$G$150:$J$277,4,0),FIND(",",VLOOKUP(ScoPo!S83,ScoPo!$G$150:$J$277,4,0))-1)</f>
        <v>#N/A</v>
      </c>
      <c r="I315" s="13" t="str">
        <f>IF(ScoPo!K83=1,0,IF(ScoPo!K83=2,ScoPo!O83," "))</f>
        <v xml:space="preserve"> </v>
      </c>
      <c r="M315" s="18"/>
      <c r="N315" s="18"/>
      <c r="O315" s="18"/>
      <c r="P315" s="18"/>
      <c r="Q315" s="22"/>
      <c r="R315" s="21"/>
      <c r="S315" s="21"/>
      <c r="T315" s="21"/>
      <c r="AA315"/>
      <c r="AH315" t="str">
        <f t="shared" si="52"/>
        <v>k yet</v>
      </c>
    </row>
    <row r="316" spans="1:39">
      <c r="A316" s="42" t="s">
        <v>252</v>
      </c>
      <c r="B316" s="1" t="s">
        <v>20</v>
      </c>
      <c r="C316" s="40" t="str">
        <f t="shared" si="49"/>
        <v>07-&gt;</v>
      </c>
      <c r="D316" s="40" t="str">
        <f t="shared" si="50"/>
        <v xml:space="preserve">No pick yet                                                 </v>
      </c>
      <c r="E316" s="52">
        <f t="shared" si="51"/>
        <v>0</v>
      </c>
      <c r="F316" s="18"/>
      <c r="G316" s="13">
        <f t="shared" si="44"/>
        <v>0</v>
      </c>
      <c r="H316" s="13" t="e">
        <f>LEFT(VLOOKUP(ScoPo!T84,ScoPo!$G$150:$J$277,4,0),FIND(",",VLOOKUP(ScoPo!T84,ScoPo!$G$150:$J$277,4,0))-1)&amp;" "&amp;$AH$65&amp;" "&amp;LEFT(VLOOKUP(ScoPo!S84,ScoPo!$G$150:$J$277,4,0),FIND(",",VLOOKUP(ScoPo!S84,ScoPo!$G$150:$J$277,4,0))-1)</f>
        <v>#N/A</v>
      </c>
      <c r="I316" s="13" t="str">
        <f>IF(ScoPo!K84=1,0,IF(ScoPo!K84=2,ScoPo!O84," "))</f>
        <v xml:space="preserve"> </v>
      </c>
      <c r="M316" s="18"/>
      <c r="N316" s="18"/>
      <c r="O316" s="18"/>
      <c r="P316" s="18"/>
      <c r="Q316" s="22"/>
      <c r="R316" s="21"/>
      <c r="S316" s="21"/>
      <c r="T316" s="21"/>
      <c r="AA316"/>
      <c r="AH316" t="str">
        <f t="shared" si="52"/>
        <v>k yet</v>
      </c>
    </row>
    <row r="317" spans="1:39">
      <c r="A317" s="42" t="s">
        <v>253</v>
      </c>
      <c r="B317" s="1" t="s">
        <v>20</v>
      </c>
      <c r="C317" s="40" t="str">
        <f t="shared" si="49"/>
        <v>08-&gt;</v>
      </c>
      <c r="D317" s="40" t="str">
        <f t="shared" si="50"/>
        <v xml:space="preserve">No pick yet                                                 </v>
      </c>
      <c r="E317" s="52">
        <f t="shared" si="51"/>
        <v>0</v>
      </c>
      <c r="F317" s="18"/>
      <c r="G317" s="13">
        <f t="shared" si="44"/>
        <v>0</v>
      </c>
      <c r="H317" s="13" t="e">
        <f>LEFT(VLOOKUP(ScoPo!T85,ScoPo!$G$150:$J$277,4,0),FIND(",",VLOOKUP(ScoPo!T85,ScoPo!$G$150:$J$277,4,0))-1)&amp;" "&amp;$AH$65&amp;" "&amp;LEFT(VLOOKUP(ScoPo!S85,ScoPo!$G$150:$J$277,4,0),FIND(",",VLOOKUP(ScoPo!S85,ScoPo!$G$150:$J$277,4,0))-1)</f>
        <v>#N/A</v>
      </c>
      <c r="I317" s="13" t="str">
        <f>IF(ScoPo!K85=1,0,IF(ScoPo!K85=2,ScoPo!O85," "))</f>
        <v xml:space="preserve"> </v>
      </c>
      <c r="M317" s="18"/>
      <c r="N317" s="18"/>
      <c r="O317" s="18"/>
      <c r="P317" s="18"/>
      <c r="Q317" s="22"/>
      <c r="R317" s="21"/>
      <c r="S317" s="21"/>
      <c r="T317" s="21"/>
      <c r="AA317"/>
      <c r="AH317" t="str">
        <f t="shared" si="52"/>
        <v>k yet</v>
      </c>
    </row>
    <row r="318" spans="1:39">
      <c r="A318" s="42" t="s">
        <v>254</v>
      </c>
      <c r="B318" s="1" t="s">
        <v>20</v>
      </c>
      <c r="C318" s="40" t="str">
        <f t="shared" si="49"/>
        <v>09-&gt;</v>
      </c>
      <c r="D318" s="40" t="str">
        <f t="shared" si="50"/>
        <v xml:space="preserve">No pick yet                                                 </v>
      </c>
      <c r="E318" s="52">
        <f t="shared" si="51"/>
        <v>0</v>
      </c>
      <c r="F318" s="18"/>
      <c r="G318" s="13">
        <f t="shared" si="44"/>
        <v>0</v>
      </c>
      <c r="H318" s="13" t="e">
        <f>LEFT(VLOOKUP(ScoPo!T86,ScoPo!$G$150:$J$277,4,0),FIND(",",VLOOKUP(ScoPo!T86,ScoPo!$G$150:$J$277,4,0))-1)&amp;" "&amp;$AH$65&amp;" "&amp;LEFT(VLOOKUP(ScoPo!S86,ScoPo!$G$150:$J$277,4,0),FIND(",",VLOOKUP(ScoPo!S86,ScoPo!$G$150:$J$277,4,0))-1)</f>
        <v>#N/A</v>
      </c>
      <c r="I318" s="13" t="str">
        <f>IF(ScoPo!K86=1,0,IF(ScoPo!K86=2,ScoPo!O86," "))</f>
        <v xml:space="preserve"> </v>
      </c>
      <c r="M318" s="18"/>
      <c r="N318" s="18"/>
      <c r="O318" s="18"/>
      <c r="P318" s="18"/>
      <c r="Q318" s="22"/>
      <c r="R318" s="21"/>
      <c r="S318" s="21"/>
      <c r="T318" s="21"/>
      <c r="AA318"/>
      <c r="AH318" t="str">
        <f t="shared" si="52"/>
        <v>k yet</v>
      </c>
    </row>
    <row r="319" spans="1:39">
      <c r="A319" s="42" t="s">
        <v>255</v>
      </c>
      <c r="B319" s="1" t="s">
        <v>20</v>
      </c>
      <c r="C319" s="40" t="str">
        <f t="shared" si="49"/>
        <v>10-&gt;</v>
      </c>
      <c r="D319" s="40" t="str">
        <f t="shared" si="50"/>
        <v xml:space="preserve">No pick yet                                                 </v>
      </c>
      <c r="E319" s="52">
        <f t="shared" si="51"/>
        <v>0</v>
      </c>
      <c r="F319" s="22"/>
      <c r="G319" s="13">
        <f t="shared" si="44"/>
        <v>0</v>
      </c>
      <c r="H319" s="13" t="e">
        <f>LEFT(VLOOKUP(ScoPo!T87,ScoPo!$G$150:$J$277,4,0),FIND(",",VLOOKUP(ScoPo!T87,ScoPo!$G$150:$J$277,4,0))-1)&amp;" "&amp;$AH$65&amp;" "&amp;LEFT(VLOOKUP(ScoPo!S87,ScoPo!$G$150:$J$277,4,0),FIND(",",VLOOKUP(ScoPo!S87,ScoPo!$G$150:$J$277,4,0))-1)</f>
        <v>#N/A</v>
      </c>
      <c r="I319" s="13" t="str">
        <f>IF(ScoPo!K87=1,0,IF(ScoPo!K87=2,ScoPo!O87," "))</f>
        <v xml:space="preserve"> </v>
      </c>
      <c r="M319" s="18"/>
      <c r="N319" s="18"/>
      <c r="O319" s="18"/>
      <c r="P319" s="18"/>
      <c r="Q319" s="22"/>
      <c r="R319" s="21"/>
      <c r="S319" s="21"/>
      <c r="T319" s="21"/>
      <c r="AA319"/>
      <c r="AH319" t="str">
        <f t="shared" si="52"/>
        <v>k yet</v>
      </c>
    </row>
    <row r="320" spans="1:39">
      <c r="A320" s="42" t="s">
        <v>256</v>
      </c>
      <c r="B320" s="1" t="s">
        <v>20</v>
      </c>
      <c r="C320" s="40" t="str">
        <f t="shared" si="49"/>
        <v>11-&gt;</v>
      </c>
      <c r="D320" s="40" t="str">
        <f t="shared" si="50"/>
        <v xml:space="preserve">No pick yet                                                 </v>
      </c>
      <c r="E320" s="52">
        <f t="shared" si="51"/>
        <v>0</v>
      </c>
      <c r="G320" s="13">
        <f t="shared" si="44"/>
        <v>0</v>
      </c>
      <c r="H320" s="13" t="e">
        <f>LEFT(VLOOKUP(ScoPo!T88,ScoPo!$G$150:$J$277,4,0),FIND(",",VLOOKUP(ScoPo!T88,ScoPo!$G$150:$J$277,4,0))-1)&amp;" "&amp;$AH$65&amp;" "&amp;LEFT(VLOOKUP(ScoPo!S88,ScoPo!$G$150:$J$277,4,0),FIND(",",VLOOKUP(ScoPo!S88,ScoPo!$G$150:$J$277,4,0))-1)</f>
        <v>#N/A</v>
      </c>
      <c r="I320" s="13" t="str">
        <f>IF(ScoPo!K88=1,0,IF(ScoPo!K88=2,ScoPo!O88," "))</f>
        <v xml:space="preserve"> </v>
      </c>
      <c r="M320" s="18"/>
      <c r="N320" s="18"/>
      <c r="O320" s="18"/>
      <c r="P320" s="18"/>
      <c r="Q320" s="22"/>
      <c r="R320" s="21"/>
      <c r="S320" s="21"/>
      <c r="T320" s="21"/>
      <c r="AA320"/>
      <c r="AH320" t="str">
        <f t="shared" si="52"/>
        <v>k yet</v>
      </c>
    </row>
    <row r="321" spans="1:39">
      <c r="A321" s="42" t="s">
        <v>257</v>
      </c>
      <c r="B321" s="1" t="s">
        <v>20</v>
      </c>
      <c r="C321" s="40" t="str">
        <f t="shared" si="49"/>
        <v>12-&gt;</v>
      </c>
      <c r="D321" s="40" t="str">
        <f t="shared" si="50"/>
        <v xml:space="preserve">No pick yet                                                 </v>
      </c>
      <c r="E321" s="52">
        <f t="shared" si="51"/>
        <v>0</v>
      </c>
      <c r="G321" s="13">
        <f t="shared" si="44"/>
        <v>0</v>
      </c>
      <c r="H321" s="13" t="e">
        <f>LEFT(VLOOKUP(ScoPo!T89,ScoPo!$G$150:$J$277,4,0),FIND(",",VLOOKUP(ScoPo!T89,ScoPo!$G$150:$J$277,4,0))-1)&amp;" "&amp;$AH$65&amp;" "&amp;LEFT(VLOOKUP(ScoPo!S89,ScoPo!$G$150:$J$277,4,0),FIND(",",VLOOKUP(ScoPo!S89,ScoPo!$G$150:$J$277,4,0))-1)</f>
        <v>#N/A</v>
      </c>
      <c r="I321" s="13" t="str">
        <f>IF(ScoPo!K89=1,0,IF(ScoPo!K89=2,ScoPo!O89," "))</f>
        <v xml:space="preserve"> </v>
      </c>
      <c r="M321" s="18"/>
      <c r="N321" s="18"/>
      <c r="O321" s="18"/>
      <c r="P321" s="18"/>
      <c r="Q321" s="22"/>
      <c r="R321" s="21"/>
      <c r="S321" s="21"/>
      <c r="T321" s="21"/>
      <c r="AA321"/>
      <c r="AH321" t="str">
        <f t="shared" si="52"/>
        <v>k yet</v>
      </c>
    </row>
    <row r="322" spans="1:39">
      <c r="A322" s="42" t="s">
        <v>258</v>
      </c>
      <c r="B322" s="1" t="s">
        <v>20</v>
      </c>
      <c r="C322" s="40" t="str">
        <f t="shared" si="49"/>
        <v>13-&gt;</v>
      </c>
      <c r="D322" s="40" t="str">
        <f t="shared" si="50"/>
        <v xml:space="preserve">No pick yet                                                 </v>
      </c>
      <c r="E322" s="52">
        <f t="shared" si="51"/>
        <v>0</v>
      </c>
      <c r="G322" s="13">
        <f t="shared" si="44"/>
        <v>0</v>
      </c>
      <c r="H322" s="13" t="e">
        <f>LEFT(VLOOKUP(ScoPo!T90,ScoPo!$G$150:$J$277,4,0),FIND(",",VLOOKUP(ScoPo!T90,ScoPo!$G$150:$J$277,4,0))-1)&amp;" "&amp;$AH$65&amp;" "&amp;LEFT(VLOOKUP(ScoPo!S90,ScoPo!$G$150:$J$277,4,0),FIND(",",VLOOKUP(ScoPo!S90,ScoPo!$G$150:$J$277,4,0))-1)</f>
        <v>#N/A</v>
      </c>
      <c r="I322" s="13" t="str">
        <f>IF(ScoPo!K90=1,0,IF(ScoPo!K90=2,ScoPo!O90," "))</f>
        <v xml:space="preserve"> </v>
      </c>
      <c r="M322" s="18"/>
      <c r="N322" s="18"/>
      <c r="O322" s="18"/>
      <c r="P322" s="18"/>
      <c r="Q322" s="22"/>
      <c r="R322" s="21"/>
      <c r="S322" s="21"/>
      <c r="T322" s="21"/>
      <c r="AA322"/>
      <c r="AH322" t="str">
        <f t="shared" si="52"/>
        <v>k yet</v>
      </c>
    </row>
    <row r="323" spans="1:39">
      <c r="A323" s="42" t="s">
        <v>259</v>
      </c>
      <c r="B323" s="1" t="s">
        <v>20</v>
      </c>
      <c r="C323" s="40" t="str">
        <f t="shared" si="49"/>
        <v>14-&gt;</v>
      </c>
      <c r="D323" s="40" t="str">
        <f t="shared" si="50"/>
        <v xml:space="preserve">No pick yet                                                 </v>
      </c>
      <c r="E323" s="52">
        <f t="shared" si="51"/>
        <v>0</v>
      </c>
      <c r="G323" s="13">
        <f t="shared" si="44"/>
        <v>0</v>
      </c>
      <c r="H323" s="13" t="e">
        <f>LEFT(VLOOKUP(ScoPo!T91,ScoPo!$G$150:$J$277,4,0),FIND(",",VLOOKUP(ScoPo!T91,ScoPo!$G$150:$J$277,4,0))-1)&amp;" "&amp;$AH$65&amp;" "&amp;LEFT(VLOOKUP(ScoPo!S91,ScoPo!$G$150:$J$277,4,0),FIND(",",VLOOKUP(ScoPo!S91,ScoPo!$G$150:$J$277,4,0))-1)</f>
        <v>#N/A</v>
      </c>
      <c r="I323" s="13" t="str">
        <f>IF(ScoPo!K91=1,0,IF(ScoPo!K91=2,ScoPo!O91," "))</f>
        <v xml:space="preserve"> </v>
      </c>
      <c r="J323" s="22"/>
      <c r="M323" s="18"/>
      <c r="N323" s="18"/>
      <c r="O323" s="18"/>
      <c r="P323" s="18"/>
      <c r="Q323" s="22"/>
      <c r="R323" s="21"/>
      <c r="S323" s="21"/>
      <c r="T323" s="21"/>
      <c r="AA323"/>
      <c r="AH323" t="str">
        <f t="shared" si="52"/>
        <v>k yet</v>
      </c>
    </row>
    <row r="324" spans="1:39">
      <c r="A324" s="42" t="s">
        <v>260</v>
      </c>
      <c r="B324" s="1" t="s">
        <v>20</v>
      </c>
      <c r="C324" s="40" t="str">
        <f t="shared" si="49"/>
        <v>15-&gt;</v>
      </c>
      <c r="D324" s="40" t="str">
        <f t="shared" si="50"/>
        <v xml:space="preserve">No pick yet                                                 </v>
      </c>
      <c r="E324" s="52">
        <f t="shared" si="51"/>
        <v>0</v>
      </c>
      <c r="G324" s="13">
        <f t="shared" si="44"/>
        <v>0</v>
      </c>
      <c r="H324" s="13" t="e">
        <f>LEFT(VLOOKUP(ScoPo!T92,ScoPo!$G$150:$J$277,4,0),FIND(",",VLOOKUP(ScoPo!T92,ScoPo!$G$150:$J$277,4,0))-1)&amp;" "&amp;$AH$65&amp;" "&amp;LEFT(VLOOKUP(ScoPo!S92,ScoPo!$G$150:$J$277,4,0),FIND(",",VLOOKUP(ScoPo!S92,ScoPo!$G$150:$J$277,4,0))-1)</f>
        <v>#N/A</v>
      </c>
      <c r="I324" s="13" t="str">
        <f>IF(ScoPo!K92=1,0,IF(ScoPo!K92=2,ScoPo!O92," "))</f>
        <v xml:space="preserve"> </v>
      </c>
      <c r="J324" s="22"/>
      <c r="M324" s="18"/>
      <c r="N324" s="18"/>
      <c r="O324" s="18"/>
      <c r="P324" s="18"/>
      <c r="Q324" s="22"/>
      <c r="R324" s="21"/>
      <c r="S324" s="21"/>
      <c r="T324" s="21"/>
      <c r="AA324"/>
      <c r="AH324" t="str">
        <f t="shared" si="52"/>
        <v>k yet</v>
      </c>
    </row>
    <row r="325" spans="1:39">
      <c r="A325" s="42" t="s">
        <v>261</v>
      </c>
      <c r="B325" s="1" t="s">
        <v>20</v>
      </c>
      <c r="C325" s="40" t="str">
        <f t="shared" si="49"/>
        <v>16-&gt;</v>
      </c>
      <c r="D325" s="40" t="str">
        <f t="shared" si="50"/>
        <v xml:space="preserve">No pick yet                                                 </v>
      </c>
      <c r="E325" s="52">
        <f t="shared" si="51"/>
        <v>0</v>
      </c>
      <c r="G325" s="13">
        <f t="shared" si="44"/>
        <v>0</v>
      </c>
      <c r="H325" s="13" t="e">
        <f>LEFT(VLOOKUP(ScoPo!T93,ScoPo!$G$150:$J$277,4,0),FIND(",",VLOOKUP(ScoPo!T93,ScoPo!$G$150:$J$277,4,0))-1)&amp;" "&amp;$AH$65&amp;" "&amp;LEFT(VLOOKUP(ScoPo!S93,ScoPo!$G$150:$J$277,4,0),FIND(",",VLOOKUP(ScoPo!S93,ScoPo!$G$150:$J$277,4,0))-1)</f>
        <v>#N/A</v>
      </c>
      <c r="I325" s="13" t="str">
        <f>IF(ScoPo!K93=1,0,IF(ScoPo!K93=2,ScoPo!O93," "))</f>
        <v xml:space="preserve"> </v>
      </c>
      <c r="M325" s="18"/>
      <c r="N325" s="18"/>
      <c r="O325" s="18"/>
      <c r="P325" s="18"/>
      <c r="Q325" s="22"/>
      <c r="R325" s="21"/>
      <c r="S325" s="21"/>
      <c r="T325" s="21"/>
      <c r="AA325"/>
      <c r="AH325" t="str">
        <f t="shared" si="52"/>
        <v>k yet</v>
      </c>
    </row>
    <row r="326" spans="1:39">
      <c r="A326" s="42" t="s">
        <v>262</v>
      </c>
      <c r="B326" s="1" t="s">
        <v>20</v>
      </c>
      <c r="C326" s="40" t="str">
        <f t="shared" si="49"/>
        <v>17-&gt;</v>
      </c>
      <c r="D326" s="40" t="str">
        <f t="shared" si="50"/>
        <v xml:space="preserve">No pick yet                                                 </v>
      </c>
      <c r="E326" s="52">
        <f t="shared" si="51"/>
        <v>0</v>
      </c>
      <c r="G326" s="13">
        <f t="shared" si="44"/>
        <v>0</v>
      </c>
      <c r="H326" s="13" t="e">
        <f>LEFT(VLOOKUP(ScoPo!T94,ScoPo!$G$150:$J$277,4,0),FIND(",",VLOOKUP(ScoPo!T94,ScoPo!$G$150:$J$277,4,0))-1)&amp;" "&amp;$AH$65&amp;" "&amp;LEFT(VLOOKUP(ScoPo!S94,ScoPo!$G$150:$J$277,4,0),FIND(",",VLOOKUP(ScoPo!S94,ScoPo!$G$150:$J$277,4,0))-1)</f>
        <v>#N/A</v>
      </c>
      <c r="I326" s="13" t="str">
        <f>IF(ScoPo!K94=1,0,IF(ScoPo!K94=2,ScoPo!O94," "))</f>
        <v xml:space="preserve"> </v>
      </c>
      <c r="K326" s="22"/>
      <c r="N326" s="22"/>
      <c r="O326" s="22"/>
      <c r="P326" s="22"/>
      <c r="Q326" s="22"/>
      <c r="R326" s="22"/>
      <c r="S326" s="22"/>
      <c r="Z326" s="53"/>
      <c r="AA326"/>
      <c r="AH326" t="str">
        <f t="shared" si="52"/>
        <v>k yet</v>
      </c>
    </row>
    <row r="327" spans="1:39">
      <c r="A327" s="42" t="s">
        <v>263</v>
      </c>
      <c r="B327" s="1" t="s">
        <v>20</v>
      </c>
      <c r="C327" s="40" t="str">
        <f t="shared" si="49"/>
        <v>18-&gt;</v>
      </c>
      <c r="D327" s="40" t="str">
        <f t="shared" si="50"/>
        <v xml:space="preserve">No pick yet                                                 </v>
      </c>
      <c r="E327" s="52">
        <f t="shared" si="51"/>
        <v>0</v>
      </c>
      <c r="F327" s="18"/>
      <c r="G327" s="13">
        <f t="shared" si="44"/>
        <v>0</v>
      </c>
      <c r="H327" s="13" t="e">
        <f>LEFT(VLOOKUP(ScoPo!T95,ScoPo!$G$150:$J$277,4,0),FIND(",",VLOOKUP(ScoPo!T95,ScoPo!$G$150:$J$277,4,0))-1)&amp;" "&amp;$AH$65&amp;" "&amp;LEFT(VLOOKUP(ScoPo!S95,ScoPo!$G$150:$J$277,4,0),FIND(",",VLOOKUP(ScoPo!S95,ScoPo!$G$150:$J$277,4,0))-1)</f>
        <v>#N/A</v>
      </c>
      <c r="I327" s="13" t="str">
        <f>IF(ScoPo!K95=1,0,IF(ScoPo!K95=2,ScoPo!O95," "))</f>
        <v xml:space="preserve"> </v>
      </c>
      <c r="L327" s="21"/>
      <c r="N327" s="22"/>
      <c r="O327" s="22"/>
      <c r="P327" s="18"/>
      <c r="Q327" s="22"/>
      <c r="R327" s="22"/>
      <c r="S327" s="22"/>
      <c r="Z327" s="53"/>
      <c r="AA327"/>
      <c r="AH327" t="str">
        <f t="shared" si="52"/>
        <v>k yet</v>
      </c>
    </row>
    <row r="328" spans="1:39">
      <c r="A328" s="42" t="s">
        <v>264</v>
      </c>
      <c r="B328" s="1" t="s">
        <v>20</v>
      </c>
      <c r="C328" s="40" t="str">
        <f t="shared" si="49"/>
        <v>19-&gt;</v>
      </c>
      <c r="D328" s="40" t="str">
        <f t="shared" si="50"/>
        <v xml:space="preserve">No pick yet                                                 </v>
      </c>
      <c r="E328" s="52">
        <f t="shared" si="51"/>
        <v>0</v>
      </c>
      <c r="F328" s="18"/>
      <c r="G328" s="13">
        <f t="shared" si="44"/>
        <v>0</v>
      </c>
      <c r="H328" s="13" t="e">
        <f>LEFT(VLOOKUP(ScoPo!T96,ScoPo!$G$150:$J$277,4,0),FIND(",",VLOOKUP(ScoPo!T96,ScoPo!$G$150:$J$277,4,0))-1)&amp;" "&amp;$AH$65&amp;" "&amp;LEFT(VLOOKUP(ScoPo!S96,ScoPo!$G$150:$J$277,4,0),FIND(",",VLOOKUP(ScoPo!S96,ScoPo!$G$150:$J$277,4,0))-1)</f>
        <v>#N/A</v>
      </c>
      <c r="I328" s="13" t="str">
        <f>IF(ScoPo!K96=1,0,IF(ScoPo!K96=2,ScoPo!O96," "))</f>
        <v xml:space="preserve"> </v>
      </c>
      <c r="M328" s="18"/>
      <c r="N328" s="18"/>
      <c r="O328" s="18"/>
      <c r="P328" s="18"/>
      <c r="Q328" s="22"/>
      <c r="R328" s="21"/>
      <c r="S328" s="21"/>
      <c r="T328" s="21"/>
      <c r="AA328"/>
      <c r="AH328" t="str">
        <f t="shared" si="52"/>
        <v>k yet</v>
      </c>
    </row>
    <row r="329" spans="1:39">
      <c r="A329" s="42" t="s">
        <v>265</v>
      </c>
      <c r="B329" s="1" t="s">
        <v>20</v>
      </c>
      <c r="C329" s="40" t="str">
        <f t="shared" si="49"/>
        <v>20-&gt;</v>
      </c>
      <c r="D329" s="40" t="str">
        <f t="shared" si="50"/>
        <v xml:space="preserve">No pick yet                                                 </v>
      </c>
      <c r="E329" s="52">
        <f t="shared" si="51"/>
        <v>0</v>
      </c>
      <c r="F329" s="18"/>
      <c r="G329" s="13">
        <f t="shared" si="44"/>
        <v>0</v>
      </c>
      <c r="H329" s="13" t="e">
        <f>LEFT(VLOOKUP(ScoPo!T97,ScoPo!$G$150:$J$277,4,0),FIND(",",VLOOKUP(ScoPo!T97,ScoPo!$G$150:$J$277,4,0))-1)&amp;" "&amp;$AH$65&amp;" "&amp;LEFT(VLOOKUP(ScoPo!S97,ScoPo!$G$150:$J$277,4,0),FIND(",",VLOOKUP(ScoPo!S97,ScoPo!$G$150:$J$277,4,0))-1)</f>
        <v>#N/A</v>
      </c>
      <c r="I329" s="13" t="str">
        <f>IF(ScoPo!K97=1,0,IF(ScoPo!K97=2,ScoPo!O97," "))</f>
        <v xml:space="preserve"> </v>
      </c>
      <c r="M329" s="18"/>
      <c r="N329" s="18"/>
      <c r="O329" s="18"/>
      <c r="P329" s="18"/>
      <c r="Q329" s="22"/>
      <c r="R329" s="21"/>
      <c r="S329" s="21"/>
      <c r="T329" s="21"/>
      <c r="AA329"/>
      <c r="AH329" t="str">
        <f t="shared" si="52"/>
        <v>k yet</v>
      </c>
    </row>
    <row r="330" spans="1:39">
      <c r="A330" s="42" t="s">
        <v>266</v>
      </c>
      <c r="B330" s="1" t="s">
        <v>20</v>
      </c>
      <c r="C330" s="40" t="str">
        <f t="shared" si="49"/>
        <v>21-&gt;</v>
      </c>
      <c r="D330" s="40" t="str">
        <f t="shared" si="50"/>
        <v xml:space="preserve">No pick yet                                                 </v>
      </c>
      <c r="E330" s="52">
        <f t="shared" si="51"/>
        <v>0</v>
      </c>
      <c r="F330" s="18"/>
      <c r="G330" s="13">
        <f t="shared" si="44"/>
        <v>0</v>
      </c>
      <c r="H330" s="13" t="e">
        <f>LEFT(VLOOKUP(ScoPo!T98,ScoPo!$G$150:$J$277,4,0),FIND(",",VLOOKUP(ScoPo!T98,ScoPo!$G$150:$J$277,4,0))-1)&amp;" "&amp;$AH$65&amp;" "&amp;LEFT(VLOOKUP(ScoPo!S98,ScoPo!$G$150:$J$277,4,0),FIND(",",VLOOKUP(ScoPo!S98,ScoPo!$G$150:$J$277,4,0))-1)</f>
        <v>#N/A</v>
      </c>
      <c r="I330" s="13" t="str">
        <f>IF(ScoPo!K98=1,0,IF(ScoPo!K98=2,ScoPo!O98," "))</f>
        <v xml:space="preserve"> </v>
      </c>
      <c r="M330" s="18"/>
      <c r="N330" s="18"/>
      <c r="O330" s="18"/>
      <c r="P330" s="18"/>
      <c r="Q330" s="22"/>
      <c r="R330" s="21"/>
      <c r="S330" s="21"/>
      <c r="T330" s="21"/>
      <c r="AA330"/>
      <c r="AH330" t="str">
        <f t="shared" si="52"/>
        <v>k yet</v>
      </c>
    </row>
    <row r="331" spans="1:39">
      <c r="A331" s="42" t="s">
        <v>267</v>
      </c>
      <c r="B331" s="1" t="s">
        <v>20</v>
      </c>
      <c r="C331" s="40" t="str">
        <f t="shared" si="49"/>
        <v>22-&gt;</v>
      </c>
      <c r="D331" s="40" t="str">
        <f t="shared" si="50"/>
        <v xml:space="preserve">No pick yet                                                 </v>
      </c>
      <c r="E331" s="52">
        <f t="shared" si="51"/>
        <v>0</v>
      </c>
      <c r="F331" s="18"/>
      <c r="G331" s="13">
        <f t="shared" si="44"/>
        <v>0</v>
      </c>
      <c r="H331" s="13" t="e">
        <f>LEFT(VLOOKUP(ScoPo!T99,ScoPo!$G$150:$J$277,4,0),FIND(",",VLOOKUP(ScoPo!T99,ScoPo!$G$150:$J$277,4,0))-1)&amp;" "&amp;$AH$65&amp;" "&amp;LEFT(VLOOKUP(ScoPo!S99,ScoPo!$G$150:$J$277,4,0),FIND(",",VLOOKUP(ScoPo!S99,ScoPo!$G$150:$J$277,4,0))-1)</f>
        <v>#N/A</v>
      </c>
      <c r="I331" s="13" t="str">
        <f>IF(ScoPo!K99=1,0,IF(ScoPo!K99=2,ScoPo!O99," "))</f>
        <v xml:space="preserve"> </v>
      </c>
      <c r="M331" s="18"/>
      <c r="N331" s="18"/>
      <c r="O331" s="18"/>
      <c r="P331" s="18"/>
      <c r="Q331" s="22"/>
      <c r="R331" s="21"/>
      <c r="S331" s="21"/>
      <c r="T331" s="21"/>
      <c r="AA331"/>
      <c r="AH331" t="str">
        <f t="shared" si="52"/>
        <v>k yet</v>
      </c>
    </row>
    <row r="332" spans="1:39">
      <c r="A332" s="42" t="s">
        <v>268</v>
      </c>
      <c r="B332" s="1" t="s">
        <v>20</v>
      </c>
      <c r="C332" s="40" t="str">
        <f t="shared" si="49"/>
        <v>23-&gt;</v>
      </c>
      <c r="D332" s="40" t="str">
        <f t="shared" si="50"/>
        <v xml:space="preserve">No pick yet                                                 </v>
      </c>
      <c r="E332" s="52">
        <f t="shared" si="51"/>
        <v>0</v>
      </c>
      <c r="F332" s="18"/>
      <c r="G332" s="13">
        <f t="shared" si="44"/>
        <v>0</v>
      </c>
      <c r="H332" s="13" t="e">
        <f>LEFT(VLOOKUP(ScoPo!T100,ScoPo!$G$150:$J$277,4,0),FIND(",",VLOOKUP(ScoPo!T100,ScoPo!$G$150:$J$277,4,0))-1)&amp;" "&amp;$AH$65&amp;" "&amp;LEFT(VLOOKUP(ScoPo!S100,ScoPo!$G$150:$J$277,4,0),FIND(",",VLOOKUP(ScoPo!S100,ScoPo!$G$150:$J$277,4,0))-1)</f>
        <v>#N/A</v>
      </c>
      <c r="I332" s="13" t="str">
        <f>IF(ScoPo!K100=1,0,IF(ScoPo!K100=2,ScoPo!O100," "))</f>
        <v xml:space="preserve"> </v>
      </c>
      <c r="M332" s="18"/>
      <c r="N332" s="18"/>
      <c r="O332" s="18"/>
      <c r="P332" s="18"/>
      <c r="Q332" s="22"/>
      <c r="R332" s="21"/>
      <c r="S332" s="21"/>
      <c r="T332" s="21"/>
      <c r="AA332"/>
      <c r="AH332" t="str">
        <f t="shared" si="52"/>
        <v>k yet</v>
      </c>
    </row>
    <row r="333" spans="1:39">
      <c r="A333" s="42" t="s">
        <v>269</v>
      </c>
      <c r="B333" s="1" t="s">
        <v>20</v>
      </c>
      <c r="C333" s="40" t="str">
        <f t="shared" si="49"/>
        <v>24-&gt;</v>
      </c>
      <c r="D333" s="40" t="str">
        <f t="shared" si="50"/>
        <v xml:space="preserve">No pick yet                                                 </v>
      </c>
      <c r="E333" s="52">
        <f t="shared" si="51"/>
        <v>0</v>
      </c>
      <c r="F333" s="18"/>
      <c r="G333" s="13">
        <f t="shared" si="44"/>
        <v>0</v>
      </c>
      <c r="H333" s="13" t="e">
        <f>LEFT(VLOOKUP(ScoPo!T101,ScoPo!$G$150:$J$277,4,0),FIND(",",VLOOKUP(ScoPo!T101,ScoPo!$G$150:$J$277,4,0))-1)&amp;" "&amp;$AH$65&amp;" "&amp;LEFT(VLOOKUP(ScoPo!S101,ScoPo!$G$150:$J$277,4,0),FIND(",",VLOOKUP(ScoPo!S101,ScoPo!$G$150:$J$277,4,0))-1)</f>
        <v>#N/A</v>
      </c>
      <c r="I333" s="13" t="str">
        <f>IF(ScoPo!K101=1,0,IF(ScoPo!K101=2,ScoPo!O101," "))</f>
        <v xml:space="preserve"> </v>
      </c>
      <c r="M333" s="18"/>
      <c r="N333" s="18"/>
      <c r="O333" s="18"/>
      <c r="P333" s="18"/>
      <c r="Q333" s="22"/>
      <c r="R333" s="21"/>
      <c r="S333" s="21"/>
      <c r="T333" s="21"/>
      <c r="AA333"/>
      <c r="AH333" t="str">
        <f t="shared" si="52"/>
        <v>k yet</v>
      </c>
    </row>
    <row r="334" spans="1:39">
      <c r="A334" s="42" t="s">
        <v>270</v>
      </c>
      <c r="B334" s="1" t="s">
        <v>20</v>
      </c>
      <c r="C334" s="40" t="str">
        <f t="shared" si="49"/>
        <v>25-&gt;</v>
      </c>
      <c r="D334" s="40" t="str">
        <f t="shared" si="50"/>
        <v xml:space="preserve">No pick yet                                                 </v>
      </c>
      <c r="E334" s="52">
        <f t="shared" si="51"/>
        <v>0</v>
      </c>
      <c r="F334" s="18"/>
      <c r="H334" s="9" t="s">
        <v>64</v>
      </c>
      <c r="I334" s="45"/>
      <c r="M334" s="18"/>
      <c r="N334" s="18"/>
      <c r="O334" s="18"/>
      <c r="P334" s="18"/>
      <c r="Q334" s="22"/>
      <c r="R334" s="21"/>
      <c r="S334" s="21"/>
      <c r="T334" s="21"/>
      <c r="AA334"/>
      <c r="AH334" t="str">
        <f t="shared" si="52"/>
        <v>k yet</v>
      </c>
    </row>
    <row r="335" spans="1:39">
      <c r="A335" s="42" t="s">
        <v>271</v>
      </c>
      <c r="B335" s="1" t="s">
        <v>20</v>
      </c>
      <c r="C335" s="40" t="str">
        <f t="shared" si="49"/>
        <v>26-&gt;</v>
      </c>
      <c r="D335" s="40" t="str">
        <f t="shared" si="50"/>
        <v xml:space="preserve">No pick yet                                                 </v>
      </c>
      <c r="E335" s="52">
        <f t="shared" si="51"/>
        <v>0</v>
      </c>
      <c r="F335" s="18"/>
      <c r="G335" s="13">
        <f t="shared" ref="G335:G366" si="53">COUNTIF($AH$142:$AH$3800,"="&amp;H335)</f>
        <v>0</v>
      </c>
      <c r="H335" s="13" t="e">
        <f>LEFT(VLOOKUP(ScoPo!S104,ScoPo!$G$150:$J$277,4,0),FIND(",",VLOOKUP(ScoPo!S104,ScoPo!$G$150:$J$277,4,0))-1)&amp;" "&amp;$AH$65&amp;" "&amp;LEFT(VLOOKUP(ScoPo!T104,ScoPo!$G$150:$J$277,4,0),FIND(",",VLOOKUP(ScoPo!T104,ScoPo!$G$150:$J$277,4,0))-1)</f>
        <v>#N/A</v>
      </c>
      <c r="I335" s="13" t="str">
        <f>IF(ScoPo!K104=1,ScoPo!N104,IF(ScoPo!K104=2,0," "))</f>
        <v xml:space="preserve"> </v>
      </c>
      <c r="M335" s="18"/>
      <c r="N335" s="18"/>
      <c r="O335" s="18"/>
      <c r="P335" s="18"/>
      <c r="Q335" s="22"/>
      <c r="R335" s="21"/>
      <c r="S335" s="21"/>
      <c r="T335" s="21"/>
      <c r="AA335"/>
      <c r="AH335" t="str">
        <f t="shared" si="52"/>
        <v>k yet</v>
      </c>
    </row>
    <row r="336" spans="1:39">
      <c r="A336" s="38"/>
      <c r="B336" s="40"/>
      <c r="C336" s="40"/>
      <c r="D336" s="49"/>
      <c r="E336" s="41" t="s">
        <v>69</v>
      </c>
      <c r="F336" s="18"/>
      <c r="G336" s="13">
        <f t="shared" si="53"/>
        <v>0</v>
      </c>
      <c r="H336" s="13" t="e">
        <f>LEFT(VLOOKUP(ScoPo!S105,ScoPo!$G$150:$J$277,4,0),FIND(",",VLOOKUP(ScoPo!S105,ScoPo!$G$150:$J$277,4,0))-1)&amp;" "&amp;$AH$65&amp;" "&amp;LEFT(VLOOKUP(ScoPo!T105,ScoPo!$G$150:$J$277,4,0),FIND(",",VLOOKUP(ScoPo!T105,ScoPo!$G$150:$J$277,4,0))-1)</f>
        <v>#N/A</v>
      </c>
      <c r="I336" s="13" t="str">
        <f>IF(ScoPo!K105=1,ScoPo!N105,IF(ScoPo!K105=2,0," "))</f>
        <v xml:space="preserve"> </v>
      </c>
      <c r="K336" s="22" t="s">
        <v>73</v>
      </c>
      <c r="L336" s="18" t="s">
        <v>74</v>
      </c>
      <c r="M336" s="22" t="s">
        <v>78</v>
      </c>
      <c r="N336" s="22" t="s">
        <v>79</v>
      </c>
      <c r="O336" s="22" t="s">
        <v>80</v>
      </c>
      <c r="P336" s="22" t="s">
        <v>81</v>
      </c>
      <c r="Q336" s="22" t="s">
        <v>82</v>
      </c>
      <c r="R336" s="22" t="s">
        <v>83</v>
      </c>
      <c r="S336" s="22" t="s">
        <v>84</v>
      </c>
      <c r="T336" s="18" t="s">
        <v>85</v>
      </c>
      <c r="U336" s="18" t="s">
        <v>86</v>
      </c>
      <c r="V336" s="18" t="s">
        <v>87</v>
      </c>
      <c r="W336" s="18" t="s">
        <v>88</v>
      </c>
      <c r="X336" s="18" t="s">
        <v>89</v>
      </c>
      <c r="Y336" s="18" t="s">
        <v>90</v>
      </c>
      <c r="Z336" s="18" t="s">
        <v>91</v>
      </c>
      <c r="AA336" s="18" t="s">
        <v>92</v>
      </c>
      <c r="AB336" s="18" t="s">
        <v>93</v>
      </c>
      <c r="AC336" s="18" t="s">
        <v>94</v>
      </c>
      <c r="AD336" s="18" t="s">
        <v>235</v>
      </c>
      <c r="AE336" s="18" t="s">
        <v>236</v>
      </c>
      <c r="AF336" s="18" t="s">
        <v>237</v>
      </c>
      <c r="AG336" s="18" t="s">
        <v>238</v>
      </c>
      <c r="AH336" s="18" t="s">
        <v>239</v>
      </c>
      <c r="AI336" s="18" t="s">
        <v>240</v>
      </c>
      <c r="AJ336" s="18" t="s">
        <v>241</v>
      </c>
      <c r="AK336" s="18" t="s">
        <v>242</v>
      </c>
      <c r="AL336" s="18" t="s">
        <v>243</v>
      </c>
      <c r="AM336" s="50" t="s">
        <v>244</v>
      </c>
    </row>
    <row r="337" spans="1:39">
      <c r="A337" s="40" t="s">
        <v>245</v>
      </c>
      <c r="B337" s="51" t="str">
        <f>D11</f>
        <v/>
      </c>
      <c r="C337" s="40" t="str">
        <f t="shared" ref="C337:C363" si="54">A337</f>
        <v>#</v>
      </c>
      <c r="D337" s="40" t="str">
        <f>"   "&amp;B337&amp;REPT(" ",$AH$70-LEN(B337)-3)</f>
        <v xml:space="preserve">                                                            </v>
      </c>
      <c r="E337" s="38" t="str">
        <f>SUM(E338:E363)&amp;" pts[/b]"</f>
        <v>0 pts[/b]</v>
      </c>
      <c r="F337" s="21">
        <f>SUM(E338:E363)</f>
        <v>0</v>
      </c>
      <c r="G337" s="13">
        <f t="shared" si="53"/>
        <v>0</v>
      </c>
      <c r="H337" s="13" t="e">
        <f>LEFT(VLOOKUP(ScoPo!S106,ScoPo!$G$150:$J$277,4,0),FIND(",",VLOOKUP(ScoPo!S106,ScoPo!$G$150:$J$277,4,0))-1)&amp;" "&amp;$AH$65&amp;" "&amp;LEFT(VLOOKUP(ScoPo!T106,ScoPo!$G$150:$J$277,4,0),FIND(",",VLOOKUP(ScoPo!T106,ScoPo!$G$150:$J$277,4,0))-1)</f>
        <v>#N/A</v>
      </c>
      <c r="I337" s="13" t="str">
        <f>IF(ScoPo!K106=1,ScoPo!N106,IF(ScoPo!K106=2,0," "))</f>
        <v xml:space="preserve"> </v>
      </c>
      <c r="K337" s="18">
        <f>COUNTIF(E338:E363,"&gt;0")</f>
        <v>0</v>
      </c>
      <c r="L337" s="21">
        <f>AM337-K337</f>
        <v>0</v>
      </c>
      <c r="M337" s="22">
        <f>MAX(E338:E363)</f>
        <v>0</v>
      </c>
      <c r="N337" s="22">
        <f>LARGE(E338:E363,2)</f>
        <v>0</v>
      </c>
      <c r="O337" s="22">
        <f>LARGE(E338:E363,3)</f>
        <v>0</v>
      </c>
      <c r="P337" s="18">
        <f>LARGE(E338:E363,4)</f>
        <v>0</v>
      </c>
      <c r="Q337" s="22">
        <f>LARGE(E338:E363,5)</f>
        <v>0</v>
      </c>
      <c r="R337" s="22">
        <f>LARGE(E338:E363,6)</f>
        <v>0</v>
      </c>
      <c r="S337" s="22">
        <f>LARGE(E338:E363,7)</f>
        <v>0</v>
      </c>
      <c r="T337" s="18">
        <f>LARGE(E338:E363,8)</f>
        <v>0</v>
      </c>
      <c r="U337" s="18">
        <f>LARGE(E338:E363,9)</f>
        <v>0</v>
      </c>
      <c r="V337" s="18">
        <f>LARGE(E338:E363,10)</f>
        <v>0</v>
      </c>
      <c r="W337" s="18">
        <f>LARGE(E338:E363,11)</f>
        <v>0</v>
      </c>
      <c r="X337" s="18">
        <f>LARGE(E338:E363,12)</f>
        <v>0</v>
      </c>
      <c r="Y337" s="18">
        <f>LARGE(E338:E363,13)</f>
        <v>0</v>
      </c>
      <c r="Z337" s="18">
        <f>LARGE(E338:E363,14)</f>
        <v>0</v>
      </c>
      <c r="AA337" s="18">
        <f>LARGE(E338:E363,15)</f>
        <v>0</v>
      </c>
      <c r="AB337" s="18">
        <f>LARGE(E338:E363,16)</f>
        <v>0</v>
      </c>
      <c r="AC337" s="18">
        <f>LARGE(E338:E363,17)</f>
        <v>0</v>
      </c>
      <c r="AD337" s="18">
        <f>LARGE(E338:E364,13)</f>
        <v>0</v>
      </c>
      <c r="AE337" s="18">
        <f>LARGE(E338:E363,19)</f>
        <v>0</v>
      </c>
      <c r="AF337" s="18">
        <f>LARGE(E338:E363,20)</f>
        <v>0</v>
      </c>
      <c r="AG337" s="18">
        <f>LARGE(E338:E363,21)</f>
        <v>0</v>
      </c>
      <c r="AH337" s="18">
        <f>LARGE(E338:E363,22)</f>
        <v>0</v>
      </c>
      <c r="AI337" s="18">
        <f>LARGE(E338:E363,23)</f>
        <v>0</v>
      </c>
      <c r="AJ337" s="18">
        <f>LARGE(E338:E363,24)</f>
        <v>0</v>
      </c>
      <c r="AK337" s="18">
        <f>LARGE(E338:E363,25)</f>
        <v>0</v>
      </c>
      <c r="AL337" s="18">
        <f>LARGE(E338:E363,26)</f>
        <v>0</v>
      </c>
      <c r="AM337" s="50">
        <f>COUNTIF(AH338:AH363,"&lt;&gt;"&amp;AH76)-(26-COUNTIF(E338:E363,"&gt;=0"))</f>
        <v>0</v>
      </c>
    </row>
    <row r="338" spans="1:39">
      <c r="A338" s="42" t="s">
        <v>246</v>
      </c>
      <c r="B338" s="1" t="s">
        <v>20</v>
      </c>
      <c r="C338" s="40" t="str">
        <f t="shared" si="54"/>
        <v>01-&gt;</v>
      </c>
      <c r="D338" s="40" t="str">
        <f t="shared" ref="D338:D363" si="55">B338&amp;REPT(" ",$AH$70-LEN(B338))</f>
        <v xml:space="preserve">No pick yet                                                 </v>
      </c>
      <c r="E338" s="52">
        <f t="shared" ref="E338:E363" si="56">VLOOKUP(RIGHT(B338,LEN(B338)-$AH$66),$H$138:$I$420,2,0)</f>
        <v>0</v>
      </c>
      <c r="F338" s="18"/>
      <c r="G338" s="13">
        <f t="shared" si="53"/>
        <v>0</v>
      </c>
      <c r="H338" s="13" t="e">
        <f>LEFT(VLOOKUP(ScoPo!S107,ScoPo!$G$150:$J$277,4,0),FIND(",",VLOOKUP(ScoPo!S107,ScoPo!$G$150:$J$277,4,0))-1)&amp;" "&amp;$AH$65&amp;" "&amp;LEFT(VLOOKUP(ScoPo!T107,ScoPo!$G$150:$J$277,4,0),FIND(",",VLOOKUP(ScoPo!T107,ScoPo!$G$150:$J$277,4,0))-1)</f>
        <v>#N/A</v>
      </c>
      <c r="I338" s="13" t="str">
        <f>IF(ScoPo!K107=1,ScoPo!N107,IF(ScoPo!K107=2,0," "))</f>
        <v xml:space="preserve"> </v>
      </c>
      <c r="J338" s="22"/>
      <c r="M338" s="18"/>
      <c r="N338" s="18"/>
      <c r="O338" s="18"/>
      <c r="P338" s="18"/>
      <c r="Q338" s="22"/>
      <c r="R338" s="21"/>
      <c r="S338" s="21"/>
      <c r="T338" s="21"/>
      <c r="AA338"/>
      <c r="AH338" t="str">
        <f t="shared" ref="AH338:AH363" si="57">RIGHT(B338,LEN(B338)-$AH$66)</f>
        <v>k yet</v>
      </c>
    </row>
    <row r="339" spans="1:39">
      <c r="A339" s="42" t="s">
        <v>247</v>
      </c>
      <c r="B339" s="1" t="s">
        <v>20</v>
      </c>
      <c r="C339" s="40" t="str">
        <f t="shared" si="54"/>
        <v>02-&gt;</v>
      </c>
      <c r="D339" s="40" t="str">
        <f t="shared" si="55"/>
        <v xml:space="preserve">No pick yet                                                 </v>
      </c>
      <c r="E339" s="52">
        <f t="shared" si="56"/>
        <v>0</v>
      </c>
      <c r="F339" s="18"/>
      <c r="G339" s="13">
        <f t="shared" si="53"/>
        <v>0</v>
      </c>
      <c r="H339" s="13" t="e">
        <f>LEFT(VLOOKUP(ScoPo!S108,ScoPo!$G$150:$J$277,4,0),FIND(",",VLOOKUP(ScoPo!S108,ScoPo!$G$150:$J$277,4,0))-1)&amp;" "&amp;$AH$65&amp;" "&amp;LEFT(VLOOKUP(ScoPo!T108,ScoPo!$G$150:$J$277,4,0),FIND(",",VLOOKUP(ScoPo!T108,ScoPo!$G$150:$J$277,4,0))-1)</f>
        <v>#N/A</v>
      </c>
      <c r="I339" s="13" t="str">
        <f>IF(ScoPo!K108=1,ScoPo!N108,IF(ScoPo!K108=2,0," "))</f>
        <v xml:space="preserve"> </v>
      </c>
      <c r="J339" s="22"/>
      <c r="K339" s="22"/>
      <c r="N339" s="22"/>
      <c r="O339" s="22"/>
      <c r="P339" s="22"/>
      <c r="Q339" s="22"/>
      <c r="R339" s="22"/>
      <c r="S339" s="22"/>
      <c r="Z339" s="53"/>
      <c r="AA339"/>
      <c r="AH339" t="str">
        <f t="shared" si="57"/>
        <v>k yet</v>
      </c>
    </row>
    <row r="340" spans="1:39">
      <c r="A340" s="42" t="s">
        <v>248</v>
      </c>
      <c r="B340" s="1" t="s">
        <v>20</v>
      </c>
      <c r="C340" s="40" t="str">
        <f t="shared" si="54"/>
        <v>03-&gt;</v>
      </c>
      <c r="D340" s="40" t="str">
        <f t="shared" si="55"/>
        <v xml:space="preserve">No pick yet                                                 </v>
      </c>
      <c r="E340" s="52">
        <f t="shared" si="56"/>
        <v>0</v>
      </c>
      <c r="F340" s="18"/>
      <c r="G340" s="13">
        <f t="shared" si="53"/>
        <v>0</v>
      </c>
      <c r="H340" s="13" t="e">
        <f>LEFT(VLOOKUP(ScoPo!S109,ScoPo!$G$150:$J$277,4,0),FIND(",",VLOOKUP(ScoPo!S109,ScoPo!$G$150:$J$277,4,0))-1)&amp;" "&amp;$AH$65&amp;" "&amp;LEFT(VLOOKUP(ScoPo!T109,ScoPo!$G$150:$J$277,4,0),FIND(",",VLOOKUP(ScoPo!T109,ScoPo!$G$150:$J$277,4,0))-1)</f>
        <v>#N/A</v>
      </c>
      <c r="I340" s="13" t="str">
        <f>IF(ScoPo!K109=1,ScoPo!N109,IF(ScoPo!K109=2,0," "))</f>
        <v xml:space="preserve"> </v>
      </c>
      <c r="L340" s="21"/>
      <c r="N340" s="22"/>
      <c r="O340" s="22"/>
      <c r="P340" s="18"/>
      <c r="Q340" s="22"/>
      <c r="R340" s="22"/>
      <c r="S340" s="22"/>
      <c r="Z340" s="53"/>
      <c r="AA340"/>
      <c r="AH340" t="str">
        <f t="shared" si="57"/>
        <v>k yet</v>
      </c>
    </row>
    <row r="341" spans="1:39">
      <c r="A341" s="42" t="s">
        <v>249</v>
      </c>
      <c r="B341" s="1" t="s">
        <v>20</v>
      </c>
      <c r="C341" s="40" t="str">
        <f t="shared" si="54"/>
        <v>04-&gt;</v>
      </c>
      <c r="D341" s="40" t="str">
        <f t="shared" si="55"/>
        <v xml:space="preserve">No pick yet                                                 </v>
      </c>
      <c r="E341" s="52">
        <f t="shared" si="56"/>
        <v>0</v>
      </c>
      <c r="F341" s="18"/>
      <c r="G341" s="13">
        <f t="shared" si="53"/>
        <v>0</v>
      </c>
      <c r="H341" s="13" t="e">
        <f>LEFT(VLOOKUP(ScoPo!S110,ScoPo!$G$150:$J$277,4,0),FIND(",",VLOOKUP(ScoPo!S110,ScoPo!$G$150:$J$277,4,0))-1)&amp;" "&amp;$AH$65&amp;" "&amp;LEFT(VLOOKUP(ScoPo!T110,ScoPo!$G$150:$J$277,4,0),FIND(",",VLOOKUP(ScoPo!T110,ScoPo!$G$150:$J$277,4,0))-1)</f>
        <v>#N/A</v>
      </c>
      <c r="I341" s="13" t="str">
        <f>IF(ScoPo!K110=1,ScoPo!N110,IF(ScoPo!K110=2,0," "))</f>
        <v xml:space="preserve"> </v>
      </c>
      <c r="M341" s="18"/>
      <c r="N341" s="18"/>
      <c r="O341" s="18"/>
      <c r="P341" s="18"/>
      <c r="Q341" s="22"/>
      <c r="R341" s="21"/>
      <c r="S341" s="21"/>
      <c r="T341" s="21"/>
      <c r="AA341"/>
      <c r="AH341" t="str">
        <f t="shared" si="57"/>
        <v>k yet</v>
      </c>
    </row>
    <row r="342" spans="1:39">
      <c r="A342" s="42" t="s">
        <v>250</v>
      </c>
      <c r="B342" s="1" t="s">
        <v>20</v>
      </c>
      <c r="C342" s="40" t="str">
        <f t="shared" si="54"/>
        <v>05-&gt;</v>
      </c>
      <c r="D342" s="40" t="str">
        <f t="shared" si="55"/>
        <v xml:space="preserve">No pick yet                                                 </v>
      </c>
      <c r="E342" s="52">
        <f t="shared" si="56"/>
        <v>0</v>
      </c>
      <c r="F342" s="18"/>
      <c r="G342" s="13">
        <f t="shared" si="53"/>
        <v>0</v>
      </c>
      <c r="H342" s="13" t="e">
        <f>LEFT(VLOOKUP(ScoPo!S111,ScoPo!$G$150:$J$277,4,0),FIND(",",VLOOKUP(ScoPo!S111,ScoPo!$G$150:$J$277,4,0))-1)&amp;" "&amp;$AH$65&amp;" "&amp;LEFT(VLOOKUP(ScoPo!T111,ScoPo!$G$150:$J$277,4,0),FIND(",",VLOOKUP(ScoPo!T111,ScoPo!$G$150:$J$277,4,0))-1)</f>
        <v>#N/A</v>
      </c>
      <c r="I342" s="13" t="str">
        <f>IF(ScoPo!K111=1,ScoPo!N111,IF(ScoPo!K111=2,0," "))</f>
        <v xml:space="preserve"> </v>
      </c>
      <c r="M342" s="18"/>
      <c r="N342" s="18"/>
      <c r="O342" s="18"/>
      <c r="P342" s="18"/>
      <c r="Q342" s="22"/>
      <c r="R342" s="21"/>
      <c r="S342" s="21"/>
      <c r="T342" s="21"/>
      <c r="AA342"/>
      <c r="AH342" t="str">
        <f t="shared" si="57"/>
        <v>k yet</v>
      </c>
    </row>
    <row r="343" spans="1:39">
      <c r="A343" s="42" t="s">
        <v>251</v>
      </c>
      <c r="B343" s="1" t="s">
        <v>20</v>
      </c>
      <c r="C343" s="40" t="str">
        <f t="shared" si="54"/>
        <v>06-&gt;</v>
      </c>
      <c r="D343" s="40" t="str">
        <f t="shared" si="55"/>
        <v xml:space="preserve">No pick yet                                                 </v>
      </c>
      <c r="E343" s="52">
        <f t="shared" si="56"/>
        <v>0</v>
      </c>
      <c r="F343" s="18"/>
      <c r="G343" s="13">
        <f t="shared" si="53"/>
        <v>0</v>
      </c>
      <c r="H343" s="13" t="e">
        <f>LEFT(VLOOKUP(ScoPo!S112,ScoPo!$G$150:$J$277,4,0),FIND(",",VLOOKUP(ScoPo!S112,ScoPo!$G$150:$J$277,4,0))-1)&amp;" "&amp;$AH$65&amp;" "&amp;LEFT(VLOOKUP(ScoPo!T112,ScoPo!$G$150:$J$277,4,0),FIND(",",VLOOKUP(ScoPo!T112,ScoPo!$G$150:$J$277,4,0))-1)</f>
        <v>#N/A</v>
      </c>
      <c r="I343" s="13" t="str">
        <f>IF(ScoPo!K112=1,ScoPo!N112,IF(ScoPo!K112=2,0," "))</f>
        <v xml:space="preserve"> </v>
      </c>
      <c r="M343" s="18"/>
      <c r="N343" s="18"/>
      <c r="O343" s="18"/>
      <c r="P343" s="18"/>
      <c r="Q343" s="22"/>
      <c r="R343" s="21"/>
      <c r="S343" s="21"/>
      <c r="T343" s="21"/>
      <c r="AA343"/>
      <c r="AH343" t="str">
        <f t="shared" si="57"/>
        <v>k yet</v>
      </c>
    </row>
    <row r="344" spans="1:39">
      <c r="A344" s="42" t="s">
        <v>252</v>
      </c>
      <c r="B344" s="1" t="s">
        <v>20</v>
      </c>
      <c r="C344" s="40" t="str">
        <f t="shared" si="54"/>
        <v>07-&gt;</v>
      </c>
      <c r="D344" s="40" t="str">
        <f t="shared" si="55"/>
        <v xml:space="preserve">No pick yet                                                 </v>
      </c>
      <c r="E344" s="52">
        <f t="shared" si="56"/>
        <v>0</v>
      </c>
      <c r="F344" s="18"/>
      <c r="G344" s="13">
        <f t="shared" si="53"/>
        <v>0</v>
      </c>
      <c r="H344" s="13" t="e">
        <f>LEFT(VLOOKUP(ScoPo!S113,ScoPo!$G$150:$J$277,4,0),FIND(",",VLOOKUP(ScoPo!S113,ScoPo!$G$150:$J$277,4,0))-1)&amp;" "&amp;$AH$65&amp;" "&amp;LEFT(VLOOKUP(ScoPo!T113,ScoPo!$G$150:$J$277,4,0),FIND(",",VLOOKUP(ScoPo!T113,ScoPo!$G$150:$J$277,4,0))-1)</f>
        <v>#N/A</v>
      </c>
      <c r="I344" s="13" t="str">
        <f>IF(ScoPo!K113=1,ScoPo!N113,IF(ScoPo!K113=2,0," "))</f>
        <v xml:space="preserve"> </v>
      </c>
      <c r="M344" s="18"/>
      <c r="N344" s="18"/>
      <c r="O344" s="18"/>
      <c r="P344" s="18"/>
      <c r="Q344" s="22"/>
      <c r="R344" s="21"/>
      <c r="S344" s="21"/>
      <c r="T344" s="21"/>
      <c r="AA344"/>
      <c r="AH344" t="str">
        <f t="shared" si="57"/>
        <v>k yet</v>
      </c>
    </row>
    <row r="345" spans="1:39">
      <c r="A345" s="42" t="s">
        <v>253</v>
      </c>
      <c r="B345" s="1" t="s">
        <v>20</v>
      </c>
      <c r="C345" s="40" t="str">
        <f t="shared" si="54"/>
        <v>08-&gt;</v>
      </c>
      <c r="D345" s="40" t="str">
        <f t="shared" si="55"/>
        <v xml:space="preserve">No pick yet                                                 </v>
      </c>
      <c r="E345" s="52">
        <f t="shared" si="56"/>
        <v>0</v>
      </c>
      <c r="F345" s="18"/>
      <c r="G345" s="13">
        <f t="shared" si="53"/>
        <v>0</v>
      </c>
      <c r="H345" s="13" t="e">
        <f>LEFT(VLOOKUP(ScoPo!S114,ScoPo!$G$150:$J$277,4,0),FIND(",",VLOOKUP(ScoPo!S114,ScoPo!$G$150:$J$277,4,0))-1)&amp;" "&amp;$AH$65&amp;" "&amp;LEFT(VLOOKUP(ScoPo!T114,ScoPo!$G$150:$J$277,4,0),FIND(",",VLOOKUP(ScoPo!T114,ScoPo!$G$150:$J$277,4,0))-1)</f>
        <v>#N/A</v>
      </c>
      <c r="I345" s="13" t="str">
        <f>IF(ScoPo!K114=1,ScoPo!N114,IF(ScoPo!K114=2,0," "))</f>
        <v xml:space="preserve"> </v>
      </c>
      <c r="M345" s="18"/>
      <c r="N345" s="18"/>
      <c r="O345" s="18"/>
      <c r="P345" s="18"/>
      <c r="Q345" s="22"/>
      <c r="R345" s="21"/>
      <c r="S345" s="21"/>
      <c r="T345" s="21"/>
      <c r="AA345"/>
      <c r="AH345" t="str">
        <f t="shared" si="57"/>
        <v>k yet</v>
      </c>
    </row>
    <row r="346" spans="1:39">
      <c r="A346" s="42" t="s">
        <v>254</v>
      </c>
      <c r="B346" s="1" t="s">
        <v>20</v>
      </c>
      <c r="C346" s="40" t="str">
        <f t="shared" si="54"/>
        <v>09-&gt;</v>
      </c>
      <c r="D346" s="40" t="str">
        <f t="shared" si="55"/>
        <v xml:space="preserve">No pick yet                                                 </v>
      </c>
      <c r="E346" s="52">
        <f t="shared" si="56"/>
        <v>0</v>
      </c>
      <c r="F346" s="18"/>
      <c r="G346" s="13">
        <f t="shared" si="53"/>
        <v>0</v>
      </c>
      <c r="H346" s="13" t="e">
        <f>LEFT(VLOOKUP(ScoPo!S115,ScoPo!$G$150:$J$277,4,0),FIND(",",VLOOKUP(ScoPo!S115,ScoPo!$G$150:$J$277,4,0))-1)&amp;" "&amp;$AH$65&amp;" "&amp;LEFT(VLOOKUP(ScoPo!T115,ScoPo!$G$150:$J$277,4,0),FIND(",",VLOOKUP(ScoPo!T115,ScoPo!$G$150:$J$277,4,0))-1)</f>
        <v>#N/A</v>
      </c>
      <c r="I346" s="13" t="str">
        <f>IF(ScoPo!K115=1,ScoPo!N115,IF(ScoPo!K115=2,0," "))</f>
        <v xml:space="preserve"> </v>
      </c>
      <c r="M346" s="18"/>
      <c r="N346" s="18"/>
      <c r="O346" s="18"/>
      <c r="P346" s="18"/>
      <c r="Q346" s="22"/>
      <c r="R346" s="21"/>
      <c r="S346" s="21"/>
      <c r="T346" s="21"/>
      <c r="AA346"/>
      <c r="AH346" t="str">
        <f t="shared" si="57"/>
        <v>k yet</v>
      </c>
    </row>
    <row r="347" spans="1:39">
      <c r="A347" s="42" t="s">
        <v>255</v>
      </c>
      <c r="B347" s="1" t="s">
        <v>20</v>
      </c>
      <c r="C347" s="40" t="str">
        <f t="shared" si="54"/>
        <v>10-&gt;</v>
      </c>
      <c r="D347" s="40" t="str">
        <f t="shared" si="55"/>
        <v xml:space="preserve">No pick yet                                                 </v>
      </c>
      <c r="E347" s="52">
        <f t="shared" si="56"/>
        <v>0</v>
      </c>
      <c r="F347" s="22"/>
      <c r="G347" s="13">
        <f t="shared" si="53"/>
        <v>0</v>
      </c>
      <c r="H347" s="13" t="e">
        <f>LEFT(VLOOKUP(ScoPo!S116,ScoPo!$G$150:$J$277,4,0),FIND(",",VLOOKUP(ScoPo!S116,ScoPo!$G$150:$J$277,4,0))-1)&amp;" "&amp;$AH$65&amp;" "&amp;LEFT(VLOOKUP(ScoPo!T116,ScoPo!$G$150:$J$277,4,0),FIND(",",VLOOKUP(ScoPo!T116,ScoPo!$G$150:$J$277,4,0))-1)</f>
        <v>#N/A</v>
      </c>
      <c r="I347" s="13" t="str">
        <f>IF(ScoPo!K116=1,ScoPo!N116,IF(ScoPo!K116=2,0," "))</f>
        <v xml:space="preserve"> </v>
      </c>
      <c r="M347" s="18"/>
      <c r="N347" s="18"/>
      <c r="O347" s="18"/>
      <c r="P347" s="18"/>
      <c r="Q347" s="22"/>
      <c r="R347" s="21"/>
      <c r="S347" s="21"/>
      <c r="T347" s="21"/>
      <c r="AA347"/>
      <c r="AH347" t="str">
        <f t="shared" si="57"/>
        <v>k yet</v>
      </c>
    </row>
    <row r="348" spans="1:39">
      <c r="A348" s="42" t="s">
        <v>256</v>
      </c>
      <c r="B348" s="1" t="s">
        <v>20</v>
      </c>
      <c r="C348" s="40" t="str">
        <f t="shared" si="54"/>
        <v>11-&gt;</v>
      </c>
      <c r="D348" s="40" t="str">
        <f t="shared" si="55"/>
        <v xml:space="preserve">No pick yet                                                 </v>
      </c>
      <c r="E348" s="52">
        <f t="shared" si="56"/>
        <v>0</v>
      </c>
      <c r="G348" s="13">
        <f t="shared" si="53"/>
        <v>0</v>
      </c>
      <c r="H348" s="13" t="e">
        <f>LEFT(VLOOKUP(ScoPo!S117,ScoPo!$G$150:$J$277,4,0),FIND(",",VLOOKUP(ScoPo!S117,ScoPo!$G$150:$J$277,4,0))-1)&amp;" "&amp;$AH$65&amp;" "&amp;LEFT(VLOOKUP(ScoPo!T117,ScoPo!$G$150:$J$277,4,0),FIND(",",VLOOKUP(ScoPo!T117,ScoPo!$G$150:$J$277,4,0))-1)</f>
        <v>#N/A</v>
      </c>
      <c r="I348" s="13" t="str">
        <f>IF(ScoPo!K117=1,ScoPo!N117,IF(ScoPo!K117=2,0," "))</f>
        <v xml:space="preserve"> </v>
      </c>
      <c r="M348" s="18"/>
      <c r="N348" s="18"/>
      <c r="O348" s="18"/>
      <c r="P348" s="18"/>
      <c r="Q348" s="22"/>
      <c r="R348" s="21"/>
      <c r="S348" s="21"/>
      <c r="T348" s="21"/>
      <c r="AA348"/>
      <c r="AH348" t="str">
        <f t="shared" si="57"/>
        <v>k yet</v>
      </c>
    </row>
    <row r="349" spans="1:39">
      <c r="A349" s="42" t="s">
        <v>257</v>
      </c>
      <c r="B349" s="1" t="s">
        <v>20</v>
      </c>
      <c r="C349" s="40" t="str">
        <f t="shared" si="54"/>
        <v>12-&gt;</v>
      </c>
      <c r="D349" s="40" t="str">
        <f t="shared" si="55"/>
        <v xml:space="preserve">No pick yet                                                 </v>
      </c>
      <c r="E349" s="52">
        <f t="shared" si="56"/>
        <v>0</v>
      </c>
      <c r="G349" s="13">
        <f t="shared" si="53"/>
        <v>0</v>
      </c>
      <c r="H349" s="13" t="e">
        <f>LEFT(VLOOKUP(ScoPo!S118,ScoPo!$G$150:$J$277,4,0),FIND(",",VLOOKUP(ScoPo!S118,ScoPo!$G$150:$J$277,4,0))-1)&amp;" "&amp;$AH$65&amp;" "&amp;LEFT(VLOOKUP(ScoPo!T118,ScoPo!$G$150:$J$277,4,0),FIND(",",VLOOKUP(ScoPo!T118,ScoPo!$G$150:$J$277,4,0))-1)</f>
        <v>#N/A</v>
      </c>
      <c r="I349" s="13" t="str">
        <f>IF(ScoPo!K118=1,ScoPo!N118,IF(ScoPo!K118=2,0," "))</f>
        <v xml:space="preserve"> </v>
      </c>
      <c r="M349" s="18"/>
      <c r="N349" s="18"/>
      <c r="O349" s="18"/>
      <c r="P349" s="18"/>
      <c r="Q349" s="22"/>
      <c r="R349" s="21"/>
      <c r="S349" s="21"/>
      <c r="T349" s="21"/>
      <c r="AA349"/>
      <c r="AH349" t="str">
        <f t="shared" si="57"/>
        <v>k yet</v>
      </c>
    </row>
    <row r="350" spans="1:39">
      <c r="A350" s="42" t="s">
        <v>258</v>
      </c>
      <c r="B350" s="1" t="s">
        <v>20</v>
      </c>
      <c r="C350" s="40" t="str">
        <f t="shared" si="54"/>
        <v>13-&gt;</v>
      </c>
      <c r="D350" s="40" t="str">
        <f t="shared" si="55"/>
        <v xml:space="preserve">No pick yet                                                 </v>
      </c>
      <c r="E350" s="52">
        <f t="shared" si="56"/>
        <v>0</v>
      </c>
      <c r="G350" s="13">
        <f t="shared" si="53"/>
        <v>0</v>
      </c>
      <c r="H350" s="13" t="e">
        <f>LEFT(VLOOKUP(ScoPo!S119,ScoPo!$G$150:$J$277,4,0),FIND(",",VLOOKUP(ScoPo!S119,ScoPo!$G$150:$J$277,4,0))-1)&amp;" "&amp;$AH$65&amp;" "&amp;LEFT(VLOOKUP(ScoPo!T119,ScoPo!$G$150:$J$277,4,0),FIND(",",VLOOKUP(ScoPo!T119,ScoPo!$G$150:$J$277,4,0))-1)</f>
        <v>#N/A</v>
      </c>
      <c r="I350" s="13" t="str">
        <f>IF(ScoPo!K119=1,ScoPo!N119,IF(ScoPo!K119=2,0," "))</f>
        <v xml:space="preserve"> </v>
      </c>
      <c r="M350" s="18"/>
      <c r="N350" s="18"/>
      <c r="O350" s="18"/>
      <c r="P350" s="18"/>
      <c r="Q350" s="22"/>
      <c r="R350" s="21"/>
      <c r="S350" s="21"/>
      <c r="T350" s="21"/>
      <c r="AA350"/>
      <c r="AH350" t="str">
        <f t="shared" si="57"/>
        <v>k yet</v>
      </c>
    </row>
    <row r="351" spans="1:39">
      <c r="A351" s="42" t="s">
        <v>259</v>
      </c>
      <c r="B351" s="1" t="s">
        <v>20</v>
      </c>
      <c r="C351" s="40" t="str">
        <f t="shared" si="54"/>
        <v>14-&gt;</v>
      </c>
      <c r="D351" s="40" t="str">
        <f t="shared" si="55"/>
        <v xml:space="preserve">No pick yet                                                 </v>
      </c>
      <c r="E351" s="52">
        <f t="shared" si="56"/>
        <v>0</v>
      </c>
      <c r="G351" s="13">
        <f t="shared" si="53"/>
        <v>0</v>
      </c>
      <c r="H351" s="13" t="e">
        <f>LEFT(VLOOKUP(ScoPo!T104,ScoPo!$G$150:$J$277,4,0),FIND(",",VLOOKUP(ScoPo!T104,ScoPo!$G$150:$J$277,4,0))-1)&amp;" "&amp;$AH$65&amp;" "&amp;LEFT(VLOOKUP(ScoPo!S104,ScoPo!$G$150:$J$277,4,0),FIND(",",VLOOKUP(ScoPo!S104,ScoPo!$G$150:$J$277,4,0))-1)</f>
        <v>#N/A</v>
      </c>
      <c r="I351" s="13" t="str">
        <f>IF(ScoPo!K104=1,0,IF(ScoPo!K104=2,ScoPo!O104," "))</f>
        <v xml:space="preserve"> </v>
      </c>
      <c r="M351" s="18"/>
      <c r="N351" s="18"/>
      <c r="O351" s="18"/>
      <c r="P351" s="18"/>
      <c r="Q351" s="22"/>
      <c r="R351" s="21"/>
      <c r="S351" s="21"/>
      <c r="T351" s="21"/>
      <c r="AA351"/>
      <c r="AH351" t="str">
        <f t="shared" si="57"/>
        <v>k yet</v>
      </c>
    </row>
    <row r="352" spans="1:39">
      <c r="A352" s="42" t="s">
        <v>260</v>
      </c>
      <c r="B352" s="1" t="s">
        <v>20</v>
      </c>
      <c r="C352" s="40" t="str">
        <f t="shared" si="54"/>
        <v>15-&gt;</v>
      </c>
      <c r="D352" s="40" t="str">
        <f t="shared" si="55"/>
        <v xml:space="preserve">No pick yet                                                 </v>
      </c>
      <c r="E352" s="52">
        <f t="shared" si="56"/>
        <v>0</v>
      </c>
      <c r="G352" s="13">
        <f t="shared" si="53"/>
        <v>0</v>
      </c>
      <c r="H352" s="13" t="e">
        <f>LEFT(VLOOKUP(ScoPo!T105,ScoPo!$G$150:$J$277,4,0),FIND(",",VLOOKUP(ScoPo!T105,ScoPo!$G$150:$J$277,4,0))-1)&amp;" "&amp;$AH$65&amp;" "&amp;LEFT(VLOOKUP(ScoPo!S105,ScoPo!$G$150:$J$277,4,0),FIND(",",VLOOKUP(ScoPo!S105,ScoPo!$G$150:$J$277,4,0))-1)</f>
        <v>#N/A</v>
      </c>
      <c r="I352" s="13" t="str">
        <f>IF(ScoPo!K105=1,0,IF(ScoPo!K105=2,ScoPo!O105," "))</f>
        <v xml:space="preserve"> </v>
      </c>
      <c r="M352" s="18"/>
      <c r="N352" s="18"/>
      <c r="O352" s="18"/>
      <c r="P352" s="18"/>
      <c r="Q352" s="22"/>
      <c r="R352" s="21"/>
      <c r="S352" s="21"/>
      <c r="T352" s="21"/>
      <c r="AA352"/>
      <c r="AH352" t="str">
        <f t="shared" si="57"/>
        <v>k yet</v>
      </c>
    </row>
    <row r="353" spans="1:39">
      <c r="A353" s="42" t="s">
        <v>261</v>
      </c>
      <c r="B353" s="1" t="s">
        <v>20</v>
      </c>
      <c r="C353" s="40" t="str">
        <f t="shared" si="54"/>
        <v>16-&gt;</v>
      </c>
      <c r="D353" s="40" t="str">
        <f t="shared" si="55"/>
        <v xml:space="preserve">No pick yet                                                 </v>
      </c>
      <c r="E353" s="52">
        <f t="shared" si="56"/>
        <v>0</v>
      </c>
      <c r="G353" s="13">
        <f t="shared" si="53"/>
        <v>0</v>
      </c>
      <c r="H353" s="13" t="e">
        <f>LEFT(VLOOKUP(ScoPo!T106,ScoPo!$G$150:$J$277,4,0),FIND(",",VLOOKUP(ScoPo!T106,ScoPo!$G$150:$J$277,4,0))-1)&amp;" "&amp;$AH$65&amp;" "&amp;LEFT(VLOOKUP(ScoPo!S106,ScoPo!$G$150:$J$277,4,0),FIND(",",VLOOKUP(ScoPo!S106,ScoPo!$G$150:$J$277,4,0))-1)</f>
        <v>#N/A</v>
      </c>
      <c r="I353" s="13" t="str">
        <f>IF(ScoPo!K106=1,0,IF(ScoPo!K106=2,ScoPo!O106," "))</f>
        <v xml:space="preserve"> </v>
      </c>
      <c r="J353" s="22"/>
      <c r="M353" s="18"/>
      <c r="N353" s="18"/>
      <c r="O353" s="18"/>
      <c r="P353" s="18"/>
      <c r="Q353" s="22"/>
      <c r="R353" s="21"/>
      <c r="S353" s="21"/>
      <c r="T353" s="21"/>
      <c r="AA353"/>
      <c r="AH353" t="str">
        <f t="shared" si="57"/>
        <v>k yet</v>
      </c>
    </row>
    <row r="354" spans="1:39">
      <c r="A354" s="42" t="s">
        <v>262</v>
      </c>
      <c r="B354" s="1" t="s">
        <v>20</v>
      </c>
      <c r="C354" s="40" t="str">
        <f t="shared" si="54"/>
        <v>17-&gt;</v>
      </c>
      <c r="D354" s="40" t="str">
        <f t="shared" si="55"/>
        <v xml:space="preserve">No pick yet                                                 </v>
      </c>
      <c r="E354" s="52">
        <f t="shared" si="56"/>
        <v>0</v>
      </c>
      <c r="G354" s="13">
        <f t="shared" si="53"/>
        <v>0</v>
      </c>
      <c r="H354" s="13" t="e">
        <f>LEFT(VLOOKUP(ScoPo!T107,ScoPo!$G$150:$J$277,4,0),FIND(",",VLOOKUP(ScoPo!T107,ScoPo!$G$150:$J$277,4,0))-1)&amp;" "&amp;$AH$65&amp;" "&amp;LEFT(VLOOKUP(ScoPo!S107,ScoPo!$G$150:$J$277,4,0),FIND(",",VLOOKUP(ScoPo!S107,ScoPo!$G$150:$J$277,4,0))-1)</f>
        <v>#N/A</v>
      </c>
      <c r="I354" s="13" t="str">
        <f>IF(ScoPo!K107=1,0,IF(ScoPo!K107=2,ScoPo!O107," "))</f>
        <v xml:space="preserve"> </v>
      </c>
      <c r="J354" s="22"/>
      <c r="K354" s="22"/>
      <c r="N354" s="22"/>
      <c r="O354" s="22"/>
      <c r="P354" s="22"/>
      <c r="Q354" s="22"/>
      <c r="R354" s="22"/>
      <c r="S354" s="22"/>
      <c r="Z354" s="53"/>
      <c r="AA354"/>
      <c r="AH354" t="str">
        <f t="shared" si="57"/>
        <v>k yet</v>
      </c>
    </row>
    <row r="355" spans="1:39">
      <c r="A355" s="42" t="s">
        <v>263</v>
      </c>
      <c r="B355" s="1" t="s">
        <v>20</v>
      </c>
      <c r="C355" s="40" t="str">
        <f t="shared" si="54"/>
        <v>18-&gt;</v>
      </c>
      <c r="D355" s="40" t="str">
        <f t="shared" si="55"/>
        <v xml:space="preserve">No pick yet                                                 </v>
      </c>
      <c r="E355" s="52">
        <f t="shared" si="56"/>
        <v>0</v>
      </c>
      <c r="F355" s="18"/>
      <c r="G355" s="13">
        <f t="shared" si="53"/>
        <v>0</v>
      </c>
      <c r="H355" s="13" t="e">
        <f>LEFT(VLOOKUP(ScoPo!T108,ScoPo!$G$150:$J$277,4,0),FIND(",",VLOOKUP(ScoPo!T108,ScoPo!$G$150:$J$277,4,0))-1)&amp;" "&amp;$AH$65&amp;" "&amp;LEFT(VLOOKUP(ScoPo!S108,ScoPo!$G$150:$J$277,4,0),FIND(",",VLOOKUP(ScoPo!S108,ScoPo!$G$150:$J$277,4,0))-1)</f>
        <v>#N/A</v>
      </c>
      <c r="I355" s="13" t="str">
        <f>IF(ScoPo!K108=1,0,IF(ScoPo!K108=2,ScoPo!O108," "))</f>
        <v xml:space="preserve"> </v>
      </c>
      <c r="L355" s="21"/>
      <c r="N355" s="22"/>
      <c r="O355" s="22"/>
      <c r="P355" s="18"/>
      <c r="Q355" s="22"/>
      <c r="R355" s="22"/>
      <c r="S355" s="22"/>
      <c r="Z355" s="53"/>
      <c r="AA355"/>
      <c r="AH355" t="str">
        <f t="shared" si="57"/>
        <v>k yet</v>
      </c>
    </row>
    <row r="356" spans="1:39">
      <c r="A356" s="42" t="s">
        <v>264</v>
      </c>
      <c r="B356" s="1" t="s">
        <v>20</v>
      </c>
      <c r="C356" s="40" t="str">
        <f t="shared" si="54"/>
        <v>19-&gt;</v>
      </c>
      <c r="D356" s="40" t="str">
        <f t="shared" si="55"/>
        <v xml:space="preserve">No pick yet                                                 </v>
      </c>
      <c r="E356" s="52">
        <f t="shared" si="56"/>
        <v>0</v>
      </c>
      <c r="F356" s="18"/>
      <c r="G356" s="13">
        <f t="shared" si="53"/>
        <v>0</v>
      </c>
      <c r="H356" s="13" t="e">
        <f>LEFT(VLOOKUP(ScoPo!T109,ScoPo!$G$150:$J$277,4,0),FIND(",",VLOOKUP(ScoPo!T109,ScoPo!$G$150:$J$277,4,0))-1)&amp;" "&amp;$AH$65&amp;" "&amp;LEFT(VLOOKUP(ScoPo!S109,ScoPo!$G$150:$J$277,4,0),FIND(",",VLOOKUP(ScoPo!S109,ScoPo!$G$150:$J$277,4,0))-1)</f>
        <v>#N/A</v>
      </c>
      <c r="I356" s="13" t="str">
        <f>IF(ScoPo!K109=1,0,IF(ScoPo!K109=2,ScoPo!O109," "))</f>
        <v xml:space="preserve"> </v>
      </c>
      <c r="M356" s="18"/>
      <c r="N356" s="18"/>
      <c r="O356" s="18"/>
      <c r="P356" s="18"/>
      <c r="Q356" s="22"/>
      <c r="R356" s="21"/>
      <c r="S356" s="21"/>
      <c r="T356" s="21"/>
      <c r="AA356"/>
      <c r="AH356" t="str">
        <f t="shared" si="57"/>
        <v>k yet</v>
      </c>
    </row>
    <row r="357" spans="1:39">
      <c r="A357" s="42" t="s">
        <v>265</v>
      </c>
      <c r="B357" s="1" t="s">
        <v>20</v>
      </c>
      <c r="C357" s="40" t="str">
        <f t="shared" si="54"/>
        <v>20-&gt;</v>
      </c>
      <c r="D357" s="40" t="str">
        <f t="shared" si="55"/>
        <v xml:space="preserve">No pick yet                                                 </v>
      </c>
      <c r="E357" s="52">
        <f t="shared" si="56"/>
        <v>0</v>
      </c>
      <c r="F357" s="18"/>
      <c r="G357" s="13">
        <f t="shared" si="53"/>
        <v>0</v>
      </c>
      <c r="H357" s="13" t="e">
        <f>LEFT(VLOOKUP(ScoPo!T110,ScoPo!$G$150:$J$277,4,0),FIND(",",VLOOKUP(ScoPo!T110,ScoPo!$G$150:$J$277,4,0))-1)&amp;" "&amp;$AH$65&amp;" "&amp;LEFT(VLOOKUP(ScoPo!S110,ScoPo!$G$150:$J$277,4,0),FIND(",",VLOOKUP(ScoPo!S110,ScoPo!$G$150:$J$277,4,0))-1)</f>
        <v>#N/A</v>
      </c>
      <c r="I357" s="13" t="str">
        <f>IF(ScoPo!K110=1,0,IF(ScoPo!K110=2,ScoPo!O110," "))</f>
        <v xml:space="preserve"> </v>
      </c>
      <c r="M357" s="18"/>
      <c r="N357" s="18"/>
      <c r="O357" s="18"/>
      <c r="P357" s="18"/>
      <c r="Q357" s="22"/>
      <c r="R357" s="21"/>
      <c r="S357" s="21"/>
      <c r="T357" s="21"/>
      <c r="AA357"/>
      <c r="AH357" t="str">
        <f t="shared" si="57"/>
        <v>k yet</v>
      </c>
    </row>
    <row r="358" spans="1:39">
      <c r="A358" s="42" t="s">
        <v>266</v>
      </c>
      <c r="B358" s="1" t="s">
        <v>20</v>
      </c>
      <c r="C358" s="40" t="str">
        <f t="shared" si="54"/>
        <v>21-&gt;</v>
      </c>
      <c r="D358" s="40" t="str">
        <f t="shared" si="55"/>
        <v xml:space="preserve">No pick yet                                                 </v>
      </c>
      <c r="E358" s="52">
        <f t="shared" si="56"/>
        <v>0</v>
      </c>
      <c r="F358" s="18"/>
      <c r="G358" s="13">
        <f t="shared" si="53"/>
        <v>0</v>
      </c>
      <c r="H358" s="13" t="e">
        <f>LEFT(VLOOKUP(ScoPo!T111,ScoPo!$G$150:$J$277,4,0),FIND(",",VLOOKUP(ScoPo!T111,ScoPo!$G$150:$J$277,4,0))-1)&amp;" "&amp;$AH$65&amp;" "&amp;LEFT(VLOOKUP(ScoPo!S111,ScoPo!$G$150:$J$277,4,0),FIND(",",VLOOKUP(ScoPo!S111,ScoPo!$G$150:$J$277,4,0))-1)</f>
        <v>#N/A</v>
      </c>
      <c r="I358" s="13" t="str">
        <f>IF(ScoPo!K111=1,0,IF(ScoPo!K111=2,ScoPo!O111," "))</f>
        <v xml:space="preserve"> </v>
      </c>
      <c r="M358" s="18"/>
      <c r="N358" s="18"/>
      <c r="O358" s="18"/>
      <c r="P358" s="18"/>
      <c r="Q358" s="22"/>
      <c r="R358" s="21"/>
      <c r="S358" s="21"/>
      <c r="T358" s="21"/>
      <c r="AA358"/>
      <c r="AH358" t="str">
        <f t="shared" si="57"/>
        <v>k yet</v>
      </c>
    </row>
    <row r="359" spans="1:39">
      <c r="A359" s="42" t="s">
        <v>267</v>
      </c>
      <c r="B359" s="1" t="s">
        <v>20</v>
      </c>
      <c r="C359" s="40" t="str">
        <f t="shared" si="54"/>
        <v>22-&gt;</v>
      </c>
      <c r="D359" s="40" t="str">
        <f t="shared" si="55"/>
        <v xml:space="preserve">No pick yet                                                 </v>
      </c>
      <c r="E359" s="52">
        <f t="shared" si="56"/>
        <v>0</v>
      </c>
      <c r="F359" s="18"/>
      <c r="G359" s="13">
        <f t="shared" si="53"/>
        <v>0</v>
      </c>
      <c r="H359" s="13" t="e">
        <f>LEFT(VLOOKUP(ScoPo!T112,ScoPo!$G$150:$J$277,4,0),FIND(",",VLOOKUP(ScoPo!T112,ScoPo!$G$150:$J$277,4,0))-1)&amp;" "&amp;$AH$65&amp;" "&amp;LEFT(VLOOKUP(ScoPo!S112,ScoPo!$G$150:$J$277,4,0),FIND(",",VLOOKUP(ScoPo!S112,ScoPo!$G$150:$J$277,4,0))-1)</f>
        <v>#N/A</v>
      </c>
      <c r="I359" s="13" t="str">
        <f>IF(ScoPo!K112=1,0,IF(ScoPo!K112=2,ScoPo!O112," "))</f>
        <v xml:space="preserve"> </v>
      </c>
      <c r="M359" s="18"/>
      <c r="N359" s="18"/>
      <c r="O359" s="18"/>
      <c r="P359" s="18"/>
      <c r="Q359" s="22"/>
      <c r="R359" s="21"/>
      <c r="S359" s="21"/>
      <c r="T359" s="21"/>
      <c r="AA359"/>
      <c r="AH359" t="str">
        <f t="shared" si="57"/>
        <v>k yet</v>
      </c>
    </row>
    <row r="360" spans="1:39">
      <c r="A360" s="42" t="s">
        <v>268</v>
      </c>
      <c r="B360" s="1" t="s">
        <v>20</v>
      </c>
      <c r="C360" s="40" t="str">
        <f t="shared" si="54"/>
        <v>23-&gt;</v>
      </c>
      <c r="D360" s="40" t="str">
        <f t="shared" si="55"/>
        <v xml:space="preserve">No pick yet                                                 </v>
      </c>
      <c r="E360" s="52">
        <f t="shared" si="56"/>
        <v>0</v>
      </c>
      <c r="F360" s="18"/>
      <c r="G360" s="13">
        <f t="shared" si="53"/>
        <v>0</v>
      </c>
      <c r="H360" s="13" t="e">
        <f>LEFT(VLOOKUP(ScoPo!T113,ScoPo!$G$150:$J$277,4,0),FIND(",",VLOOKUP(ScoPo!T113,ScoPo!$G$150:$J$277,4,0))-1)&amp;" "&amp;$AH$65&amp;" "&amp;LEFT(VLOOKUP(ScoPo!S113,ScoPo!$G$150:$J$277,4,0),FIND(",",VLOOKUP(ScoPo!S113,ScoPo!$G$150:$J$277,4,0))-1)</f>
        <v>#N/A</v>
      </c>
      <c r="I360" s="13" t="str">
        <f>IF(ScoPo!K113=1,0,IF(ScoPo!K113=2,ScoPo!O113," "))</f>
        <v xml:space="preserve"> </v>
      </c>
      <c r="M360" s="18"/>
      <c r="N360" s="18"/>
      <c r="O360" s="18"/>
      <c r="P360" s="18"/>
      <c r="Q360" s="22"/>
      <c r="R360" s="21"/>
      <c r="S360" s="21"/>
      <c r="T360" s="21"/>
      <c r="AA360"/>
      <c r="AH360" t="str">
        <f t="shared" si="57"/>
        <v>k yet</v>
      </c>
    </row>
    <row r="361" spans="1:39">
      <c r="A361" s="42" t="s">
        <v>269</v>
      </c>
      <c r="B361" s="1" t="s">
        <v>20</v>
      </c>
      <c r="C361" s="40" t="str">
        <f t="shared" si="54"/>
        <v>24-&gt;</v>
      </c>
      <c r="D361" s="40" t="str">
        <f t="shared" si="55"/>
        <v xml:space="preserve">No pick yet                                                 </v>
      </c>
      <c r="E361" s="52">
        <f t="shared" si="56"/>
        <v>0</v>
      </c>
      <c r="F361" s="18"/>
      <c r="G361" s="13">
        <f t="shared" si="53"/>
        <v>0</v>
      </c>
      <c r="H361" s="13" t="e">
        <f>LEFT(VLOOKUP(ScoPo!T114,ScoPo!$G$150:$J$277,4,0),FIND(",",VLOOKUP(ScoPo!T114,ScoPo!$G$150:$J$277,4,0))-1)&amp;" "&amp;$AH$65&amp;" "&amp;LEFT(VLOOKUP(ScoPo!S114,ScoPo!$G$150:$J$277,4,0),FIND(",",VLOOKUP(ScoPo!S114,ScoPo!$G$150:$J$277,4,0))-1)</f>
        <v>#N/A</v>
      </c>
      <c r="I361" s="13" t="str">
        <f>IF(ScoPo!K114=1,0,IF(ScoPo!K114=2,ScoPo!O114," "))</f>
        <v xml:space="preserve"> </v>
      </c>
      <c r="M361" s="18"/>
      <c r="N361" s="18"/>
      <c r="O361" s="18"/>
      <c r="P361" s="18"/>
      <c r="Q361" s="22"/>
      <c r="R361" s="21"/>
      <c r="S361" s="21"/>
      <c r="T361" s="21"/>
      <c r="AA361"/>
      <c r="AH361" t="str">
        <f t="shared" si="57"/>
        <v>k yet</v>
      </c>
    </row>
    <row r="362" spans="1:39">
      <c r="A362" s="42" t="s">
        <v>270</v>
      </c>
      <c r="B362" s="1" t="s">
        <v>20</v>
      </c>
      <c r="C362" s="40" t="str">
        <f t="shared" si="54"/>
        <v>25-&gt;</v>
      </c>
      <c r="D362" s="40" t="str">
        <f t="shared" si="55"/>
        <v xml:space="preserve">No pick yet                                                 </v>
      </c>
      <c r="E362" s="52">
        <f t="shared" si="56"/>
        <v>0</v>
      </c>
      <c r="F362" s="18"/>
      <c r="G362" s="13">
        <f t="shared" si="53"/>
        <v>0</v>
      </c>
      <c r="H362" s="13" t="e">
        <f>LEFT(VLOOKUP(ScoPo!T115,ScoPo!$G$150:$J$277,4,0),FIND(",",VLOOKUP(ScoPo!T115,ScoPo!$G$150:$J$277,4,0))-1)&amp;" "&amp;$AH$65&amp;" "&amp;LEFT(VLOOKUP(ScoPo!S115,ScoPo!$G$150:$J$277,4,0),FIND(",",VLOOKUP(ScoPo!S115,ScoPo!$G$150:$J$277,4,0))-1)</f>
        <v>#N/A</v>
      </c>
      <c r="I362" s="13" t="str">
        <f>IF(ScoPo!K115=1,0,IF(ScoPo!K115=2,ScoPo!O115," "))</f>
        <v xml:space="preserve"> </v>
      </c>
      <c r="M362" s="18"/>
      <c r="N362" s="18"/>
      <c r="O362" s="18"/>
      <c r="P362" s="18"/>
      <c r="Q362" s="22"/>
      <c r="R362" s="21"/>
      <c r="S362" s="21"/>
      <c r="T362" s="21"/>
      <c r="AA362"/>
      <c r="AH362" t="str">
        <f t="shared" si="57"/>
        <v>k yet</v>
      </c>
    </row>
    <row r="363" spans="1:39">
      <c r="A363" s="42" t="s">
        <v>271</v>
      </c>
      <c r="B363" s="1" t="s">
        <v>20</v>
      </c>
      <c r="C363" s="40" t="str">
        <f t="shared" si="54"/>
        <v>26-&gt;</v>
      </c>
      <c r="D363" s="40" t="str">
        <f t="shared" si="55"/>
        <v xml:space="preserve">No pick yet                                                 </v>
      </c>
      <c r="E363" s="52">
        <f t="shared" si="56"/>
        <v>0</v>
      </c>
      <c r="F363" s="18"/>
      <c r="G363" s="13">
        <f t="shared" si="53"/>
        <v>0</v>
      </c>
      <c r="H363" s="13" t="e">
        <f>LEFT(VLOOKUP(ScoPo!T116,ScoPo!$G$150:$J$277,4,0),FIND(",",VLOOKUP(ScoPo!T116,ScoPo!$G$150:$J$277,4,0))-1)&amp;" "&amp;$AH$65&amp;" "&amp;LEFT(VLOOKUP(ScoPo!S116,ScoPo!$G$150:$J$277,4,0),FIND(",",VLOOKUP(ScoPo!S116,ScoPo!$G$150:$J$277,4,0))-1)</f>
        <v>#N/A</v>
      </c>
      <c r="I363" s="13" t="str">
        <f>IF(ScoPo!K116=1,0,IF(ScoPo!K116=2,ScoPo!O116," "))</f>
        <v xml:space="preserve"> </v>
      </c>
      <c r="M363" s="18"/>
      <c r="N363" s="18"/>
      <c r="O363" s="18"/>
      <c r="P363" s="18"/>
      <c r="Q363" s="22"/>
      <c r="R363" s="21"/>
      <c r="S363" s="21"/>
      <c r="T363" s="21"/>
      <c r="AA363"/>
      <c r="AH363" t="str">
        <f t="shared" si="57"/>
        <v>k yet</v>
      </c>
    </row>
    <row r="364" spans="1:39">
      <c r="A364" s="38"/>
      <c r="B364" s="40"/>
      <c r="C364" s="40"/>
      <c r="D364" s="49"/>
      <c r="E364" s="41" t="s">
        <v>69</v>
      </c>
      <c r="F364" s="18"/>
      <c r="G364" s="13">
        <f t="shared" si="53"/>
        <v>0</v>
      </c>
      <c r="H364" s="13" t="e">
        <f>LEFT(VLOOKUP(ScoPo!T117,ScoPo!$G$150:$J$277,4,0),FIND(",",VLOOKUP(ScoPo!T117,ScoPo!$G$150:$J$277,4,0))-1)&amp;" "&amp;$AH$65&amp;" "&amp;LEFT(VLOOKUP(ScoPo!S117,ScoPo!$G$150:$J$277,4,0),FIND(",",VLOOKUP(ScoPo!S117,ScoPo!$G$150:$J$277,4,0))-1)</f>
        <v>#N/A</v>
      </c>
      <c r="I364" s="13" t="str">
        <f>IF(ScoPo!K117=1,0,IF(ScoPo!K117=2,ScoPo!O117," "))</f>
        <v xml:space="preserve"> </v>
      </c>
      <c r="K364" s="22" t="s">
        <v>73</v>
      </c>
      <c r="L364" s="18" t="s">
        <v>74</v>
      </c>
      <c r="M364" s="22" t="s">
        <v>78</v>
      </c>
      <c r="N364" s="22" t="s">
        <v>79</v>
      </c>
      <c r="O364" s="22" t="s">
        <v>80</v>
      </c>
      <c r="P364" s="22" t="s">
        <v>81</v>
      </c>
      <c r="Q364" s="22" t="s">
        <v>82</v>
      </c>
      <c r="R364" s="22" t="s">
        <v>83</v>
      </c>
      <c r="S364" s="22" t="s">
        <v>84</v>
      </c>
      <c r="T364" s="18" t="s">
        <v>85</v>
      </c>
      <c r="U364" s="18" t="s">
        <v>86</v>
      </c>
      <c r="V364" s="18" t="s">
        <v>87</v>
      </c>
      <c r="W364" s="18" t="s">
        <v>88</v>
      </c>
      <c r="X364" s="18" t="s">
        <v>89</v>
      </c>
      <c r="Y364" s="18" t="s">
        <v>90</v>
      </c>
      <c r="Z364" s="18" t="s">
        <v>91</v>
      </c>
      <c r="AA364" s="18" t="s">
        <v>92</v>
      </c>
      <c r="AB364" s="18" t="s">
        <v>93</v>
      </c>
      <c r="AC364" s="18" t="s">
        <v>94</v>
      </c>
      <c r="AD364" s="18" t="s">
        <v>235</v>
      </c>
      <c r="AE364" s="18" t="s">
        <v>236</v>
      </c>
      <c r="AF364" s="18" t="s">
        <v>237</v>
      </c>
      <c r="AG364" s="18" t="s">
        <v>238</v>
      </c>
      <c r="AH364" s="18" t="s">
        <v>239</v>
      </c>
      <c r="AI364" s="18" t="s">
        <v>240</v>
      </c>
      <c r="AJ364" s="18" t="s">
        <v>241</v>
      </c>
      <c r="AK364" s="18" t="s">
        <v>242</v>
      </c>
      <c r="AL364" s="18" t="s">
        <v>243</v>
      </c>
      <c r="AM364" s="50" t="s">
        <v>244</v>
      </c>
    </row>
    <row r="365" spans="1:39">
      <c r="A365" s="40" t="s">
        <v>245</v>
      </c>
      <c r="B365" s="51" t="str">
        <f>D12</f>
        <v/>
      </c>
      <c r="C365" s="40" t="str">
        <f t="shared" ref="C365:C391" si="58">A365</f>
        <v>#</v>
      </c>
      <c r="D365" s="40" t="str">
        <f>"   "&amp;B365&amp;REPT(" ",$AH$70-LEN(B365)-3)</f>
        <v xml:space="preserve">                                                            </v>
      </c>
      <c r="E365" s="38" t="str">
        <f>SUM(E366:E391)&amp;" pts[/b]"</f>
        <v>0 pts[/b]</v>
      </c>
      <c r="F365" s="21">
        <f>SUM(E366:E391)</f>
        <v>0</v>
      </c>
      <c r="G365" s="13">
        <f t="shared" si="53"/>
        <v>0</v>
      </c>
      <c r="H365" s="13" t="e">
        <f>LEFT(VLOOKUP(ScoPo!T118,ScoPo!$G$150:$J$277,4,0),FIND(",",VLOOKUP(ScoPo!T118,ScoPo!$G$150:$J$277,4,0))-1)&amp;" "&amp;$AH$65&amp;" "&amp;LEFT(VLOOKUP(ScoPo!S118,ScoPo!$G$150:$J$277,4,0),FIND(",",VLOOKUP(ScoPo!S118,ScoPo!$G$150:$J$277,4,0))-1)</f>
        <v>#N/A</v>
      </c>
      <c r="I365" s="13" t="str">
        <f>IF(ScoPo!K118=1,0,IF(ScoPo!K118=2,ScoPo!O118," "))</f>
        <v xml:space="preserve"> </v>
      </c>
      <c r="K365" s="18">
        <f>COUNTIF(E366:E391,"&gt;0")</f>
        <v>0</v>
      </c>
      <c r="L365" s="21">
        <f>AM365-K365</f>
        <v>0</v>
      </c>
      <c r="M365" s="22">
        <f>MAX(E366:E391)</f>
        <v>0</v>
      </c>
      <c r="N365" s="22">
        <f>LARGE(E366:E391,2)</f>
        <v>0</v>
      </c>
      <c r="O365" s="22">
        <f>LARGE(E366:E391,3)</f>
        <v>0</v>
      </c>
      <c r="P365" s="18">
        <f>LARGE(E366:E391,4)</f>
        <v>0</v>
      </c>
      <c r="Q365" s="22">
        <f>LARGE(E366:E391,5)</f>
        <v>0</v>
      </c>
      <c r="R365" s="22">
        <f>LARGE(E366:E391,6)</f>
        <v>0</v>
      </c>
      <c r="S365" s="22">
        <f>LARGE(E366:E391,7)</f>
        <v>0</v>
      </c>
      <c r="T365" s="18">
        <f>LARGE(E366:E391,8)</f>
        <v>0</v>
      </c>
      <c r="U365" s="18">
        <f>LARGE(E366:E391,9)</f>
        <v>0</v>
      </c>
      <c r="V365" s="18">
        <f>LARGE(E366:E391,10)</f>
        <v>0</v>
      </c>
      <c r="W365" s="18">
        <f>LARGE(E366:E391,11)</f>
        <v>0</v>
      </c>
      <c r="X365" s="18">
        <f>LARGE(E366:E391,12)</f>
        <v>0</v>
      </c>
      <c r="Y365" s="18">
        <f>LARGE(E366:E391,13)</f>
        <v>0</v>
      </c>
      <c r="Z365" s="18">
        <f>LARGE(E366:E391,14)</f>
        <v>0</v>
      </c>
      <c r="AA365" s="18">
        <f>LARGE(E366:E391,15)</f>
        <v>0</v>
      </c>
      <c r="AB365" s="18">
        <f>LARGE(E366:E391,16)</f>
        <v>0</v>
      </c>
      <c r="AC365" s="18">
        <f>LARGE(E366:E391,17)</f>
        <v>0</v>
      </c>
      <c r="AD365" s="18">
        <f>LARGE(E366:E392,13)</f>
        <v>0</v>
      </c>
      <c r="AE365" s="18">
        <f>LARGE(E366:E391,19)</f>
        <v>0</v>
      </c>
      <c r="AF365" s="18">
        <f>LARGE(E366:E391,20)</f>
        <v>0</v>
      </c>
      <c r="AG365" s="18">
        <f>LARGE(E366:E391,21)</f>
        <v>0</v>
      </c>
      <c r="AH365" s="18">
        <f>LARGE(E366:E391,22)</f>
        <v>0</v>
      </c>
      <c r="AI365" s="18">
        <f>LARGE(E366:E391,23)</f>
        <v>0</v>
      </c>
      <c r="AJ365" s="18">
        <f>LARGE(E366:E391,24)</f>
        <v>0</v>
      </c>
      <c r="AK365" s="18">
        <f>LARGE(E366:E391,25)</f>
        <v>0</v>
      </c>
      <c r="AL365" s="18">
        <f>LARGE(E366:E391,26)</f>
        <v>0</v>
      </c>
      <c r="AM365" s="50">
        <f>COUNTIF(AH366:AH391,"&lt;&gt;"&amp;AH76)-(26-COUNTIF(E366:E391,"&gt;=0"))</f>
        <v>0</v>
      </c>
    </row>
    <row r="366" spans="1:39">
      <c r="A366" s="42" t="s">
        <v>246</v>
      </c>
      <c r="B366" s="1" t="s">
        <v>20</v>
      </c>
      <c r="C366" s="40" t="str">
        <f t="shared" si="58"/>
        <v>01-&gt;</v>
      </c>
      <c r="D366" s="40" t="str">
        <f t="shared" ref="D366:D391" si="59">B366&amp;REPT(" ",$AH$70-LEN(B366))</f>
        <v xml:space="preserve">No pick yet                                                 </v>
      </c>
      <c r="E366" s="52">
        <f t="shared" ref="E366:E391" si="60">VLOOKUP(RIGHT(B366,LEN(B366)-$AH$66),$H$138:$I$420,2,0)</f>
        <v>0</v>
      </c>
      <c r="F366" s="18"/>
      <c r="G366" s="13">
        <f t="shared" si="53"/>
        <v>0</v>
      </c>
      <c r="H366" s="13" t="e">
        <f>LEFT(VLOOKUP(ScoPo!T119,ScoPo!$G$150:$J$277,4,0),FIND(",",VLOOKUP(ScoPo!T119,ScoPo!$G$150:$J$277,4,0))-1)&amp;" "&amp;$AH$65&amp;" "&amp;LEFT(VLOOKUP(ScoPo!S119,ScoPo!$G$150:$J$277,4,0),FIND(",",VLOOKUP(ScoPo!S119,ScoPo!$G$150:$J$277,4,0))-1)</f>
        <v>#N/A</v>
      </c>
      <c r="I366" s="13" t="str">
        <f>IF(ScoPo!K119=1,0,IF(ScoPo!K119=2,ScoPo!O119," "))</f>
        <v xml:space="preserve"> </v>
      </c>
      <c r="M366" s="18"/>
      <c r="N366" s="18"/>
      <c r="O366" s="18"/>
      <c r="P366" s="18"/>
      <c r="Q366" s="22"/>
      <c r="R366" s="21"/>
      <c r="S366" s="21"/>
      <c r="T366" s="21"/>
      <c r="AA366"/>
      <c r="AH366" t="str">
        <f t="shared" ref="AH366:AH391" si="61">RIGHT(B366,LEN(B366)-$AH$66)</f>
        <v>k yet</v>
      </c>
    </row>
    <row r="367" spans="1:39">
      <c r="A367" s="42" t="s">
        <v>247</v>
      </c>
      <c r="B367" s="1" t="s">
        <v>20</v>
      </c>
      <c r="C367" s="40" t="str">
        <f t="shared" si="58"/>
        <v>02-&gt;</v>
      </c>
      <c r="D367" s="40" t="str">
        <f t="shared" si="59"/>
        <v xml:space="preserve">No pick yet                                                 </v>
      </c>
      <c r="E367" s="52">
        <f t="shared" si="60"/>
        <v>0</v>
      </c>
      <c r="F367" s="18"/>
      <c r="H367" s="9" t="s">
        <v>65</v>
      </c>
      <c r="I367" s="45"/>
      <c r="K367" s="22"/>
      <c r="N367" s="22"/>
      <c r="O367" s="22"/>
      <c r="P367" s="22"/>
      <c r="Q367" s="22"/>
      <c r="R367" s="22"/>
      <c r="S367" s="22"/>
      <c r="Z367" s="53"/>
      <c r="AA367"/>
      <c r="AH367" t="str">
        <f t="shared" si="61"/>
        <v>k yet</v>
      </c>
    </row>
    <row r="368" spans="1:39">
      <c r="A368" s="42" t="s">
        <v>248</v>
      </c>
      <c r="B368" s="1" t="s">
        <v>20</v>
      </c>
      <c r="C368" s="40" t="str">
        <f t="shared" si="58"/>
        <v>03-&gt;</v>
      </c>
      <c r="D368" s="40" t="str">
        <f t="shared" si="59"/>
        <v xml:space="preserve">No pick yet                                                 </v>
      </c>
      <c r="E368" s="52">
        <f t="shared" si="60"/>
        <v>0</v>
      </c>
      <c r="F368" s="18"/>
      <c r="G368" s="13">
        <f t="shared" ref="G368:G383" si="62">COUNTIF($AH$142:$AH$3800,"="&amp;H368)</f>
        <v>0</v>
      </c>
      <c r="H368" s="13" t="e">
        <f>LEFT(VLOOKUP(ScoPo!S122,ScoPo!$G$150:$J$277,4,0),FIND(",",VLOOKUP(ScoPo!S122,ScoPo!$G$150:$J$277,4,0))-1)&amp;" "&amp;$AH$65&amp;" "&amp;LEFT(VLOOKUP(ScoPo!T122,ScoPo!$G$150:$J$277,4,0),FIND(",",VLOOKUP(ScoPo!T122,ScoPo!$G$150:$J$277,4,0))-1)</f>
        <v>#N/A</v>
      </c>
      <c r="I368" s="55" t="str">
        <f>IF(ScoPo!K122=1,ScoPo!N122,IF(ScoPo!K122=2,0," "))</f>
        <v xml:space="preserve"> </v>
      </c>
      <c r="J368" s="22"/>
      <c r="L368" s="21"/>
      <c r="N368" s="22"/>
      <c r="O368" s="22"/>
      <c r="P368" s="18"/>
      <c r="Q368" s="22"/>
      <c r="R368" s="22"/>
      <c r="S368" s="22"/>
      <c r="Z368" s="53"/>
      <c r="AA368"/>
      <c r="AH368" t="str">
        <f t="shared" si="61"/>
        <v>k yet</v>
      </c>
    </row>
    <row r="369" spans="1:34">
      <c r="A369" s="42" t="s">
        <v>249</v>
      </c>
      <c r="B369" s="1" t="s">
        <v>20</v>
      </c>
      <c r="C369" s="40" t="str">
        <f t="shared" si="58"/>
        <v>04-&gt;</v>
      </c>
      <c r="D369" s="40" t="str">
        <f t="shared" si="59"/>
        <v xml:space="preserve">No pick yet                                                 </v>
      </c>
      <c r="E369" s="52">
        <f t="shared" si="60"/>
        <v>0</v>
      </c>
      <c r="F369" s="18"/>
      <c r="G369" s="13">
        <f t="shared" si="62"/>
        <v>0</v>
      </c>
      <c r="H369" s="13" t="e">
        <f>LEFT(VLOOKUP(ScoPo!S123,ScoPo!$G$150:$J$277,4,0),FIND(",",VLOOKUP(ScoPo!S123,ScoPo!$G$150:$J$277,4,0))-1)&amp;" "&amp;$AH$65&amp;" "&amp;LEFT(VLOOKUP(ScoPo!T123,ScoPo!$G$150:$J$277,4,0),FIND(",",VLOOKUP(ScoPo!T123,ScoPo!$G$150:$J$277,4,0))-1)</f>
        <v>#N/A</v>
      </c>
      <c r="I369" s="55" t="str">
        <f>IF(ScoPo!K123=1,ScoPo!N123,IF(ScoPo!K123=2,0," "))</f>
        <v xml:space="preserve"> </v>
      </c>
      <c r="J369" s="22"/>
      <c r="M369" s="18"/>
      <c r="N369" s="18"/>
      <c r="O369" s="18"/>
      <c r="P369" s="18"/>
      <c r="Q369" s="22"/>
      <c r="R369" s="21"/>
      <c r="S369" s="21"/>
      <c r="T369" s="21"/>
      <c r="AA369"/>
      <c r="AH369" t="str">
        <f t="shared" si="61"/>
        <v>k yet</v>
      </c>
    </row>
    <row r="370" spans="1:34">
      <c r="A370" s="42" t="s">
        <v>250</v>
      </c>
      <c r="B370" s="1" t="s">
        <v>20</v>
      </c>
      <c r="C370" s="40" t="str">
        <f t="shared" si="58"/>
        <v>05-&gt;</v>
      </c>
      <c r="D370" s="40" t="str">
        <f t="shared" si="59"/>
        <v xml:space="preserve">No pick yet                                                 </v>
      </c>
      <c r="E370" s="52">
        <f t="shared" si="60"/>
        <v>0</v>
      </c>
      <c r="F370" s="18"/>
      <c r="G370" s="13">
        <f t="shared" si="62"/>
        <v>0</v>
      </c>
      <c r="H370" s="13" t="e">
        <f>LEFT(VLOOKUP(ScoPo!S124,ScoPo!$G$150:$J$277,4,0),FIND(",",VLOOKUP(ScoPo!S124,ScoPo!$G$150:$J$277,4,0))-1)&amp;" "&amp;$AH$65&amp;" "&amp;LEFT(VLOOKUP(ScoPo!T124,ScoPo!$G$150:$J$277,4,0),FIND(",",VLOOKUP(ScoPo!T124,ScoPo!$G$150:$J$277,4,0))-1)</f>
        <v>#N/A</v>
      </c>
      <c r="I370" s="55" t="str">
        <f>IF(ScoPo!K124=1,ScoPo!N124,IF(ScoPo!K124=2,0," "))</f>
        <v xml:space="preserve"> </v>
      </c>
      <c r="M370" s="18"/>
      <c r="N370" s="18"/>
      <c r="O370" s="18"/>
      <c r="P370" s="18"/>
      <c r="Q370" s="22"/>
      <c r="R370" s="21"/>
      <c r="S370" s="21"/>
      <c r="T370" s="21"/>
      <c r="AA370"/>
      <c r="AH370" t="str">
        <f t="shared" si="61"/>
        <v>k yet</v>
      </c>
    </row>
    <row r="371" spans="1:34">
      <c r="A371" s="42" t="s">
        <v>251</v>
      </c>
      <c r="B371" s="1" t="s">
        <v>20</v>
      </c>
      <c r="C371" s="40" t="str">
        <f t="shared" si="58"/>
        <v>06-&gt;</v>
      </c>
      <c r="D371" s="40" t="str">
        <f t="shared" si="59"/>
        <v xml:space="preserve">No pick yet                                                 </v>
      </c>
      <c r="E371" s="52">
        <f t="shared" si="60"/>
        <v>0</v>
      </c>
      <c r="F371" s="18"/>
      <c r="G371" s="13">
        <f t="shared" si="62"/>
        <v>0</v>
      </c>
      <c r="H371" s="13" t="e">
        <f>LEFT(VLOOKUP(ScoPo!S125,ScoPo!$G$150:$J$277,4,0),FIND(",",VLOOKUP(ScoPo!S125,ScoPo!$G$150:$J$277,4,0))-1)&amp;" "&amp;$AH$65&amp;" "&amp;LEFT(VLOOKUP(ScoPo!T125,ScoPo!$G$150:$J$277,4,0),FIND(",",VLOOKUP(ScoPo!T125,ScoPo!$G$150:$J$277,4,0))-1)</f>
        <v>#N/A</v>
      </c>
      <c r="I371" s="55" t="str">
        <f>IF(ScoPo!K125=1,ScoPo!N125,IF(ScoPo!K125=2,0," "))</f>
        <v xml:space="preserve"> </v>
      </c>
      <c r="M371" s="18"/>
      <c r="N371" s="18"/>
      <c r="O371" s="18"/>
      <c r="P371" s="18"/>
      <c r="Q371" s="22"/>
      <c r="R371" s="21"/>
      <c r="S371" s="21"/>
      <c r="T371" s="21"/>
      <c r="AA371"/>
      <c r="AH371" t="str">
        <f t="shared" si="61"/>
        <v>k yet</v>
      </c>
    </row>
    <row r="372" spans="1:34">
      <c r="A372" s="42" t="s">
        <v>252</v>
      </c>
      <c r="B372" s="1" t="s">
        <v>20</v>
      </c>
      <c r="C372" s="40" t="str">
        <f t="shared" si="58"/>
        <v>07-&gt;</v>
      </c>
      <c r="D372" s="40" t="str">
        <f t="shared" si="59"/>
        <v xml:space="preserve">No pick yet                                                 </v>
      </c>
      <c r="E372" s="52">
        <f t="shared" si="60"/>
        <v>0</v>
      </c>
      <c r="F372" s="18"/>
      <c r="G372" s="13">
        <f t="shared" si="62"/>
        <v>0</v>
      </c>
      <c r="H372" s="13" t="e">
        <f>LEFT(VLOOKUP(ScoPo!S126,ScoPo!$G$150:$J$277,4,0),FIND(",",VLOOKUP(ScoPo!S126,ScoPo!$G$150:$J$277,4,0))-1)&amp;" "&amp;$AH$65&amp;" "&amp;LEFT(VLOOKUP(ScoPo!T126,ScoPo!$G$150:$J$277,4,0),FIND(",",VLOOKUP(ScoPo!T126,ScoPo!$G$150:$J$277,4,0))-1)</f>
        <v>#N/A</v>
      </c>
      <c r="I372" s="55" t="str">
        <f>IF(ScoPo!K126=1,ScoPo!N126,IF(ScoPo!K126=2,0," "))</f>
        <v xml:space="preserve"> </v>
      </c>
      <c r="M372" s="18"/>
      <c r="N372" s="18"/>
      <c r="O372" s="18"/>
      <c r="P372" s="18"/>
      <c r="Q372" s="22"/>
      <c r="R372" s="21"/>
      <c r="S372" s="21"/>
      <c r="T372" s="21"/>
      <c r="AA372"/>
      <c r="AH372" t="str">
        <f t="shared" si="61"/>
        <v>k yet</v>
      </c>
    </row>
    <row r="373" spans="1:34">
      <c r="A373" s="42" t="s">
        <v>253</v>
      </c>
      <c r="B373" s="1" t="s">
        <v>20</v>
      </c>
      <c r="C373" s="40" t="str">
        <f t="shared" si="58"/>
        <v>08-&gt;</v>
      </c>
      <c r="D373" s="40" t="str">
        <f t="shared" si="59"/>
        <v xml:space="preserve">No pick yet                                                 </v>
      </c>
      <c r="E373" s="52">
        <f t="shared" si="60"/>
        <v>0</v>
      </c>
      <c r="F373" s="18"/>
      <c r="G373" s="13">
        <f t="shared" si="62"/>
        <v>0</v>
      </c>
      <c r="H373" s="13" t="e">
        <f>LEFT(VLOOKUP(ScoPo!S127,ScoPo!$G$150:$J$277,4,0),FIND(",",VLOOKUP(ScoPo!S127,ScoPo!$G$150:$J$277,4,0))-1)&amp;" "&amp;$AH$65&amp;" "&amp;LEFT(VLOOKUP(ScoPo!T127,ScoPo!$G$150:$J$277,4,0),FIND(",",VLOOKUP(ScoPo!T127,ScoPo!$G$150:$J$277,4,0))-1)</f>
        <v>#N/A</v>
      </c>
      <c r="I373" s="55" t="str">
        <f>IF(ScoPo!K127=1,ScoPo!N127,IF(ScoPo!K127=2,0," "))</f>
        <v xml:space="preserve"> </v>
      </c>
      <c r="M373" s="18"/>
      <c r="N373" s="18"/>
      <c r="O373" s="18"/>
      <c r="P373" s="18"/>
      <c r="Q373" s="22"/>
      <c r="R373" s="21"/>
      <c r="S373" s="21"/>
      <c r="T373" s="21"/>
      <c r="AA373"/>
      <c r="AH373" t="str">
        <f t="shared" si="61"/>
        <v>k yet</v>
      </c>
    </row>
    <row r="374" spans="1:34">
      <c r="A374" s="42" t="s">
        <v>254</v>
      </c>
      <c r="B374" s="1" t="s">
        <v>20</v>
      </c>
      <c r="C374" s="40" t="str">
        <f t="shared" si="58"/>
        <v>09-&gt;</v>
      </c>
      <c r="D374" s="40" t="str">
        <f t="shared" si="59"/>
        <v xml:space="preserve">No pick yet                                                 </v>
      </c>
      <c r="E374" s="52">
        <f t="shared" si="60"/>
        <v>0</v>
      </c>
      <c r="F374" s="18"/>
      <c r="G374" s="13">
        <f t="shared" si="62"/>
        <v>0</v>
      </c>
      <c r="H374" s="13" t="e">
        <f>LEFT(VLOOKUP(ScoPo!S128,ScoPo!$G$150:$J$277,4,0),FIND(",",VLOOKUP(ScoPo!S128,ScoPo!$G$150:$J$277,4,0))-1)&amp;" "&amp;$AH$65&amp;" "&amp;LEFT(VLOOKUP(ScoPo!T128,ScoPo!$G$150:$J$277,4,0),FIND(",",VLOOKUP(ScoPo!T128,ScoPo!$G$150:$J$277,4,0))-1)</f>
        <v>#N/A</v>
      </c>
      <c r="I374" s="55" t="str">
        <f>IF(ScoPo!K128=1,ScoPo!N128,IF(ScoPo!K128=2,0," "))</f>
        <v xml:space="preserve"> </v>
      </c>
      <c r="M374" s="18"/>
      <c r="N374" s="18"/>
      <c r="O374" s="18"/>
      <c r="P374" s="18"/>
      <c r="Q374" s="22"/>
      <c r="R374" s="21"/>
      <c r="S374" s="21"/>
      <c r="T374" s="21"/>
      <c r="AA374"/>
      <c r="AH374" t="str">
        <f t="shared" si="61"/>
        <v>k yet</v>
      </c>
    </row>
    <row r="375" spans="1:34">
      <c r="A375" s="42" t="s">
        <v>255</v>
      </c>
      <c r="B375" s="1" t="s">
        <v>20</v>
      </c>
      <c r="C375" s="40" t="str">
        <f t="shared" si="58"/>
        <v>10-&gt;</v>
      </c>
      <c r="D375" s="40" t="str">
        <f t="shared" si="59"/>
        <v xml:space="preserve">No pick yet                                                 </v>
      </c>
      <c r="E375" s="52">
        <f t="shared" si="60"/>
        <v>0</v>
      </c>
      <c r="F375" s="22"/>
      <c r="G375" s="13">
        <f t="shared" si="62"/>
        <v>0</v>
      </c>
      <c r="H375" s="13" t="e">
        <f>LEFT(VLOOKUP(ScoPo!S129,ScoPo!$G$150:$J$277,4,0),FIND(",",VLOOKUP(ScoPo!S129,ScoPo!$G$150:$J$277,4,0))-1)&amp;" "&amp;$AH$65&amp;" "&amp;LEFT(VLOOKUP(ScoPo!T129,ScoPo!$G$150:$J$277,4,0),FIND(",",VLOOKUP(ScoPo!T129,ScoPo!$G$150:$J$277,4,0))-1)</f>
        <v>#N/A</v>
      </c>
      <c r="I375" s="55" t="str">
        <f>IF(ScoPo!K129=1,ScoPo!N129,IF(ScoPo!K129=2,0," "))</f>
        <v xml:space="preserve"> </v>
      </c>
      <c r="M375" s="18"/>
      <c r="N375" s="18"/>
      <c r="O375" s="18"/>
      <c r="P375" s="18"/>
      <c r="Q375" s="22"/>
      <c r="R375" s="21"/>
      <c r="S375" s="21"/>
      <c r="T375" s="21"/>
      <c r="AA375"/>
      <c r="AH375" t="str">
        <f t="shared" si="61"/>
        <v>k yet</v>
      </c>
    </row>
    <row r="376" spans="1:34">
      <c r="A376" s="42" t="s">
        <v>256</v>
      </c>
      <c r="B376" s="1" t="s">
        <v>20</v>
      </c>
      <c r="C376" s="40" t="str">
        <f t="shared" si="58"/>
        <v>11-&gt;</v>
      </c>
      <c r="D376" s="40" t="str">
        <f t="shared" si="59"/>
        <v xml:space="preserve">No pick yet                                                 </v>
      </c>
      <c r="E376" s="52">
        <f t="shared" si="60"/>
        <v>0</v>
      </c>
      <c r="G376" s="13">
        <f t="shared" si="62"/>
        <v>0</v>
      </c>
      <c r="H376" s="13" t="e">
        <f>LEFT(VLOOKUP(ScoPo!T122,ScoPo!$G$150:$J$277,4,0),FIND(",",VLOOKUP(ScoPo!T122,ScoPo!$G$150:$J$277,4,0))-1)&amp;" "&amp;$AH$65&amp;" "&amp;LEFT(VLOOKUP(ScoPo!S122,ScoPo!$G$150:$J$277,4,0),FIND(",",VLOOKUP(ScoPo!S122,ScoPo!$G$150:$J$277,4,0))-1)</f>
        <v>#N/A</v>
      </c>
      <c r="I376" s="13" t="str">
        <f>IF(ScoPo!K122=1,0,IF(ScoPo!K122=2,ScoPo!O122," "))</f>
        <v xml:space="preserve"> </v>
      </c>
      <c r="M376" s="18"/>
      <c r="N376" s="18"/>
      <c r="O376" s="18"/>
      <c r="P376" s="18"/>
      <c r="Q376" s="22"/>
      <c r="R376" s="21"/>
      <c r="S376" s="21"/>
      <c r="T376" s="21"/>
      <c r="AA376"/>
      <c r="AH376" t="str">
        <f t="shared" si="61"/>
        <v>k yet</v>
      </c>
    </row>
    <row r="377" spans="1:34">
      <c r="A377" s="42" t="s">
        <v>257</v>
      </c>
      <c r="B377" s="1" t="s">
        <v>20</v>
      </c>
      <c r="C377" s="40" t="str">
        <f t="shared" si="58"/>
        <v>12-&gt;</v>
      </c>
      <c r="D377" s="40" t="str">
        <f t="shared" si="59"/>
        <v xml:space="preserve">No pick yet                                                 </v>
      </c>
      <c r="E377" s="52">
        <f t="shared" si="60"/>
        <v>0</v>
      </c>
      <c r="G377" s="13">
        <f t="shared" si="62"/>
        <v>0</v>
      </c>
      <c r="H377" s="13" t="e">
        <f>LEFT(VLOOKUP(ScoPo!T123,ScoPo!$G$150:$J$277,4,0),FIND(",",VLOOKUP(ScoPo!T123,ScoPo!$G$150:$J$277,4,0))-1)&amp;" "&amp;$AH$65&amp;" "&amp;LEFT(VLOOKUP(ScoPo!S123,ScoPo!$G$150:$J$277,4,0),FIND(",",VLOOKUP(ScoPo!S123,ScoPo!$G$150:$J$277,4,0))-1)</f>
        <v>#N/A</v>
      </c>
      <c r="I377" s="13" t="str">
        <f>IF(ScoPo!K123=1,0,IF(ScoPo!K123=2,ScoPo!O123," "))</f>
        <v xml:space="preserve"> </v>
      </c>
      <c r="M377" s="18"/>
      <c r="N377" s="18"/>
      <c r="O377" s="18"/>
      <c r="P377" s="18"/>
      <c r="Q377" s="22"/>
      <c r="R377" s="21"/>
      <c r="S377" s="21"/>
      <c r="T377" s="21"/>
      <c r="AA377"/>
      <c r="AH377" t="str">
        <f t="shared" si="61"/>
        <v>k yet</v>
      </c>
    </row>
    <row r="378" spans="1:34">
      <c r="A378" s="42" t="s">
        <v>258</v>
      </c>
      <c r="B378" s="1" t="s">
        <v>20</v>
      </c>
      <c r="C378" s="40" t="str">
        <f t="shared" si="58"/>
        <v>13-&gt;</v>
      </c>
      <c r="D378" s="40" t="str">
        <f t="shared" si="59"/>
        <v xml:space="preserve">No pick yet                                                 </v>
      </c>
      <c r="E378" s="52">
        <f t="shared" si="60"/>
        <v>0</v>
      </c>
      <c r="G378" s="13">
        <f t="shared" si="62"/>
        <v>0</v>
      </c>
      <c r="H378" s="13" t="e">
        <f>LEFT(VLOOKUP(ScoPo!T124,ScoPo!$G$150:$J$277,4,0),FIND(",",VLOOKUP(ScoPo!T124,ScoPo!$G$150:$J$277,4,0))-1)&amp;" "&amp;$AH$65&amp;" "&amp;LEFT(VLOOKUP(ScoPo!S124,ScoPo!$G$150:$J$277,4,0),FIND(",",VLOOKUP(ScoPo!S124,ScoPo!$G$150:$J$277,4,0))-1)</f>
        <v>#N/A</v>
      </c>
      <c r="I378" s="13" t="str">
        <f>IF(ScoPo!K124=1,0,IF(ScoPo!K124=2,ScoPo!O124," "))</f>
        <v xml:space="preserve"> </v>
      </c>
      <c r="M378" s="18"/>
      <c r="N378" s="18"/>
      <c r="O378" s="18"/>
      <c r="P378" s="18"/>
      <c r="Q378" s="22"/>
      <c r="R378" s="21"/>
      <c r="S378" s="21"/>
      <c r="T378" s="21"/>
      <c r="AA378"/>
      <c r="AH378" t="str">
        <f t="shared" si="61"/>
        <v>k yet</v>
      </c>
    </row>
    <row r="379" spans="1:34">
      <c r="A379" s="42" t="s">
        <v>259</v>
      </c>
      <c r="B379" s="1" t="s">
        <v>20</v>
      </c>
      <c r="C379" s="40" t="str">
        <f t="shared" si="58"/>
        <v>14-&gt;</v>
      </c>
      <c r="D379" s="40" t="str">
        <f t="shared" si="59"/>
        <v xml:space="preserve">No pick yet                                                 </v>
      </c>
      <c r="E379" s="52">
        <f t="shared" si="60"/>
        <v>0</v>
      </c>
      <c r="G379" s="13">
        <f t="shared" si="62"/>
        <v>0</v>
      </c>
      <c r="H379" s="13" t="e">
        <f>LEFT(VLOOKUP(ScoPo!T125,ScoPo!$G$150:$J$277,4,0),FIND(",",VLOOKUP(ScoPo!T125,ScoPo!$G$150:$J$277,4,0))-1)&amp;" "&amp;$AH$65&amp;" "&amp;LEFT(VLOOKUP(ScoPo!S125,ScoPo!$G$150:$J$277,4,0),FIND(",",VLOOKUP(ScoPo!S125,ScoPo!$G$150:$J$277,4,0))-1)</f>
        <v>#N/A</v>
      </c>
      <c r="I379" s="13" t="str">
        <f>IF(ScoPo!K125=1,0,IF(ScoPo!K125=2,ScoPo!O125," "))</f>
        <v xml:space="preserve"> </v>
      </c>
      <c r="M379" s="18"/>
      <c r="N379" s="18"/>
      <c r="O379" s="18"/>
      <c r="P379" s="18"/>
      <c r="Q379" s="22"/>
      <c r="R379" s="21"/>
      <c r="S379" s="21"/>
      <c r="T379" s="21"/>
      <c r="AA379"/>
      <c r="AH379" t="str">
        <f t="shared" si="61"/>
        <v>k yet</v>
      </c>
    </row>
    <row r="380" spans="1:34">
      <c r="A380" s="42" t="s">
        <v>260</v>
      </c>
      <c r="B380" s="1" t="s">
        <v>20</v>
      </c>
      <c r="C380" s="40" t="str">
        <f t="shared" si="58"/>
        <v>15-&gt;</v>
      </c>
      <c r="D380" s="40" t="str">
        <f t="shared" si="59"/>
        <v xml:space="preserve">No pick yet                                                 </v>
      </c>
      <c r="E380" s="52">
        <f t="shared" si="60"/>
        <v>0</v>
      </c>
      <c r="G380" s="13">
        <f t="shared" si="62"/>
        <v>0</v>
      </c>
      <c r="H380" s="13" t="e">
        <f>LEFT(VLOOKUP(ScoPo!T126,ScoPo!$G$150:$J$277,4,0),FIND(",",VLOOKUP(ScoPo!T126,ScoPo!$G$150:$J$277,4,0))-1)&amp;" "&amp;$AH$65&amp;" "&amp;LEFT(VLOOKUP(ScoPo!S126,ScoPo!$G$150:$J$277,4,0),FIND(",",VLOOKUP(ScoPo!S126,ScoPo!$G$150:$J$277,4,0))-1)</f>
        <v>#N/A</v>
      </c>
      <c r="I380" s="13" t="str">
        <f>IF(ScoPo!K126=1,0,IF(ScoPo!K126=2,ScoPo!O126," "))</f>
        <v xml:space="preserve"> </v>
      </c>
      <c r="M380" s="18"/>
      <c r="N380" s="18"/>
      <c r="O380" s="18"/>
      <c r="P380" s="18"/>
      <c r="Q380" s="22"/>
      <c r="R380" s="21"/>
      <c r="S380" s="21"/>
      <c r="T380" s="21"/>
      <c r="AA380"/>
      <c r="AH380" t="str">
        <f t="shared" si="61"/>
        <v>k yet</v>
      </c>
    </row>
    <row r="381" spans="1:34">
      <c r="A381" s="42" t="s">
        <v>261</v>
      </c>
      <c r="B381" s="1" t="s">
        <v>20</v>
      </c>
      <c r="C381" s="40" t="str">
        <f t="shared" si="58"/>
        <v>16-&gt;</v>
      </c>
      <c r="D381" s="40" t="str">
        <f t="shared" si="59"/>
        <v xml:space="preserve">No pick yet                                                 </v>
      </c>
      <c r="E381" s="52">
        <f t="shared" si="60"/>
        <v>0</v>
      </c>
      <c r="G381" s="13">
        <f t="shared" si="62"/>
        <v>0</v>
      </c>
      <c r="H381" s="13" t="e">
        <f>LEFT(VLOOKUP(ScoPo!T127,ScoPo!$G$150:$J$277,4,0),FIND(",",VLOOKUP(ScoPo!T127,ScoPo!$G$150:$J$277,4,0))-1)&amp;" "&amp;$AH$65&amp;" "&amp;LEFT(VLOOKUP(ScoPo!S127,ScoPo!$G$150:$J$277,4,0),FIND(",",VLOOKUP(ScoPo!S127,ScoPo!$G$150:$J$277,4,0))-1)</f>
        <v>#N/A</v>
      </c>
      <c r="I381" s="13" t="str">
        <f>IF(ScoPo!K127=1,0,IF(ScoPo!K127=2,ScoPo!O127," "))</f>
        <v xml:space="preserve"> </v>
      </c>
      <c r="M381" s="18"/>
      <c r="N381" s="18"/>
      <c r="O381" s="18"/>
      <c r="P381" s="18"/>
      <c r="Q381" s="22"/>
      <c r="R381" s="21"/>
      <c r="S381" s="21"/>
      <c r="T381" s="21"/>
      <c r="AA381"/>
      <c r="AH381" t="str">
        <f t="shared" si="61"/>
        <v>k yet</v>
      </c>
    </row>
    <row r="382" spans="1:34">
      <c r="A382" s="42" t="s">
        <v>262</v>
      </c>
      <c r="B382" s="1" t="s">
        <v>20</v>
      </c>
      <c r="C382" s="40" t="str">
        <f t="shared" si="58"/>
        <v>17-&gt;</v>
      </c>
      <c r="D382" s="40" t="str">
        <f t="shared" si="59"/>
        <v xml:space="preserve">No pick yet                                                 </v>
      </c>
      <c r="E382" s="52">
        <f t="shared" si="60"/>
        <v>0</v>
      </c>
      <c r="G382" s="13">
        <f t="shared" si="62"/>
        <v>0</v>
      </c>
      <c r="H382" s="13" t="e">
        <f>LEFT(VLOOKUP(ScoPo!T128,ScoPo!$G$150:$J$277,4,0),FIND(",",VLOOKUP(ScoPo!T128,ScoPo!$G$150:$J$277,4,0))-1)&amp;" "&amp;$AH$65&amp;" "&amp;LEFT(VLOOKUP(ScoPo!S128,ScoPo!$G$150:$J$277,4,0),FIND(",",VLOOKUP(ScoPo!S128,ScoPo!$G$150:$J$277,4,0))-1)</f>
        <v>#N/A</v>
      </c>
      <c r="I382" s="13" t="str">
        <f>IF(ScoPo!K128=1,0,IF(ScoPo!K128=2,ScoPo!O128," "))</f>
        <v xml:space="preserve"> </v>
      </c>
      <c r="K382" s="22"/>
      <c r="N382" s="22"/>
      <c r="O382" s="22"/>
      <c r="P382" s="22"/>
      <c r="Q382" s="22"/>
      <c r="R382" s="22"/>
      <c r="S382" s="22"/>
      <c r="Z382" s="53"/>
      <c r="AA382"/>
      <c r="AH382" t="str">
        <f t="shared" si="61"/>
        <v>k yet</v>
      </c>
    </row>
    <row r="383" spans="1:34">
      <c r="A383" s="42" t="s">
        <v>263</v>
      </c>
      <c r="B383" s="1" t="s">
        <v>20</v>
      </c>
      <c r="C383" s="40" t="str">
        <f t="shared" si="58"/>
        <v>18-&gt;</v>
      </c>
      <c r="D383" s="40" t="str">
        <f t="shared" si="59"/>
        <v xml:space="preserve">No pick yet                                                 </v>
      </c>
      <c r="E383" s="52">
        <f t="shared" si="60"/>
        <v>0</v>
      </c>
      <c r="F383" s="18"/>
      <c r="G383" s="13">
        <f t="shared" si="62"/>
        <v>0</v>
      </c>
      <c r="H383" s="13" t="e">
        <f>LEFT(VLOOKUP(ScoPo!T129,ScoPo!$G$150:$J$277,4,0),FIND(",",VLOOKUP(ScoPo!T129,ScoPo!$G$150:$J$277,4,0))-1)&amp;" "&amp;$AH$65&amp;" "&amp;LEFT(VLOOKUP(ScoPo!S129,ScoPo!$G$150:$J$277,4,0),FIND(",",VLOOKUP(ScoPo!S129,ScoPo!$G$150:$J$277,4,0))-1)</f>
        <v>#N/A</v>
      </c>
      <c r="I383" s="13" t="str">
        <f>IF(ScoPo!K129=1,0,IF(ScoPo!K129=2,ScoPo!O129," "))</f>
        <v xml:space="preserve"> </v>
      </c>
      <c r="J383" s="22"/>
      <c r="L383" s="21"/>
      <c r="N383" s="22"/>
      <c r="O383" s="22"/>
      <c r="P383" s="18"/>
      <c r="Q383" s="22"/>
      <c r="R383" s="22"/>
      <c r="S383" s="22"/>
      <c r="Z383" s="53"/>
      <c r="AA383"/>
      <c r="AH383" t="str">
        <f t="shared" si="61"/>
        <v>k yet</v>
      </c>
    </row>
    <row r="384" spans="1:34">
      <c r="A384" s="42" t="s">
        <v>264</v>
      </c>
      <c r="B384" s="1" t="s">
        <v>20</v>
      </c>
      <c r="C384" s="40" t="str">
        <f t="shared" si="58"/>
        <v>19-&gt;</v>
      </c>
      <c r="D384" s="40" t="str">
        <f t="shared" si="59"/>
        <v xml:space="preserve">No pick yet                                                 </v>
      </c>
      <c r="E384" s="52">
        <f t="shared" si="60"/>
        <v>0</v>
      </c>
      <c r="F384" s="18"/>
      <c r="H384" s="9" t="s">
        <v>66</v>
      </c>
      <c r="I384" s="55"/>
      <c r="J384" s="22"/>
      <c r="M384" s="18"/>
      <c r="N384" s="18"/>
      <c r="O384" s="18"/>
      <c r="P384" s="18"/>
      <c r="Q384" s="22"/>
      <c r="R384" s="21"/>
      <c r="S384" s="21"/>
      <c r="T384" s="21"/>
      <c r="AA384"/>
      <c r="AH384" t="str">
        <f t="shared" si="61"/>
        <v>k yet</v>
      </c>
    </row>
    <row r="385" spans="1:39">
      <c r="A385" s="42" t="s">
        <v>265</v>
      </c>
      <c r="B385" s="1" t="s">
        <v>20</v>
      </c>
      <c r="C385" s="40" t="str">
        <f t="shared" si="58"/>
        <v>20-&gt;</v>
      </c>
      <c r="D385" s="40" t="str">
        <f t="shared" si="59"/>
        <v xml:space="preserve">No pick yet                                                 </v>
      </c>
      <c r="E385" s="52">
        <f t="shared" si="60"/>
        <v>0</v>
      </c>
      <c r="F385" s="18"/>
      <c r="G385" s="13">
        <f t="shared" ref="G385:G392" si="63">COUNTIF($AH$142:$AH$3800,"="&amp;H385)</f>
        <v>0</v>
      </c>
      <c r="H385" s="13" t="e">
        <f>LEFT(VLOOKUP(ScoPo!S132,ScoPo!$G$150:$J$277,4,0),FIND(",",VLOOKUP(ScoPo!S132,ScoPo!$G$150:$J$277,4,0))-1)&amp;" "&amp;$AH$65&amp;" "&amp;LEFT(VLOOKUP(ScoPo!T132,ScoPo!$G$150:$J$277,4,0),FIND(",",VLOOKUP(ScoPo!T132,ScoPo!$G$150:$J$277,4,0))-1)</f>
        <v>#N/A</v>
      </c>
      <c r="I385" s="45" t="str">
        <f>IF(ScoPo!K132=1,ScoPo!N132,IF(ScoPo!K132=2,0," "))</f>
        <v xml:space="preserve"> </v>
      </c>
      <c r="M385" s="18"/>
      <c r="N385" s="18"/>
      <c r="O385" s="18"/>
      <c r="P385" s="18"/>
      <c r="Q385" s="22"/>
      <c r="R385" s="21"/>
      <c r="S385" s="21"/>
      <c r="T385" s="21"/>
      <c r="AA385"/>
      <c r="AH385" t="str">
        <f t="shared" si="61"/>
        <v>k yet</v>
      </c>
    </row>
    <row r="386" spans="1:39">
      <c r="A386" s="42" t="s">
        <v>266</v>
      </c>
      <c r="B386" s="1" t="s">
        <v>20</v>
      </c>
      <c r="C386" s="40" t="str">
        <f t="shared" si="58"/>
        <v>21-&gt;</v>
      </c>
      <c r="D386" s="40" t="str">
        <f t="shared" si="59"/>
        <v xml:space="preserve">No pick yet                                                 </v>
      </c>
      <c r="E386" s="52">
        <f t="shared" si="60"/>
        <v>0</v>
      </c>
      <c r="F386" s="18"/>
      <c r="G386" s="13">
        <f t="shared" si="63"/>
        <v>0</v>
      </c>
      <c r="H386" s="13" t="e">
        <f>LEFT(VLOOKUP(ScoPo!S133,ScoPo!$G$150:$J$277,4,0),FIND(",",VLOOKUP(ScoPo!S133,ScoPo!$G$150:$J$277,4,0))-1)&amp;" "&amp;$AH$65&amp;" "&amp;LEFT(VLOOKUP(ScoPo!T133,ScoPo!$G$150:$J$277,4,0),FIND(",",VLOOKUP(ScoPo!T133,ScoPo!$G$150:$J$277,4,0))-1)</f>
        <v>#N/A</v>
      </c>
      <c r="I386" s="45" t="str">
        <f>IF(ScoPo!K133=1,ScoPo!N133,IF(ScoPo!K133=2,0," "))</f>
        <v xml:space="preserve"> </v>
      </c>
      <c r="M386" s="18"/>
      <c r="N386" s="18"/>
      <c r="O386" s="18"/>
      <c r="P386" s="18"/>
      <c r="Q386" s="22"/>
      <c r="R386" s="21"/>
      <c r="S386" s="21"/>
      <c r="T386" s="21"/>
      <c r="AA386"/>
      <c r="AH386" t="str">
        <f t="shared" si="61"/>
        <v>k yet</v>
      </c>
    </row>
    <row r="387" spans="1:39">
      <c r="A387" s="42" t="s">
        <v>267</v>
      </c>
      <c r="B387" s="1" t="s">
        <v>20</v>
      </c>
      <c r="C387" s="40" t="str">
        <f t="shared" si="58"/>
        <v>22-&gt;</v>
      </c>
      <c r="D387" s="40" t="str">
        <f t="shared" si="59"/>
        <v xml:space="preserve">No pick yet                                                 </v>
      </c>
      <c r="E387" s="52">
        <f t="shared" si="60"/>
        <v>0</v>
      </c>
      <c r="F387" s="18"/>
      <c r="G387" s="13">
        <f t="shared" si="63"/>
        <v>0</v>
      </c>
      <c r="H387" s="13" t="e">
        <f>LEFT(VLOOKUP(ScoPo!S134,ScoPo!$G$150:$J$277,4,0),FIND(",",VLOOKUP(ScoPo!S134,ScoPo!$G$150:$J$277,4,0))-1)&amp;" "&amp;$AH$65&amp;" "&amp;LEFT(VLOOKUP(ScoPo!T134,ScoPo!$G$150:$J$277,4,0),FIND(",",VLOOKUP(ScoPo!T134,ScoPo!$G$150:$J$277,4,0))-1)</f>
        <v>#N/A</v>
      </c>
      <c r="I387" s="45" t="str">
        <f>IF(ScoPo!K134=1,ScoPo!N134,IF(ScoPo!K134=2,0," "))</f>
        <v xml:space="preserve"> </v>
      </c>
      <c r="M387" s="18"/>
      <c r="N387" s="18"/>
      <c r="O387" s="18"/>
      <c r="P387" s="18"/>
      <c r="Q387" s="22"/>
      <c r="R387" s="21"/>
      <c r="S387" s="21"/>
      <c r="T387" s="21"/>
      <c r="AA387"/>
      <c r="AH387" t="str">
        <f t="shared" si="61"/>
        <v>k yet</v>
      </c>
    </row>
    <row r="388" spans="1:39">
      <c r="A388" s="42" t="s">
        <v>268</v>
      </c>
      <c r="B388" s="1" t="s">
        <v>20</v>
      </c>
      <c r="C388" s="40" t="str">
        <f t="shared" si="58"/>
        <v>23-&gt;</v>
      </c>
      <c r="D388" s="40" t="str">
        <f t="shared" si="59"/>
        <v xml:space="preserve">No pick yet                                                 </v>
      </c>
      <c r="E388" s="52">
        <f t="shared" si="60"/>
        <v>0</v>
      </c>
      <c r="F388" s="18"/>
      <c r="G388" s="13">
        <f t="shared" si="63"/>
        <v>0</v>
      </c>
      <c r="H388" s="13" t="e">
        <f>LEFT(VLOOKUP(ScoPo!S135,ScoPo!$G$150:$J$277,4,0),FIND(",",VLOOKUP(ScoPo!S135,ScoPo!$G$150:$J$277,4,0))-1)&amp;" "&amp;$AH$65&amp;" "&amp;LEFT(VLOOKUP(ScoPo!T135,ScoPo!$G$150:$J$277,4,0),FIND(",",VLOOKUP(ScoPo!T135,ScoPo!$G$150:$J$277,4,0))-1)</f>
        <v>#N/A</v>
      </c>
      <c r="I388" s="45" t="str">
        <f>IF(ScoPo!K135=1,ScoPo!N135,IF(ScoPo!K135=2,0," "))</f>
        <v xml:space="preserve"> </v>
      </c>
      <c r="M388" s="18"/>
      <c r="N388" s="18"/>
      <c r="O388" s="18"/>
      <c r="P388" s="18"/>
      <c r="Q388" s="22"/>
      <c r="R388" s="21"/>
      <c r="S388" s="21"/>
      <c r="T388" s="21"/>
      <c r="AA388"/>
      <c r="AH388" t="str">
        <f t="shared" si="61"/>
        <v>k yet</v>
      </c>
    </row>
    <row r="389" spans="1:39">
      <c r="A389" s="42" t="s">
        <v>269</v>
      </c>
      <c r="B389" s="1" t="s">
        <v>20</v>
      </c>
      <c r="C389" s="40" t="str">
        <f t="shared" si="58"/>
        <v>24-&gt;</v>
      </c>
      <c r="D389" s="40" t="str">
        <f t="shared" si="59"/>
        <v xml:space="preserve">No pick yet                                                 </v>
      </c>
      <c r="E389" s="52">
        <f t="shared" si="60"/>
        <v>0</v>
      </c>
      <c r="F389" s="18"/>
      <c r="G389" s="13">
        <f t="shared" si="63"/>
        <v>0</v>
      </c>
      <c r="H389" s="13" t="e">
        <f>LEFT(VLOOKUP(ScoPo!T132,ScoPo!$G$150:$J$277,4,0),FIND(",",VLOOKUP(ScoPo!T132,ScoPo!$G$150:$J$277,4,0))-1)&amp;" "&amp;$AH$65&amp;" "&amp;LEFT(VLOOKUP(ScoPo!S132,ScoPo!$G$150:$J$277,4,0),FIND(",",VLOOKUP(ScoPo!S132,ScoPo!$G$150:$J$277,4,0))-1)</f>
        <v>#N/A</v>
      </c>
      <c r="I389" s="13" t="str">
        <f>IF(ScoPo!K132=1,0,IF(ScoPo!K132=2,ScoPo!O132," "))</f>
        <v xml:space="preserve"> </v>
      </c>
      <c r="M389" s="18"/>
      <c r="N389" s="18"/>
      <c r="O389" s="18"/>
      <c r="P389" s="18"/>
      <c r="Q389" s="22"/>
      <c r="R389" s="21"/>
      <c r="S389" s="21"/>
      <c r="T389" s="21"/>
      <c r="AA389"/>
      <c r="AH389" t="str">
        <f t="shared" si="61"/>
        <v>k yet</v>
      </c>
    </row>
    <row r="390" spans="1:39">
      <c r="A390" s="42" t="s">
        <v>270</v>
      </c>
      <c r="B390" s="1" t="s">
        <v>20</v>
      </c>
      <c r="C390" s="40" t="str">
        <f t="shared" si="58"/>
        <v>25-&gt;</v>
      </c>
      <c r="D390" s="40" t="str">
        <f t="shared" si="59"/>
        <v xml:space="preserve">No pick yet                                                 </v>
      </c>
      <c r="E390" s="52">
        <f t="shared" si="60"/>
        <v>0</v>
      </c>
      <c r="F390" s="18"/>
      <c r="G390" s="13">
        <f t="shared" si="63"/>
        <v>0</v>
      </c>
      <c r="H390" s="13" t="e">
        <f>LEFT(VLOOKUP(ScoPo!T133,ScoPo!$G$150:$J$277,4,0),FIND(",",VLOOKUP(ScoPo!T133,ScoPo!$G$150:$J$277,4,0))-1)&amp;" "&amp;$AH$65&amp;" "&amp;LEFT(VLOOKUP(ScoPo!S133,ScoPo!$G$150:$J$277,4,0),FIND(",",VLOOKUP(ScoPo!S133,ScoPo!$G$150:$J$277,4,0))-1)</f>
        <v>#N/A</v>
      </c>
      <c r="I390" s="13" t="str">
        <f>IF(ScoPo!K133=1,0,IF(ScoPo!K133=2,ScoPo!O133," "))</f>
        <v xml:space="preserve"> </v>
      </c>
      <c r="M390" s="18"/>
      <c r="N390" s="18"/>
      <c r="O390" s="18"/>
      <c r="P390" s="18"/>
      <c r="Q390" s="22"/>
      <c r="R390" s="21"/>
      <c r="S390" s="21"/>
      <c r="T390" s="21"/>
      <c r="AA390"/>
      <c r="AH390" t="str">
        <f t="shared" si="61"/>
        <v>k yet</v>
      </c>
    </row>
    <row r="391" spans="1:39">
      <c r="A391" s="42" t="s">
        <v>271</v>
      </c>
      <c r="B391" s="1" t="s">
        <v>20</v>
      </c>
      <c r="C391" s="40" t="str">
        <f t="shared" si="58"/>
        <v>26-&gt;</v>
      </c>
      <c r="D391" s="40" t="str">
        <f t="shared" si="59"/>
        <v xml:space="preserve">No pick yet                                                 </v>
      </c>
      <c r="E391" s="52">
        <f t="shared" si="60"/>
        <v>0</v>
      </c>
      <c r="F391" s="18"/>
      <c r="G391" s="13">
        <f t="shared" si="63"/>
        <v>0</v>
      </c>
      <c r="H391" s="13" t="e">
        <f>LEFT(VLOOKUP(ScoPo!T134,ScoPo!$G$150:$J$277,4,0),FIND(",",VLOOKUP(ScoPo!T134,ScoPo!$G$150:$J$277,4,0))-1)&amp;" "&amp;$AH$65&amp;" "&amp;LEFT(VLOOKUP(ScoPo!S134,ScoPo!$G$150:$J$277,4,0),FIND(",",VLOOKUP(ScoPo!S134,ScoPo!$G$150:$J$277,4,0))-1)</f>
        <v>#N/A</v>
      </c>
      <c r="I391" s="13" t="str">
        <f>IF(ScoPo!K134=1,0,IF(ScoPo!K134=2,ScoPo!O134," "))</f>
        <v xml:space="preserve"> </v>
      </c>
      <c r="M391" s="18"/>
      <c r="N391" s="18"/>
      <c r="O391" s="18"/>
      <c r="P391" s="18"/>
      <c r="Q391" s="22"/>
      <c r="R391" s="21"/>
      <c r="S391" s="21"/>
      <c r="T391" s="21"/>
      <c r="AA391"/>
      <c r="AH391" t="str">
        <f t="shared" si="61"/>
        <v>k yet</v>
      </c>
    </row>
    <row r="392" spans="1:39">
      <c r="A392" s="38"/>
      <c r="B392" s="40"/>
      <c r="C392" s="40"/>
      <c r="D392" s="49"/>
      <c r="E392" s="41" t="s">
        <v>69</v>
      </c>
      <c r="F392" s="18"/>
      <c r="G392" s="13">
        <f t="shared" si="63"/>
        <v>0</v>
      </c>
      <c r="H392" s="13" t="e">
        <f>LEFT(VLOOKUP(ScoPo!T135,ScoPo!$G$150:$J$277,4,0),FIND(",",VLOOKUP(ScoPo!T135,ScoPo!$G$150:$J$277,4,0))-1)&amp;" "&amp;$AH$65&amp;" "&amp;LEFT(VLOOKUP(ScoPo!S135,ScoPo!$G$150:$J$277,4,0),FIND(",",VLOOKUP(ScoPo!S135,ScoPo!$G$150:$J$277,4,0))-1)</f>
        <v>#N/A</v>
      </c>
      <c r="I392" s="13" t="str">
        <f>IF(ScoPo!K135=1,0,IF(ScoPo!K135=2,ScoPo!O135," "))</f>
        <v xml:space="preserve"> </v>
      </c>
      <c r="K392" s="22" t="s">
        <v>73</v>
      </c>
      <c r="L392" s="18" t="s">
        <v>74</v>
      </c>
      <c r="M392" s="22" t="s">
        <v>78</v>
      </c>
      <c r="N392" s="22" t="s">
        <v>79</v>
      </c>
      <c r="O392" s="22" t="s">
        <v>80</v>
      </c>
      <c r="P392" s="22" t="s">
        <v>81</v>
      </c>
      <c r="Q392" s="22" t="s">
        <v>82</v>
      </c>
      <c r="R392" s="22" t="s">
        <v>83</v>
      </c>
      <c r="S392" s="22" t="s">
        <v>84</v>
      </c>
      <c r="T392" s="18" t="s">
        <v>85</v>
      </c>
      <c r="U392" s="18" t="s">
        <v>86</v>
      </c>
      <c r="V392" s="18" t="s">
        <v>87</v>
      </c>
      <c r="W392" s="18" t="s">
        <v>88</v>
      </c>
      <c r="X392" s="18" t="s">
        <v>89</v>
      </c>
      <c r="Y392" s="18" t="s">
        <v>90</v>
      </c>
      <c r="Z392" s="18" t="s">
        <v>91</v>
      </c>
      <c r="AA392" s="18" t="s">
        <v>92</v>
      </c>
      <c r="AB392" s="18" t="s">
        <v>93</v>
      </c>
      <c r="AC392" s="18" t="s">
        <v>94</v>
      </c>
      <c r="AD392" s="18" t="s">
        <v>235</v>
      </c>
      <c r="AE392" s="18" t="s">
        <v>236</v>
      </c>
      <c r="AF392" s="18" t="s">
        <v>237</v>
      </c>
      <c r="AG392" s="18" t="s">
        <v>238</v>
      </c>
      <c r="AH392" s="18" t="s">
        <v>239</v>
      </c>
      <c r="AI392" s="18" t="s">
        <v>240</v>
      </c>
      <c r="AJ392" s="18" t="s">
        <v>241</v>
      </c>
      <c r="AK392" s="18" t="s">
        <v>242</v>
      </c>
      <c r="AL392" s="18" t="s">
        <v>243</v>
      </c>
      <c r="AM392" s="50" t="s">
        <v>244</v>
      </c>
    </row>
    <row r="393" spans="1:39">
      <c r="A393" s="40" t="s">
        <v>245</v>
      </c>
      <c r="B393" s="51" t="str">
        <f>D13</f>
        <v/>
      </c>
      <c r="C393" s="40" t="str">
        <f t="shared" ref="C393:C419" si="64">A393</f>
        <v>#</v>
      </c>
      <c r="D393" s="40" t="str">
        <f>"   "&amp;B393&amp;REPT(" ",$AH$70-LEN(B393)-3)</f>
        <v xml:space="preserve">                                                            </v>
      </c>
      <c r="E393" s="38" t="str">
        <f>SUM(E394:E419)&amp;" pts[/b]"</f>
        <v>0 pts[/b]</v>
      </c>
      <c r="F393" s="21">
        <f>SUM(E394:E419)</f>
        <v>0</v>
      </c>
      <c r="H393" s="9" t="s">
        <v>67</v>
      </c>
      <c r="I393" s="45"/>
      <c r="K393" s="18">
        <f>COUNTIF(E394:E419,"&gt;0")</f>
        <v>0</v>
      </c>
      <c r="L393" s="21">
        <f>AM393-K393</f>
        <v>0</v>
      </c>
      <c r="M393" s="22">
        <f>MAX(E394:E419)</f>
        <v>0</v>
      </c>
      <c r="N393" s="22">
        <f>LARGE(E394:E419,2)</f>
        <v>0</v>
      </c>
      <c r="O393" s="22">
        <f>LARGE(E394:E419,3)</f>
        <v>0</v>
      </c>
      <c r="P393" s="18">
        <f>LARGE(E394:E419,4)</f>
        <v>0</v>
      </c>
      <c r="Q393" s="22">
        <f>LARGE(E394:E419,5)</f>
        <v>0</v>
      </c>
      <c r="R393" s="22">
        <f>LARGE(E394:E419,6)</f>
        <v>0</v>
      </c>
      <c r="S393" s="22">
        <f>LARGE(E394:E419,7)</f>
        <v>0</v>
      </c>
      <c r="T393" s="18">
        <f>LARGE(E394:E419,8)</f>
        <v>0</v>
      </c>
      <c r="U393" s="18">
        <f>LARGE(E394:E419,9)</f>
        <v>0</v>
      </c>
      <c r="V393" s="18">
        <f>LARGE(E394:E419,10)</f>
        <v>0</v>
      </c>
      <c r="W393" s="18">
        <f>LARGE(E394:E419,11)</f>
        <v>0</v>
      </c>
      <c r="X393" s="18">
        <f>LARGE(E394:E419,12)</f>
        <v>0</v>
      </c>
      <c r="Y393" s="18">
        <f>LARGE(E394:E419,13)</f>
        <v>0</v>
      </c>
      <c r="Z393" s="18">
        <f>LARGE(E394:E419,14)</f>
        <v>0</v>
      </c>
      <c r="AA393" s="18">
        <f>LARGE(E394:E419,15)</f>
        <v>0</v>
      </c>
      <c r="AB393" s="18">
        <f>LARGE(E394:E419,16)</f>
        <v>0</v>
      </c>
      <c r="AC393" s="18">
        <f>LARGE(E394:E419,17)</f>
        <v>0</v>
      </c>
      <c r="AD393" s="18">
        <f>LARGE(E394:E420,13)</f>
        <v>0</v>
      </c>
      <c r="AE393" s="18">
        <f>LARGE(E394:E419,19)</f>
        <v>0</v>
      </c>
      <c r="AF393" s="18">
        <f>LARGE(E394:E419,20)</f>
        <v>0</v>
      </c>
      <c r="AG393" s="18">
        <f>LARGE(E394:E419,21)</f>
        <v>0</v>
      </c>
      <c r="AH393" s="18">
        <f>LARGE(E394:E419,22)</f>
        <v>0</v>
      </c>
      <c r="AI393" s="18">
        <f>LARGE(E394:E419,23)</f>
        <v>0</v>
      </c>
      <c r="AJ393" s="18">
        <f>LARGE(E394:E419,24)</f>
        <v>0</v>
      </c>
      <c r="AK393" s="18">
        <f>LARGE(E394:E419,25)</f>
        <v>0</v>
      </c>
      <c r="AL393" s="18">
        <f>LARGE(E394:E419,26)</f>
        <v>0</v>
      </c>
      <c r="AM393" s="50">
        <f>COUNTIF(AH394:AH419,"&lt;&gt;"&amp;AH76)-(26-COUNTIF(E394:E419,"&gt;=0"))</f>
        <v>0</v>
      </c>
    </row>
    <row r="394" spans="1:39">
      <c r="A394" s="42" t="s">
        <v>246</v>
      </c>
      <c r="B394" s="1" t="s">
        <v>20</v>
      </c>
      <c r="C394" s="40" t="str">
        <f t="shared" si="64"/>
        <v>01-&gt;</v>
      </c>
      <c r="D394" s="40" t="str">
        <f t="shared" ref="D394:D419" si="65">B394&amp;REPT(" ",$AH$70-LEN(B394))</f>
        <v xml:space="preserve">No pick yet                                                 </v>
      </c>
      <c r="E394" s="52">
        <f t="shared" ref="E394:E419" si="66">VLOOKUP(RIGHT(B394,LEN(B394)-$AH$66),$H$138:$I$420,2,0)</f>
        <v>0</v>
      </c>
      <c r="F394" s="18"/>
      <c r="G394" s="13">
        <f>COUNTIF($AH$142:$AH$3800,"="&amp;H394)</f>
        <v>0</v>
      </c>
      <c r="H394" s="13" t="e">
        <f>LEFT(VLOOKUP(ScoPo!S138,ScoPo!$G$150:$J$277,4,0),FIND(",",VLOOKUP(ScoPo!S138,ScoPo!$G$150:$J$277,4,0))-1)&amp;" "&amp;$AH$65&amp;" "&amp;LEFT(VLOOKUP(ScoPo!T138,ScoPo!$G$150:$J$277,4,0),FIND(",",VLOOKUP(ScoPo!T138,ScoPo!$G$150:$J$277,4,0))-1)</f>
        <v>#N/A</v>
      </c>
      <c r="I394" s="45" t="str">
        <f>IF(ScoPo!K138=1,ScoPo!N138,IF(ScoPo!K138=2,0," "))</f>
        <v xml:space="preserve"> </v>
      </c>
      <c r="M394" s="18"/>
      <c r="N394" s="18"/>
      <c r="O394" s="18"/>
      <c r="P394" s="18"/>
      <c r="Q394" s="22"/>
      <c r="R394" s="21"/>
      <c r="S394" s="21"/>
      <c r="T394" s="21"/>
      <c r="AA394"/>
      <c r="AH394" t="str">
        <f t="shared" ref="AH394:AH419" si="67">RIGHT(B394,LEN(B394)-$AH$66)</f>
        <v>k yet</v>
      </c>
    </row>
    <row r="395" spans="1:39">
      <c r="A395" s="42" t="s">
        <v>247</v>
      </c>
      <c r="B395" s="1" t="s">
        <v>20</v>
      </c>
      <c r="C395" s="40" t="str">
        <f t="shared" si="64"/>
        <v>02-&gt;</v>
      </c>
      <c r="D395" s="40" t="str">
        <f t="shared" si="65"/>
        <v xml:space="preserve">No pick yet                                                 </v>
      </c>
      <c r="E395" s="52">
        <f t="shared" si="66"/>
        <v>0</v>
      </c>
      <c r="F395" s="18"/>
      <c r="G395" s="13">
        <f>COUNTIF($AH$142:$AH$3800,"="&amp;H395)</f>
        <v>0</v>
      </c>
      <c r="H395" s="13" t="e">
        <f>LEFT(VLOOKUP(ScoPo!S139,ScoPo!$G$150:$J$277,4,0),FIND(",",VLOOKUP(ScoPo!S139,ScoPo!$G$150:$J$277,4,0))-1)&amp;" "&amp;$AH$65&amp;" "&amp;LEFT(VLOOKUP(ScoPo!T139,ScoPo!$G$150:$J$277,4,0),FIND(",",VLOOKUP(ScoPo!T139,ScoPo!$G$150:$J$277,4,0))-1)</f>
        <v>#N/A</v>
      </c>
      <c r="I395" s="45" t="str">
        <f>IF(ScoPo!K139=1,ScoPo!N139,IF(ScoPo!K139=2,0," "))</f>
        <v xml:space="preserve"> </v>
      </c>
      <c r="K395" s="22"/>
      <c r="N395" s="22"/>
      <c r="O395" s="22"/>
      <c r="P395" s="22"/>
      <c r="Q395" s="22"/>
      <c r="R395" s="22"/>
      <c r="S395" s="22"/>
      <c r="Z395" s="53"/>
      <c r="AA395"/>
      <c r="AH395" t="str">
        <f t="shared" si="67"/>
        <v>k yet</v>
      </c>
    </row>
    <row r="396" spans="1:39">
      <c r="A396" s="42" t="s">
        <v>248</v>
      </c>
      <c r="B396" s="1" t="s">
        <v>20</v>
      </c>
      <c r="C396" s="40" t="str">
        <f t="shared" si="64"/>
        <v>03-&gt;</v>
      </c>
      <c r="D396" s="40" t="str">
        <f t="shared" si="65"/>
        <v xml:space="preserve">No pick yet                                                 </v>
      </c>
      <c r="E396" s="52">
        <f t="shared" si="66"/>
        <v>0</v>
      </c>
      <c r="F396" s="18"/>
      <c r="G396" s="13">
        <f>COUNTIF($AH$142:$AH$3800,"="&amp;H396)</f>
        <v>0</v>
      </c>
      <c r="H396" s="13" t="e">
        <f>LEFT(VLOOKUP(ScoPo!T138,ScoPo!$G$150:$J$277,4,0),FIND(",",VLOOKUP(ScoPo!T138,ScoPo!$G$150:$J$277,4,0))-1)&amp;" "&amp;$AH$65&amp;" "&amp;LEFT(VLOOKUP(ScoPo!S138,ScoPo!$G$150:$J$277,4,0),FIND(",",VLOOKUP(ScoPo!S138,ScoPo!$G$150:$J$277,4,0))-1)</f>
        <v>#N/A</v>
      </c>
      <c r="I396" s="13" t="str">
        <f>IF(ScoPo!K138=1,0,IF(ScoPo!K138=2,ScoPo!O138," "))</f>
        <v xml:space="preserve"> </v>
      </c>
      <c r="L396" s="21"/>
      <c r="N396" s="22"/>
      <c r="O396" s="22"/>
      <c r="P396" s="18"/>
      <c r="Q396" s="22"/>
      <c r="R396" s="22"/>
      <c r="S396" s="22"/>
      <c r="Z396" s="53"/>
      <c r="AA396"/>
      <c r="AH396" t="str">
        <f t="shared" si="67"/>
        <v>k yet</v>
      </c>
    </row>
    <row r="397" spans="1:39">
      <c r="A397" s="42" t="s">
        <v>249</v>
      </c>
      <c r="B397" s="1" t="s">
        <v>20</v>
      </c>
      <c r="C397" s="40" t="str">
        <f t="shared" si="64"/>
        <v>04-&gt;</v>
      </c>
      <c r="D397" s="40" t="str">
        <f t="shared" si="65"/>
        <v xml:space="preserve">No pick yet                                                 </v>
      </c>
      <c r="E397" s="52">
        <f t="shared" si="66"/>
        <v>0</v>
      </c>
      <c r="F397" s="18"/>
      <c r="G397" s="13">
        <f>COUNTIF($AH$142:$AH$3800,"="&amp;H397)</f>
        <v>0</v>
      </c>
      <c r="H397" s="13" t="e">
        <f>LEFT(VLOOKUP(ScoPo!T139,ScoPo!$G$150:$J$277,4,0),FIND(",",VLOOKUP(ScoPo!T139,ScoPo!$G$150:$J$277,4,0))-1)&amp;" "&amp;$AH$65&amp;" "&amp;LEFT(VLOOKUP(ScoPo!S139,ScoPo!$G$150:$J$277,4,0),FIND(",",VLOOKUP(ScoPo!S139,ScoPo!$G$150:$J$277,4,0))-1)</f>
        <v>#N/A</v>
      </c>
      <c r="I397" s="13" t="str">
        <f>IF(ScoPo!K139=1,0,IF(ScoPo!K139=2,ScoPo!O139," "))</f>
        <v xml:space="preserve"> </v>
      </c>
      <c r="M397" s="18"/>
      <c r="N397" s="18"/>
      <c r="O397" s="18"/>
      <c r="P397" s="18"/>
      <c r="Q397" s="22"/>
      <c r="R397" s="21"/>
      <c r="S397" s="21"/>
      <c r="T397" s="21"/>
      <c r="AA397"/>
      <c r="AH397" t="str">
        <f t="shared" si="67"/>
        <v>k yet</v>
      </c>
    </row>
    <row r="398" spans="1:39">
      <c r="A398" s="42" t="s">
        <v>250</v>
      </c>
      <c r="B398" s="1" t="s">
        <v>20</v>
      </c>
      <c r="C398" s="40" t="str">
        <f t="shared" si="64"/>
        <v>05-&gt;</v>
      </c>
      <c r="D398" s="40" t="str">
        <f t="shared" si="65"/>
        <v xml:space="preserve">No pick yet                                                 </v>
      </c>
      <c r="E398" s="52">
        <f t="shared" si="66"/>
        <v>0</v>
      </c>
      <c r="F398" s="18"/>
      <c r="G398" s="22"/>
      <c r="H398" s="9" t="s">
        <v>68</v>
      </c>
      <c r="I398" s="55"/>
      <c r="J398" s="22"/>
      <c r="M398" s="18"/>
      <c r="N398" s="18"/>
      <c r="O398" s="18"/>
      <c r="P398" s="18"/>
      <c r="Q398" s="22"/>
      <c r="R398" s="21"/>
      <c r="S398" s="21"/>
      <c r="T398" s="21"/>
      <c r="AA398"/>
      <c r="AH398" t="str">
        <f t="shared" si="67"/>
        <v>k yet</v>
      </c>
    </row>
    <row r="399" spans="1:39">
      <c r="A399" s="42" t="s">
        <v>251</v>
      </c>
      <c r="B399" s="1" t="s">
        <v>20</v>
      </c>
      <c r="C399" s="40" t="str">
        <f t="shared" si="64"/>
        <v>06-&gt;</v>
      </c>
      <c r="D399" s="40" t="str">
        <f t="shared" si="65"/>
        <v xml:space="preserve">No pick yet                                                 </v>
      </c>
      <c r="E399" s="52">
        <f t="shared" si="66"/>
        <v>0</v>
      </c>
      <c r="F399" s="18"/>
      <c r="G399" s="13">
        <f t="shared" ref="G399:G411" si="68">COUNTIF($AH$142:$AH$3800,"="&amp;H399)</f>
        <v>0</v>
      </c>
      <c r="H399" s="56" t="e">
        <f>LEFT(VLOOKUP(ScoPo!S142,ScoPo!$G$150:$J$277,4,0),FIND(",",VLOOKUP(ScoPo!S142,ScoPo!$G$150:$J$277,4,0))-1)&amp;" "&amp;$AH$65&amp;" "&amp;LEFT(VLOOKUP(ScoPo!T142,ScoPo!$G$150:$J$277,4,0),FIND(",",VLOOKUP(ScoPo!T142,ScoPo!$G$150:$J$277,4,0))-1)</f>
        <v>#N/A</v>
      </c>
      <c r="I399" s="55" t="str">
        <f>IF(ScoPo!K142=1,ScoPo!N142,IF(ScoPo!K142=2,0," "))</f>
        <v xml:space="preserve"> </v>
      </c>
      <c r="J399" s="22"/>
      <c r="M399" s="18"/>
      <c r="N399" s="18"/>
      <c r="O399" s="18"/>
      <c r="P399" s="18"/>
      <c r="Q399" s="22"/>
      <c r="R399" s="21"/>
      <c r="S399" s="21"/>
      <c r="T399" s="21"/>
      <c r="AA399"/>
      <c r="AH399" t="str">
        <f t="shared" si="67"/>
        <v>k yet</v>
      </c>
    </row>
    <row r="400" spans="1:39">
      <c r="A400" s="42" t="s">
        <v>252</v>
      </c>
      <c r="B400" s="1" t="s">
        <v>20</v>
      </c>
      <c r="C400" s="40" t="str">
        <f t="shared" si="64"/>
        <v>07-&gt;</v>
      </c>
      <c r="D400" s="40" t="str">
        <f t="shared" si="65"/>
        <v xml:space="preserve">No pick yet                                                 </v>
      </c>
      <c r="E400" s="52">
        <f t="shared" si="66"/>
        <v>0</v>
      </c>
      <c r="F400" s="18"/>
      <c r="G400" s="13">
        <f t="shared" si="68"/>
        <v>0</v>
      </c>
      <c r="H400" s="13" t="e">
        <f>LEFT(VLOOKUP(ScoPo!T142,ScoPo!$G$150:$J$277,4,0),FIND(",",VLOOKUP(ScoPo!T142,ScoPo!$G$150:$J$277,4,0))-1)&amp;" "&amp;$AH$65&amp;" "&amp;LEFT(VLOOKUP(ScoPo!S142,ScoPo!$G$150:$J$277,4,0),FIND(",",VLOOKUP(ScoPo!S142,ScoPo!$G$150:$J$277,4,0))-1)</f>
        <v>#N/A</v>
      </c>
      <c r="I400" s="13" t="str">
        <f>IF(ScoPo!K142=1,0,IF(ScoPo!K142=2,ScoPo!O142," "))</f>
        <v xml:space="preserve"> </v>
      </c>
      <c r="M400" s="18"/>
      <c r="N400" s="18"/>
      <c r="O400" s="18"/>
      <c r="P400" s="18"/>
      <c r="Q400" s="22"/>
      <c r="R400" s="21"/>
      <c r="S400" s="21"/>
      <c r="T400" s="21"/>
      <c r="AA400"/>
      <c r="AH400" t="str">
        <f t="shared" si="67"/>
        <v>k yet</v>
      </c>
    </row>
    <row r="401" spans="1:34">
      <c r="A401" s="42" t="s">
        <v>253</v>
      </c>
      <c r="B401" s="1" t="s">
        <v>20</v>
      </c>
      <c r="C401" s="40" t="str">
        <f t="shared" si="64"/>
        <v>08-&gt;</v>
      </c>
      <c r="D401" s="40" t="str">
        <f t="shared" si="65"/>
        <v xml:space="preserve">No pick yet                                                 </v>
      </c>
      <c r="E401" s="52">
        <f t="shared" si="66"/>
        <v>0</v>
      </c>
      <c r="F401" s="18"/>
      <c r="G401" s="13">
        <f t="shared" si="68"/>
        <v>21</v>
      </c>
      <c r="M401" s="18"/>
      <c r="N401" s="18"/>
      <c r="O401" s="18"/>
      <c r="P401" s="18"/>
      <c r="Q401" s="22"/>
      <c r="R401" s="21"/>
      <c r="S401" s="21"/>
      <c r="T401" s="21"/>
      <c r="AA401"/>
      <c r="AH401" t="str">
        <f t="shared" si="67"/>
        <v>k yet</v>
      </c>
    </row>
    <row r="402" spans="1:34">
      <c r="A402" s="42" t="s">
        <v>254</v>
      </c>
      <c r="B402" s="1" t="s">
        <v>20</v>
      </c>
      <c r="C402" s="40" t="str">
        <f t="shared" si="64"/>
        <v>09-&gt;</v>
      </c>
      <c r="D402" s="40" t="str">
        <f t="shared" si="65"/>
        <v xml:space="preserve">No pick yet                                                 </v>
      </c>
      <c r="E402" s="52">
        <f t="shared" si="66"/>
        <v>0</v>
      </c>
      <c r="F402" s="18"/>
      <c r="G402" s="13">
        <f t="shared" si="68"/>
        <v>0</v>
      </c>
      <c r="H402" s="57" t="s">
        <v>272</v>
      </c>
      <c r="M402" s="18"/>
      <c r="N402" s="18"/>
      <c r="O402" s="18"/>
      <c r="P402" s="18"/>
      <c r="Q402" s="22"/>
      <c r="R402" s="21"/>
      <c r="S402" s="21"/>
      <c r="T402" s="21"/>
      <c r="AA402"/>
      <c r="AH402" t="str">
        <f t="shared" si="67"/>
        <v>k yet</v>
      </c>
    </row>
    <row r="403" spans="1:34">
      <c r="A403" s="42" t="s">
        <v>255</v>
      </c>
      <c r="B403" s="1" t="s">
        <v>20</v>
      </c>
      <c r="C403" s="40" t="str">
        <f t="shared" si="64"/>
        <v>10-&gt;</v>
      </c>
      <c r="D403" s="40" t="str">
        <f t="shared" si="65"/>
        <v xml:space="preserve">No pick yet                                                 </v>
      </c>
      <c r="E403" s="52">
        <f t="shared" si="66"/>
        <v>0</v>
      </c>
      <c r="F403" s="22"/>
      <c r="G403" s="13">
        <f t="shared" si="68"/>
        <v>21</v>
      </c>
      <c r="M403" s="18"/>
      <c r="N403" s="18"/>
      <c r="O403" s="18"/>
      <c r="P403" s="18"/>
      <c r="Q403" s="22"/>
      <c r="R403" s="21"/>
      <c r="S403" s="21"/>
      <c r="T403" s="21"/>
      <c r="AA403"/>
      <c r="AH403" t="str">
        <f t="shared" si="67"/>
        <v>k yet</v>
      </c>
    </row>
    <row r="404" spans="1:34">
      <c r="A404" s="42" t="s">
        <v>256</v>
      </c>
      <c r="B404" s="1" t="s">
        <v>20</v>
      </c>
      <c r="C404" s="40" t="str">
        <f t="shared" si="64"/>
        <v>11-&gt;</v>
      </c>
      <c r="D404" s="40" t="str">
        <f t="shared" si="65"/>
        <v xml:space="preserve">No pick yet                                                 </v>
      </c>
      <c r="E404" s="52">
        <f t="shared" si="66"/>
        <v>0</v>
      </c>
      <c r="G404" s="13">
        <f t="shared" si="68"/>
        <v>21</v>
      </c>
      <c r="M404" s="18"/>
      <c r="N404" s="18"/>
      <c r="O404" s="18"/>
      <c r="P404" s="18"/>
      <c r="Q404" s="22"/>
      <c r="R404" s="21"/>
      <c r="S404" s="21"/>
      <c r="T404" s="21"/>
      <c r="AA404"/>
      <c r="AH404" t="str">
        <f t="shared" si="67"/>
        <v>k yet</v>
      </c>
    </row>
    <row r="405" spans="1:34">
      <c r="A405" s="42" t="s">
        <v>257</v>
      </c>
      <c r="B405" s="1" t="s">
        <v>20</v>
      </c>
      <c r="C405" s="40" t="str">
        <f t="shared" si="64"/>
        <v>12-&gt;</v>
      </c>
      <c r="D405" s="40" t="str">
        <f t="shared" si="65"/>
        <v xml:space="preserve">No pick yet                                                 </v>
      </c>
      <c r="E405" s="52">
        <f t="shared" si="66"/>
        <v>0</v>
      </c>
      <c r="G405" s="13">
        <f t="shared" si="68"/>
        <v>21</v>
      </c>
      <c r="M405" s="18"/>
      <c r="N405" s="18"/>
      <c r="O405" s="18"/>
      <c r="P405" s="18"/>
      <c r="Q405" s="22"/>
      <c r="R405" s="21"/>
      <c r="S405" s="21"/>
      <c r="T405" s="21"/>
      <c r="AA405"/>
      <c r="AH405" t="str">
        <f t="shared" si="67"/>
        <v>k yet</v>
      </c>
    </row>
    <row r="406" spans="1:34">
      <c r="A406" s="42" t="s">
        <v>258</v>
      </c>
      <c r="B406" s="1" t="s">
        <v>20</v>
      </c>
      <c r="C406" s="40" t="str">
        <f t="shared" si="64"/>
        <v>13-&gt;</v>
      </c>
      <c r="D406" s="40" t="str">
        <f t="shared" si="65"/>
        <v xml:space="preserve">No pick yet                                                 </v>
      </c>
      <c r="E406" s="52">
        <f t="shared" si="66"/>
        <v>0</v>
      </c>
      <c r="G406" s="13">
        <f t="shared" si="68"/>
        <v>21</v>
      </c>
      <c r="M406" s="18"/>
      <c r="N406" s="18"/>
      <c r="O406" s="18"/>
      <c r="P406" s="18"/>
      <c r="Q406" s="22"/>
      <c r="R406" s="21"/>
      <c r="S406" s="21"/>
      <c r="T406" s="21"/>
      <c r="AA406"/>
      <c r="AH406" t="str">
        <f t="shared" si="67"/>
        <v>k yet</v>
      </c>
    </row>
    <row r="407" spans="1:34">
      <c r="A407" s="42" t="s">
        <v>259</v>
      </c>
      <c r="B407" s="1" t="s">
        <v>20</v>
      </c>
      <c r="C407" s="40" t="str">
        <f t="shared" si="64"/>
        <v>14-&gt;</v>
      </c>
      <c r="D407" s="40" t="str">
        <f t="shared" si="65"/>
        <v xml:space="preserve">No pick yet                                                 </v>
      </c>
      <c r="E407" s="52">
        <f t="shared" si="66"/>
        <v>0</v>
      </c>
      <c r="G407" s="13">
        <f t="shared" si="68"/>
        <v>21</v>
      </c>
      <c r="M407" s="18"/>
      <c r="N407" s="18"/>
      <c r="O407" s="18"/>
      <c r="P407" s="18"/>
      <c r="Q407" s="22"/>
      <c r="R407" s="21"/>
      <c r="S407" s="21"/>
      <c r="T407" s="21"/>
      <c r="AA407"/>
      <c r="AH407" t="str">
        <f t="shared" si="67"/>
        <v>k yet</v>
      </c>
    </row>
    <row r="408" spans="1:34">
      <c r="A408" s="42" t="s">
        <v>260</v>
      </c>
      <c r="B408" s="1" t="s">
        <v>20</v>
      </c>
      <c r="C408" s="40" t="str">
        <f t="shared" si="64"/>
        <v>15-&gt;</v>
      </c>
      <c r="D408" s="40" t="str">
        <f t="shared" si="65"/>
        <v xml:space="preserve">No pick yet                                                 </v>
      </c>
      <c r="E408" s="52">
        <f t="shared" si="66"/>
        <v>0</v>
      </c>
      <c r="G408" s="13">
        <f t="shared" si="68"/>
        <v>21</v>
      </c>
      <c r="M408" s="18"/>
      <c r="N408" s="18"/>
      <c r="O408" s="18"/>
      <c r="P408" s="18"/>
      <c r="Q408" s="22"/>
      <c r="R408" s="21"/>
      <c r="S408" s="21"/>
      <c r="T408" s="21"/>
      <c r="AA408"/>
      <c r="AH408" t="str">
        <f t="shared" si="67"/>
        <v>k yet</v>
      </c>
    </row>
    <row r="409" spans="1:34">
      <c r="A409" s="42" t="s">
        <v>261</v>
      </c>
      <c r="B409" s="1" t="s">
        <v>20</v>
      </c>
      <c r="C409" s="40" t="str">
        <f t="shared" si="64"/>
        <v>16-&gt;</v>
      </c>
      <c r="D409" s="40" t="str">
        <f t="shared" si="65"/>
        <v xml:space="preserve">No pick yet                                                 </v>
      </c>
      <c r="E409" s="52">
        <f t="shared" si="66"/>
        <v>0</v>
      </c>
      <c r="G409" s="13">
        <f t="shared" si="68"/>
        <v>21</v>
      </c>
      <c r="M409" s="18"/>
      <c r="N409" s="18"/>
      <c r="O409" s="18"/>
      <c r="P409" s="18"/>
      <c r="Q409" s="22"/>
      <c r="R409" s="21"/>
      <c r="S409" s="21"/>
      <c r="T409" s="21"/>
      <c r="AA409"/>
      <c r="AH409" t="str">
        <f t="shared" si="67"/>
        <v>k yet</v>
      </c>
    </row>
    <row r="410" spans="1:34">
      <c r="A410" s="42" t="s">
        <v>262</v>
      </c>
      <c r="B410" s="1" t="s">
        <v>20</v>
      </c>
      <c r="C410" s="40" t="str">
        <f t="shared" si="64"/>
        <v>17-&gt;</v>
      </c>
      <c r="D410" s="40" t="str">
        <f t="shared" si="65"/>
        <v xml:space="preserve">No pick yet                                                 </v>
      </c>
      <c r="E410" s="52">
        <f t="shared" si="66"/>
        <v>0</v>
      </c>
      <c r="G410" s="13">
        <f t="shared" si="68"/>
        <v>21</v>
      </c>
      <c r="K410" s="22"/>
      <c r="N410" s="22"/>
      <c r="O410" s="22"/>
      <c r="P410" s="22"/>
      <c r="Q410" s="22"/>
      <c r="R410" s="22"/>
      <c r="S410" s="22"/>
      <c r="Z410" s="53"/>
      <c r="AA410"/>
      <c r="AH410" t="str">
        <f t="shared" si="67"/>
        <v>k yet</v>
      </c>
    </row>
    <row r="411" spans="1:34">
      <c r="A411" s="42" t="s">
        <v>263</v>
      </c>
      <c r="B411" s="1" t="s">
        <v>20</v>
      </c>
      <c r="C411" s="40" t="str">
        <f t="shared" si="64"/>
        <v>18-&gt;</v>
      </c>
      <c r="D411" s="40" t="str">
        <f t="shared" si="65"/>
        <v xml:space="preserve">No pick yet                                                 </v>
      </c>
      <c r="E411" s="52">
        <f t="shared" si="66"/>
        <v>0</v>
      </c>
      <c r="F411" s="18"/>
      <c r="G411" s="13">
        <f t="shared" si="68"/>
        <v>21</v>
      </c>
      <c r="L411" s="21"/>
      <c r="N411" s="22"/>
      <c r="O411" s="22"/>
      <c r="P411" s="18"/>
      <c r="Q411" s="22"/>
      <c r="R411" s="22"/>
      <c r="S411" s="22"/>
      <c r="Z411" s="53"/>
      <c r="AA411"/>
      <c r="AH411" t="str">
        <f t="shared" si="67"/>
        <v>k yet</v>
      </c>
    </row>
    <row r="412" spans="1:34">
      <c r="A412" s="42" t="s">
        <v>264</v>
      </c>
      <c r="B412" s="1" t="s">
        <v>20</v>
      </c>
      <c r="C412" s="40" t="str">
        <f t="shared" si="64"/>
        <v>19-&gt;</v>
      </c>
      <c r="D412" s="40" t="str">
        <f t="shared" si="65"/>
        <v xml:space="preserve">No pick yet                                                 </v>
      </c>
      <c r="E412" s="52">
        <f t="shared" si="66"/>
        <v>0</v>
      </c>
      <c r="F412" s="18"/>
      <c r="M412" s="18"/>
      <c r="N412" s="18"/>
      <c r="O412" s="18"/>
      <c r="P412" s="18"/>
      <c r="Q412" s="22"/>
      <c r="R412" s="21"/>
      <c r="S412" s="21"/>
      <c r="T412" s="21"/>
      <c r="AA412"/>
      <c r="AH412" t="str">
        <f t="shared" si="67"/>
        <v>k yet</v>
      </c>
    </row>
    <row r="413" spans="1:34">
      <c r="A413" s="42" t="s">
        <v>265</v>
      </c>
      <c r="B413" s="1" t="s">
        <v>20</v>
      </c>
      <c r="C413" s="40" t="str">
        <f t="shared" si="64"/>
        <v>20-&gt;</v>
      </c>
      <c r="D413" s="40" t="str">
        <f t="shared" si="65"/>
        <v xml:space="preserve">No pick yet                                                 </v>
      </c>
      <c r="E413" s="52">
        <f t="shared" si="66"/>
        <v>0</v>
      </c>
      <c r="F413" s="18"/>
      <c r="G413" s="22"/>
      <c r="I413" s="22"/>
      <c r="J413" s="22"/>
      <c r="M413" s="18"/>
      <c r="N413" s="18"/>
      <c r="O413" s="18"/>
      <c r="P413" s="18"/>
      <c r="Q413" s="22"/>
      <c r="R413" s="21"/>
      <c r="S413" s="21"/>
      <c r="T413" s="21"/>
      <c r="AA413"/>
      <c r="AH413" t="str">
        <f t="shared" si="67"/>
        <v>k yet</v>
      </c>
    </row>
    <row r="414" spans="1:34">
      <c r="A414" s="42" t="s">
        <v>266</v>
      </c>
      <c r="B414" s="1" t="s">
        <v>20</v>
      </c>
      <c r="C414" s="40" t="str">
        <f t="shared" si="64"/>
        <v>21-&gt;</v>
      </c>
      <c r="D414" s="40" t="str">
        <f t="shared" si="65"/>
        <v xml:space="preserve">No pick yet                                                 </v>
      </c>
      <c r="E414" s="52">
        <f t="shared" si="66"/>
        <v>0</v>
      </c>
      <c r="F414" s="18"/>
      <c r="H414" s="21"/>
      <c r="I414" s="22"/>
      <c r="J414" s="22"/>
      <c r="M414" s="18"/>
      <c r="N414" s="18"/>
      <c r="O414" s="18"/>
      <c r="P414" s="18"/>
      <c r="Q414" s="22"/>
      <c r="R414" s="21"/>
      <c r="S414" s="21"/>
      <c r="T414" s="21"/>
      <c r="AA414"/>
      <c r="AH414" t="str">
        <f t="shared" si="67"/>
        <v>k yet</v>
      </c>
    </row>
    <row r="415" spans="1:34">
      <c r="A415" s="42" t="s">
        <v>267</v>
      </c>
      <c r="B415" s="1" t="s">
        <v>20</v>
      </c>
      <c r="C415" s="40" t="str">
        <f t="shared" si="64"/>
        <v>22-&gt;</v>
      </c>
      <c r="D415" s="40" t="str">
        <f t="shared" si="65"/>
        <v xml:space="preserve">No pick yet                                                 </v>
      </c>
      <c r="E415" s="52">
        <f t="shared" si="66"/>
        <v>0</v>
      </c>
      <c r="F415" s="18"/>
      <c r="M415" s="18"/>
      <c r="N415" s="18"/>
      <c r="O415" s="18"/>
      <c r="P415" s="18"/>
      <c r="Q415" s="22"/>
      <c r="R415" s="21"/>
      <c r="S415" s="21"/>
      <c r="T415" s="21"/>
      <c r="AA415"/>
      <c r="AH415" t="str">
        <f t="shared" si="67"/>
        <v>k yet</v>
      </c>
    </row>
    <row r="416" spans="1:34">
      <c r="A416" s="42" t="s">
        <v>268</v>
      </c>
      <c r="B416" s="1" t="s">
        <v>20</v>
      </c>
      <c r="C416" s="40" t="str">
        <f t="shared" si="64"/>
        <v>23-&gt;</v>
      </c>
      <c r="D416" s="40" t="str">
        <f t="shared" si="65"/>
        <v xml:space="preserve">No pick yet                                                 </v>
      </c>
      <c r="E416" s="52">
        <f t="shared" si="66"/>
        <v>0</v>
      </c>
      <c r="F416" s="18"/>
      <c r="M416" s="18"/>
      <c r="N416" s="18"/>
      <c r="O416" s="18"/>
      <c r="P416" s="18"/>
      <c r="Q416" s="22"/>
      <c r="R416" s="21"/>
      <c r="S416" s="21"/>
      <c r="T416" s="21"/>
      <c r="AA416"/>
      <c r="AH416" t="str">
        <f t="shared" si="67"/>
        <v>k yet</v>
      </c>
    </row>
    <row r="417" spans="1:39">
      <c r="A417" s="42" t="s">
        <v>269</v>
      </c>
      <c r="B417" s="1" t="s">
        <v>20</v>
      </c>
      <c r="C417" s="40" t="str">
        <f t="shared" si="64"/>
        <v>24-&gt;</v>
      </c>
      <c r="D417" s="40" t="str">
        <f t="shared" si="65"/>
        <v xml:space="preserve">No pick yet                                                 </v>
      </c>
      <c r="E417" s="52">
        <f t="shared" si="66"/>
        <v>0</v>
      </c>
      <c r="F417" s="18"/>
      <c r="M417" s="18"/>
      <c r="N417" s="18"/>
      <c r="O417" s="18"/>
      <c r="P417" s="18"/>
      <c r="Q417" s="22"/>
      <c r="R417" s="21"/>
      <c r="S417" s="21"/>
      <c r="T417" s="21"/>
      <c r="AA417"/>
      <c r="AH417" t="str">
        <f t="shared" si="67"/>
        <v>k yet</v>
      </c>
    </row>
    <row r="418" spans="1:39">
      <c r="A418" s="42" t="s">
        <v>270</v>
      </c>
      <c r="B418" s="1" t="s">
        <v>20</v>
      </c>
      <c r="C418" s="40" t="str">
        <f t="shared" si="64"/>
        <v>25-&gt;</v>
      </c>
      <c r="D418" s="40" t="str">
        <f t="shared" si="65"/>
        <v xml:space="preserve">No pick yet                                                 </v>
      </c>
      <c r="E418" s="52">
        <f t="shared" si="66"/>
        <v>0</v>
      </c>
      <c r="F418" s="18"/>
      <c r="M418" s="18"/>
      <c r="N418" s="18"/>
      <c r="O418" s="18"/>
      <c r="P418" s="18"/>
      <c r="Q418" s="22"/>
      <c r="R418" s="21"/>
      <c r="S418" s="21"/>
      <c r="T418" s="21"/>
      <c r="AA418"/>
      <c r="AH418" t="str">
        <f t="shared" si="67"/>
        <v>k yet</v>
      </c>
    </row>
    <row r="419" spans="1:39">
      <c r="A419" s="42" t="s">
        <v>271</v>
      </c>
      <c r="B419" s="1" t="s">
        <v>20</v>
      </c>
      <c r="C419" s="40" t="str">
        <f t="shared" si="64"/>
        <v>26-&gt;</v>
      </c>
      <c r="D419" s="40" t="str">
        <f t="shared" si="65"/>
        <v xml:space="preserve">No pick yet                                                 </v>
      </c>
      <c r="E419" s="52">
        <f t="shared" si="66"/>
        <v>0</v>
      </c>
      <c r="F419" s="18"/>
      <c r="M419" s="18"/>
      <c r="N419" s="18"/>
      <c r="O419" s="18"/>
      <c r="P419" s="18"/>
      <c r="Q419" s="22"/>
      <c r="R419" s="21"/>
      <c r="S419" s="21"/>
      <c r="T419" s="21"/>
      <c r="AA419"/>
      <c r="AH419" t="str">
        <f t="shared" si="67"/>
        <v>k yet</v>
      </c>
    </row>
    <row r="420" spans="1:39">
      <c r="A420" s="38"/>
      <c r="B420" s="40"/>
      <c r="C420" s="40"/>
      <c r="D420" s="49"/>
      <c r="E420" s="41" t="s">
        <v>69</v>
      </c>
      <c r="F420" s="18"/>
      <c r="K420" s="22" t="s">
        <v>73</v>
      </c>
      <c r="L420" s="18" t="s">
        <v>74</v>
      </c>
      <c r="M420" s="22" t="s">
        <v>78</v>
      </c>
      <c r="N420" s="22" t="s">
        <v>79</v>
      </c>
      <c r="O420" s="22" t="s">
        <v>80</v>
      </c>
      <c r="P420" s="22" t="s">
        <v>81</v>
      </c>
      <c r="Q420" s="22" t="s">
        <v>82</v>
      </c>
      <c r="R420" s="22" t="s">
        <v>83</v>
      </c>
      <c r="S420" s="22" t="s">
        <v>84</v>
      </c>
      <c r="T420" s="18" t="s">
        <v>85</v>
      </c>
      <c r="U420" s="18" t="s">
        <v>86</v>
      </c>
      <c r="V420" s="18" t="s">
        <v>87</v>
      </c>
      <c r="W420" s="18" t="s">
        <v>88</v>
      </c>
      <c r="X420" s="18" t="s">
        <v>89</v>
      </c>
      <c r="Y420" s="18" t="s">
        <v>90</v>
      </c>
      <c r="Z420" s="18" t="s">
        <v>91</v>
      </c>
      <c r="AA420" s="18" t="s">
        <v>92</v>
      </c>
      <c r="AB420" s="18" t="s">
        <v>93</v>
      </c>
      <c r="AC420" s="18" t="s">
        <v>94</v>
      </c>
      <c r="AD420" s="18" t="s">
        <v>235</v>
      </c>
      <c r="AE420" s="18" t="s">
        <v>236</v>
      </c>
      <c r="AF420" s="18" t="s">
        <v>237</v>
      </c>
      <c r="AG420" s="18" t="s">
        <v>238</v>
      </c>
      <c r="AH420" s="18" t="s">
        <v>239</v>
      </c>
      <c r="AI420" s="18" t="s">
        <v>240</v>
      </c>
      <c r="AJ420" s="18" t="s">
        <v>241</v>
      </c>
      <c r="AK420" s="18" t="s">
        <v>242</v>
      </c>
      <c r="AL420" s="18" t="s">
        <v>243</v>
      </c>
      <c r="AM420" s="50" t="s">
        <v>244</v>
      </c>
    </row>
    <row r="421" spans="1:39">
      <c r="A421" s="40" t="s">
        <v>245</v>
      </c>
      <c r="B421" s="51" t="str">
        <f>D14</f>
        <v/>
      </c>
      <c r="C421" s="40" t="str">
        <f t="shared" ref="C421:C447" si="69">A421</f>
        <v>#</v>
      </c>
      <c r="D421" s="40" t="str">
        <f>"   "&amp;B421&amp;REPT(" ",$AH$70-LEN(B421)-3)</f>
        <v xml:space="preserve">                                                            </v>
      </c>
      <c r="E421" s="38" t="str">
        <f>SUM(E422:E447)&amp;" pts[/b]"</f>
        <v>0 pts[/b]</v>
      </c>
      <c r="F421" s="21">
        <f>SUM(E422:E447)</f>
        <v>0</v>
      </c>
      <c r="K421" s="18">
        <f>COUNTIF(E422:E447,"&gt;0")</f>
        <v>0</v>
      </c>
      <c r="L421" s="21">
        <f>AM421-K421</f>
        <v>0</v>
      </c>
      <c r="M421" s="22">
        <f>MAX(E422:E447)</f>
        <v>0</v>
      </c>
      <c r="N421" s="22">
        <f>LARGE(E422:E447,2)</f>
        <v>0</v>
      </c>
      <c r="O421" s="22">
        <f>LARGE(E422:E447,3)</f>
        <v>0</v>
      </c>
      <c r="P421" s="18">
        <f>LARGE(E422:E447,4)</f>
        <v>0</v>
      </c>
      <c r="Q421" s="22">
        <f>LARGE(E422:E447,5)</f>
        <v>0</v>
      </c>
      <c r="R421" s="22">
        <f>LARGE(E422:E447,6)</f>
        <v>0</v>
      </c>
      <c r="S421" s="22">
        <f>LARGE(E422:E447,7)</f>
        <v>0</v>
      </c>
      <c r="T421" s="18">
        <f>LARGE(E422:E447,8)</f>
        <v>0</v>
      </c>
      <c r="U421" s="18">
        <f>LARGE(E422:E447,9)</f>
        <v>0</v>
      </c>
      <c r="V421" s="18">
        <f>LARGE(E422:E447,10)</f>
        <v>0</v>
      </c>
      <c r="W421" s="18">
        <f>LARGE(E422:E447,11)</f>
        <v>0</v>
      </c>
      <c r="X421" s="18">
        <f>LARGE(E422:E447,12)</f>
        <v>0</v>
      </c>
      <c r="Y421" s="18">
        <f>LARGE(E422:E447,13)</f>
        <v>0</v>
      </c>
      <c r="Z421" s="18">
        <f>LARGE(E422:E447,14)</f>
        <v>0</v>
      </c>
      <c r="AA421" s="18">
        <f>LARGE(E422:E447,15)</f>
        <v>0</v>
      </c>
      <c r="AB421" s="18">
        <f>LARGE(E422:E447,16)</f>
        <v>0</v>
      </c>
      <c r="AC421" s="18">
        <f>LARGE(E422:E447,17)</f>
        <v>0</v>
      </c>
      <c r="AD421" s="18">
        <f>LARGE(E422:E448,13)</f>
        <v>0</v>
      </c>
      <c r="AE421" s="18">
        <f>LARGE(E422:E447,19)</f>
        <v>0</v>
      </c>
      <c r="AF421" s="18">
        <f>LARGE(E422:E447,20)</f>
        <v>0</v>
      </c>
      <c r="AG421" s="18">
        <f>LARGE(E422:E447,21)</f>
        <v>0</v>
      </c>
      <c r="AH421" s="18">
        <f>LARGE(E422:E447,22)</f>
        <v>0</v>
      </c>
      <c r="AI421" s="18">
        <f>LARGE(E422:E447,23)</f>
        <v>0</v>
      </c>
      <c r="AJ421" s="18">
        <f>LARGE(E422:E447,24)</f>
        <v>0</v>
      </c>
      <c r="AK421" s="18">
        <f>LARGE(E422:E447,25)</f>
        <v>0</v>
      </c>
      <c r="AL421" s="18">
        <f>LARGE(E422:E447,26)</f>
        <v>0</v>
      </c>
      <c r="AM421" s="50">
        <f>COUNTIF(AH422:AH447,"&lt;&gt;"&amp;AH76)-(26-COUNTIF(E422:E447,"&gt;=0"))</f>
        <v>0</v>
      </c>
    </row>
    <row r="422" spans="1:39">
      <c r="A422" s="42" t="s">
        <v>246</v>
      </c>
      <c r="B422" s="1" t="s">
        <v>20</v>
      </c>
      <c r="C422" s="40" t="str">
        <f t="shared" si="69"/>
        <v>01-&gt;</v>
      </c>
      <c r="D422" s="40" t="str">
        <f t="shared" ref="D422:D447" si="70">B422&amp;REPT(" ",$AH$70-LEN(B422))</f>
        <v xml:space="preserve">No pick yet                                                 </v>
      </c>
      <c r="E422" s="52">
        <f t="shared" ref="E422:E447" si="71">VLOOKUP(RIGHT(B422,LEN(B422)-$AH$66),$H$138:$I$420,2,0)</f>
        <v>0</v>
      </c>
      <c r="F422" s="18"/>
      <c r="M422" s="18"/>
      <c r="N422" s="18"/>
      <c r="O422" s="18"/>
      <c r="P422" s="18"/>
      <c r="Q422" s="22"/>
      <c r="R422" s="21"/>
      <c r="S422" s="21"/>
      <c r="T422" s="21"/>
      <c r="AA422"/>
      <c r="AH422" t="str">
        <f t="shared" ref="AH422:AH447" si="72">RIGHT(B422,LEN(B422)-$AH$66)</f>
        <v>k yet</v>
      </c>
    </row>
    <row r="423" spans="1:39">
      <c r="A423" s="42" t="s">
        <v>247</v>
      </c>
      <c r="B423" s="1" t="s">
        <v>20</v>
      </c>
      <c r="C423" s="40" t="str">
        <f t="shared" si="69"/>
        <v>02-&gt;</v>
      </c>
      <c r="D423" s="40" t="str">
        <f t="shared" si="70"/>
        <v xml:space="preserve">No pick yet                                                 </v>
      </c>
      <c r="E423" s="52">
        <f t="shared" si="71"/>
        <v>0</v>
      </c>
      <c r="F423" s="18"/>
      <c r="K423" s="22"/>
      <c r="N423" s="22"/>
      <c r="O423" s="22"/>
      <c r="P423" s="22"/>
      <c r="Q423" s="22"/>
      <c r="R423" s="22"/>
      <c r="S423" s="22"/>
      <c r="Z423" s="53"/>
      <c r="AA423"/>
      <c r="AH423" t="str">
        <f t="shared" si="72"/>
        <v>k yet</v>
      </c>
    </row>
    <row r="424" spans="1:39">
      <c r="A424" s="42" t="s">
        <v>248</v>
      </c>
      <c r="B424" s="1" t="s">
        <v>20</v>
      </c>
      <c r="C424" s="40" t="str">
        <f t="shared" si="69"/>
        <v>03-&gt;</v>
      </c>
      <c r="D424" s="40" t="str">
        <f t="shared" si="70"/>
        <v xml:space="preserve">No pick yet                                                 </v>
      </c>
      <c r="E424" s="52">
        <f t="shared" si="71"/>
        <v>0</v>
      </c>
      <c r="F424" s="18"/>
      <c r="L424" s="21"/>
      <c r="N424" s="22"/>
      <c r="O424" s="22"/>
      <c r="P424" s="18"/>
      <c r="Q424" s="22"/>
      <c r="R424" s="22"/>
      <c r="S424" s="22"/>
      <c r="Z424" s="53"/>
      <c r="AA424"/>
      <c r="AH424" t="str">
        <f t="shared" si="72"/>
        <v>k yet</v>
      </c>
    </row>
    <row r="425" spans="1:39">
      <c r="A425" s="42" t="s">
        <v>249</v>
      </c>
      <c r="B425" s="1" t="s">
        <v>20</v>
      </c>
      <c r="C425" s="40" t="str">
        <f t="shared" si="69"/>
        <v>04-&gt;</v>
      </c>
      <c r="D425" s="40" t="str">
        <f t="shared" si="70"/>
        <v xml:space="preserve">No pick yet                                                 </v>
      </c>
      <c r="E425" s="52">
        <f t="shared" si="71"/>
        <v>0</v>
      </c>
      <c r="F425" s="18"/>
      <c r="M425" s="18"/>
      <c r="N425" s="18"/>
      <c r="O425" s="18"/>
      <c r="P425" s="18"/>
      <c r="Q425" s="22"/>
      <c r="R425" s="21"/>
      <c r="S425" s="21"/>
      <c r="T425" s="21"/>
      <c r="AA425"/>
      <c r="AH425" t="str">
        <f t="shared" si="72"/>
        <v>k yet</v>
      </c>
    </row>
    <row r="426" spans="1:39">
      <c r="A426" s="42" t="s">
        <v>250</v>
      </c>
      <c r="B426" s="1" t="s">
        <v>20</v>
      </c>
      <c r="C426" s="40" t="str">
        <f t="shared" si="69"/>
        <v>05-&gt;</v>
      </c>
      <c r="D426" s="40" t="str">
        <f t="shared" si="70"/>
        <v xml:space="preserve">No pick yet                                                 </v>
      </c>
      <c r="E426" s="52">
        <f t="shared" si="71"/>
        <v>0</v>
      </c>
      <c r="F426" s="18"/>
      <c r="M426" s="18"/>
      <c r="N426" s="18"/>
      <c r="O426" s="18"/>
      <c r="P426" s="18"/>
      <c r="Q426" s="22"/>
      <c r="R426" s="21"/>
      <c r="S426" s="21"/>
      <c r="T426" s="21"/>
      <c r="AA426"/>
      <c r="AH426" t="str">
        <f t="shared" si="72"/>
        <v>k yet</v>
      </c>
    </row>
    <row r="427" spans="1:39">
      <c r="A427" s="42" t="s">
        <v>251</v>
      </c>
      <c r="B427" s="1" t="s">
        <v>20</v>
      </c>
      <c r="C427" s="40" t="str">
        <f t="shared" si="69"/>
        <v>06-&gt;</v>
      </c>
      <c r="D427" s="40" t="str">
        <f t="shared" si="70"/>
        <v xml:space="preserve">No pick yet                                                 </v>
      </c>
      <c r="E427" s="52">
        <f t="shared" si="71"/>
        <v>0</v>
      </c>
      <c r="F427" s="18"/>
      <c r="M427" s="18"/>
      <c r="N427" s="18"/>
      <c r="O427" s="18"/>
      <c r="P427" s="18"/>
      <c r="Q427" s="22"/>
      <c r="R427" s="21"/>
      <c r="S427" s="21"/>
      <c r="T427" s="21"/>
      <c r="AA427"/>
      <c r="AH427" t="str">
        <f t="shared" si="72"/>
        <v>k yet</v>
      </c>
    </row>
    <row r="428" spans="1:39">
      <c r="A428" s="42" t="s">
        <v>252</v>
      </c>
      <c r="B428" s="1" t="s">
        <v>20</v>
      </c>
      <c r="C428" s="40" t="str">
        <f t="shared" si="69"/>
        <v>07-&gt;</v>
      </c>
      <c r="D428" s="40" t="str">
        <f t="shared" si="70"/>
        <v xml:space="preserve">No pick yet                                                 </v>
      </c>
      <c r="E428" s="52">
        <f t="shared" si="71"/>
        <v>0</v>
      </c>
      <c r="F428" s="18"/>
      <c r="G428" s="22"/>
      <c r="I428" s="22"/>
      <c r="J428" s="22"/>
      <c r="M428" s="18"/>
      <c r="N428" s="18"/>
      <c r="O428" s="18"/>
      <c r="P428" s="18"/>
      <c r="Q428" s="22"/>
      <c r="R428" s="21"/>
      <c r="S428" s="21"/>
      <c r="T428" s="21"/>
      <c r="AA428"/>
      <c r="AH428" t="str">
        <f t="shared" si="72"/>
        <v>k yet</v>
      </c>
    </row>
    <row r="429" spans="1:39">
      <c r="A429" s="42" t="s">
        <v>253</v>
      </c>
      <c r="B429" s="1" t="s">
        <v>20</v>
      </c>
      <c r="C429" s="40" t="str">
        <f t="shared" si="69"/>
        <v>08-&gt;</v>
      </c>
      <c r="D429" s="40" t="str">
        <f t="shared" si="70"/>
        <v xml:space="preserve">No pick yet                                                 </v>
      </c>
      <c r="E429" s="52">
        <f t="shared" si="71"/>
        <v>0</v>
      </c>
      <c r="F429" s="18"/>
      <c r="H429" s="21"/>
      <c r="I429" s="22"/>
      <c r="J429" s="22"/>
      <c r="M429" s="18"/>
      <c r="N429" s="18"/>
      <c r="O429" s="18"/>
      <c r="P429" s="18"/>
      <c r="Q429" s="22"/>
      <c r="R429" s="21"/>
      <c r="S429" s="21"/>
      <c r="T429" s="21"/>
      <c r="AA429"/>
      <c r="AH429" t="str">
        <f t="shared" si="72"/>
        <v>k yet</v>
      </c>
    </row>
    <row r="430" spans="1:39">
      <c r="A430" s="42" t="s">
        <v>254</v>
      </c>
      <c r="B430" s="1" t="s">
        <v>20</v>
      </c>
      <c r="C430" s="40" t="str">
        <f t="shared" si="69"/>
        <v>09-&gt;</v>
      </c>
      <c r="D430" s="40" t="str">
        <f t="shared" si="70"/>
        <v xml:space="preserve">No pick yet                                                 </v>
      </c>
      <c r="E430" s="52">
        <f t="shared" si="71"/>
        <v>0</v>
      </c>
      <c r="F430" s="18"/>
      <c r="M430" s="18"/>
      <c r="N430" s="18"/>
      <c r="O430" s="18"/>
      <c r="P430" s="18"/>
      <c r="Q430" s="22"/>
      <c r="R430" s="21"/>
      <c r="S430" s="21"/>
      <c r="T430" s="21"/>
      <c r="AA430"/>
      <c r="AH430" t="str">
        <f t="shared" si="72"/>
        <v>k yet</v>
      </c>
    </row>
    <row r="431" spans="1:39">
      <c r="A431" s="42" t="s">
        <v>255</v>
      </c>
      <c r="B431" s="1" t="s">
        <v>20</v>
      </c>
      <c r="C431" s="40" t="str">
        <f t="shared" si="69"/>
        <v>10-&gt;</v>
      </c>
      <c r="D431" s="40" t="str">
        <f t="shared" si="70"/>
        <v xml:space="preserve">No pick yet                                                 </v>
      </c>
      <c r="E431" s="52">
        <f t="shared" si="71"/>
        <v>0</v>
      </c>
      <c r="F431" s="22"/>
      <c r="M431" s="18"/>
      <c r="N431" s="18"/>
      <c r="O431" s="18"/>
      <c r="P431" s="18"/>
      <c r="Q431" s="22"/>
      <c r="R431" s="21"/>
      <c r="S431" s="21"/>
      <c r="T431" s="21"/>
      <c r="AA431"/>
      <c r="AH431" t="str">
        <f t="shared" si="72"/>
        <v>k yet</v>
      </c>
    </row>
    <row r="432" spans="1:39">
      <c r="A432" s="42" t="s">
        <v>256</v>
      </c>
      <c r="B432" s="1" t="s">
        <v>20</v>
      </c>
      <c r="C432" s="40" t="str">
        <f t="shared" si="69"/>
        <v>11-&gt;</v>
      </c>
      <c r="D432" s="40" t="str">
        <f t="shared" si="70"/>
        <v xml:space="preserve">No pick yet                                                 </v>
      </c>
      <c r="E432" s="52">
        <f t="shared" si="71"/>
        <v>0</v>
      </c>
      <c r="M432" s="18"/>
      <c r="N432" s="18"/>
      <c r="O432" s="18"/>
      <c r="P432" s="18"/>
      <c r="Q432" s="22"/>
      <c r="R432" s="21"/>
      <c r="S432" s="21"/>
      <c r="T432" s="21"/>
      <c r="AA432"/>
      <c r="AH432" t="str">
        <f t="shared" si="72"/>
        <v>k yet</v>
      </c>
    </row>
    <row r="433" spans="1:39">
      <c r="A433" s="42" t="s">
        <v>257</v>
      </c>
      <c r="B433" s="1" t="s">
        <v>20</v>
      </c>
      <c r="C433" s="40" t="str">
        <f t="shared" si="69"/>
        <v>12-&gt;</v>
      </c>
      <c r="D433" s="40" t="str">
        <f t="shared" si="70"/>
        <v xml:space="preserve">No pick yet                                                 </v>
      </c>
      <c r="E433" s="52">
        <f t="shared" si="71"/>
        <v>0</v>
      </c>
      <c r="M433" s="18"/>
      <c r="N433" s="18"/>
      <c r="O433" s="18"/>
      <c r="P433" s="18"/>
      <c r="Q433" s="22"/>
      <c r="R433" s="21"/>
      <c r="S433" s="21"/>
      <c r="T433" s="21"/>
      <c r="AA433"/>
      <c r="AH433" t="str">
        <f t="shared" si="72"/>
        <v>k yet</v>
      </c>
    </row>
    <row r="434" spans="1:39">
      <c r="A434" s="42" t="s">
        <v>258</v>
      </c>
      <c r="B434" s="1" t="s">
        <v>20</v>
      </c>
      <c r="C434" s="40" t="str">
        <f t="shared" si="69"/>
        <v>13-&gt;</v>
      </c>
      <c r="D434" s="40" t="str">
        <f t="shared" si="70"/>
        <v xml:space="preserve">No pick yet                                                 </v>
      </c>
      <c r="E434" s="52">
        <f t="shared" si="71"/>
        <v>0</v>
      </c>
      <c r="M434" s="18"/>
      <c r="N434" s="18"/>
      <c r="O434" s="18"/>
      <c r="P434" s="18"/>
      <c r="Q434" s="22"/>
      <c r="R434" s="21"/>
      <c r="S434" s="21"/>
      <c r="T434" s="21"/>
      <c r="AA434"/>
      <c r="AH434" t="str">
        <f t="shared" si="72"/>
        <v>k yet</v>
      </c>
    </row>
    <row r="435" spans="1:39">
      <c r="A435" s="42" t="s">
        <v>259</v>
      </c>
      <c r="B435" s="1" t="s">
        <v>20</v>
      </c>
      <c r="C435" s="40" t="str">
        <f t="shared" si="69"/>
        <v>14-&gt;</v>
      </c>
      <c r="D435" s="40" t="str">
        <f t="shared" si="70"/>
        <v xml:space="preserve">No pick yet                                                 </v>
      </c>
      <c r="E435" s="52">
        <f t="shared" si="71"/>
        <v>0</v>
      </c>
      <c r="M435" s="18"/>
      <c r="N435" s="18"/>
      <c r="O435" s="18"/>
      <c r="P435" s="18"/>
      <c r="Q435" s="22"/>
      <c r="R435" s="21"/>
      <c r="S435" s="21"/>
      <c r="T435" s="21"/>
      <c r="AA435"/>
      <c r="AH435" t="str">
        <f t="shared" si="72"/>
        <v>k yet</v>
      </c>
    </row>
    <row r="436" spans="1:39">
      <c r="A436" s="42" t="s">
        <v>260</v>
      </c>
      <c r="B436" s="1" t="s">
        <v>20</v>
      </c>
      <c r="C436" s="40" t="str">
        <f t="shared" si="69"/>
        <v>15-&gt;</v>
      </c>
      <c r="D436" s="40" t="str">
        <f t="shared" si="70"/>
        <v xml:space="preserve">No pick yet                                                 </v>
      </c>
      <c r="E436" s="52">
        <f t="shared" si="71"/>
        <v>0</v>
      </c>
      <c r="M436" s="18"/>
      <c r="N436" s="18"/>
      <c r="O436" s="18"/>
      <c r="P436" s="18"/>
      <c r="Q436" s="22"/>
      <c r="R436" s="21"/>
      <c r="S436" s="21"/>
      <c r="T436" s="21"/>
      <c r="AA436"/>
      <c r="AH436" t="str">
        <f t="shared" si="72"/>
        <v>k yet</v>
      </c>
    </row>
    <row r="437" spans="1:39">
      <c r="A437" s="42" t="s">
        <v>261</v>
      </c>
      <c r="B437" s="1" t="s">
        <v>20</v>
      </c>
      <c r="C437" s="40" t="str">
        <f t="shared" si="69"/>
        <v>16-&gt;</v>
      </c>
      <c r="D437" s="40" t="str">
        <f t="shared" si="70"/>
        <v xml:space="preserve">No pick yet                                                 </v>
      </c>
      <c r="E437" s="52">
        <f t="shared" si="71"/>
        <v>0</v>
      </c>
      <c r="M437" s="18"/>
      <c r="N437" s="18"/>
      <c r="O437" s="18"/>
      <c r="P437" s="18"/>
      <c r="Q437" s="22"/>
      <c r="R437" s="21"/>
      <c r="S437" s="21"/>
      <c r="T437" s="21"/>
      <c r="AA437"/>
      <c r="AH437" t="str">
        <f t="shared" si="72"/>
        <v>k yet</v>
      </c>
    </row>
    <row r="438" spans="1:39">
      <c r="A438" s="42" t="s">
        <v>262</v>
      </c>
      <c r="B438" s="1" t="s">
        <v>20</v>
      </c>
      <c r="C438" s="40" t="str">
        <f t="shared" si="69"/>
        <v>17-&gt;</v>
      </c>
      <c r="D438" s="40" t="str">
        <f t="shared" si="70"/>
        <v xml:space="preserve">No pick yet                                                 </v>
      </c>
      <c r="E438" s="52">
        <f t="shared" si="71"/>
        <v>0</v>
      </c>
      <c r="K438" s="22"/>
      <c r="N438" s="22"/>
      <c r="O438" s="22"/>
      <c r="P438" s="22"/>
      <c r="Q438" s="22"/>
      <c r="R438" s="22"/>
      <c r="S438" s="22"/>
      <c r="Z438" s="53"/>
      <c r="AA438"/>
      <c r="AH438" t="str">
        <f t="shared" si="72"/>
        <v>k yet</v>
      </c>
    </row>
    <row r="439" spans="1:39">
      <c r="A439" s="42" t="s">
        <v>263</v>
      </c>
      <c r="B439" s="1" t="s">
        <v>20</v>
      </c>
      <c r="C439" s="40" t="str">
        <f t="shared" si="69"/>
        <v>18-&gt;</v>
      </c>
      <c r="D439" s="40" t="str">
        <f t="shared" si="70"/>
        <v xml:space="preserve">No pick yet                                                 </v>
      </c>
      <c r="E439" s="52">
        <f t="shared" si="71"/>
        <v>0</v>
      </c>
      <c r="F439" s="18"/>
      <c r="L439" s="21"/>
      <c r="N439" s="22"/>
      <c r="O439" s="22"/>
      <c r="P439" s="18"/>
      <c r="Q439" s="22"/>
      <c r="R439" s="22"/>
      <c r="S439" s="22"/>
      <c r="Z439" s="53"/>
      <c r="AA439"/>
      <c r="AH439" t="str">
        <f t="shared" si="72"/>
        <v>k yet</v>
      </c>
    </row>
    <row r="440" spans="1:39">
      <c r="A440" s="42" t="s">
        <v>264</v>
      </c>
      <c r="B440" s="1" t="s">
        <v>20</v>
      </c>
      <c r="C440" s="40" t="str">
        <f t="shared" si="69"/>
        <v>19-&gt;</v>
      </c>
      <c r="D440" s="40" t="str">
        <f t="shared" si="70"/>
        <v xml:space="preserve">No pick yet                                                 </v>
      </c>
      <c r="E440" s="52">
        <f t="shared" si="71"/>
        <v>0</v>
      </c>
      <c r="F440" s="18"/>
      <c r="M440" s="18"/>
      <c r="N440" s="18"/>
      <c r="O440" s="18"/>
      <c r="P440" s="18"/>
      <c r="Q440" s="22"/>
      <c r="R440" s="21"/>
      <c r="S440" s="21"/>
      <c r="T440" s="21"/>
      <c r="AA440"/>
      <c r="AH440" t="str">
        <f t="shared" si="72"/>
        <v>k yet</v>
      </c>
    </row>
    <row r="441" spans="1:39">
      <c r="A441" s="42" t="s">
        <v>265</v>
      </c>
      <c r="B441" s="1" t="s">
        <v>20</v>
      </c>
      <c r="C441" s="40" t="str">
        <f t="shared" si="69"/>
        <v>20-&gt;</v>
      </c>
      <c r="D441" s="40" t="str">
        <f t="shared" si="70"/>
        <v xml:space="preserve">No pick yet                                                 </v>
      </c>
      <c r="E441" s="52">
        <f t="shared" si="71"/>
        <v>0</v>
      </c>
      <c r="F441" s="18"/>
      <c r="M441" s="18"/>
      <c r="N441" s="18"/>
      <c r="O441" s="18"/>
      <c r="P441" s="18"/>
      <c r="Q441" s="22"/>
      <c r="R441" s="21"/>
      <c r="S441" s="21"/>
      <c r="T441" s="21"/>
      <c r="AA441"/>
      <c r="AH441" t="str">
        <f t="shared" si="72"/>
        <v>k yet</v>
      </c>
    </row>
    <row r="442" spans="1:39">
      <c r="A442" s="42" t="s">
        <v>266</v>
      </c>
      <c r="B442" s="1" t="s">
        <v>20</v>
      </c>
      <c r="C442" s="40" t="str">
        <f t="shared" si="69"/>
        <v>21-&gt;</v>
      </c>
      <c r="D442" s="40" t="str">
        <f t="shared" si="70"/>
        <v xml:space="preserve">No pick yet                                                 </v>
      </c>
      <c r="E442" s="52">
        <f t="shared" si="71"/>
        <v>0</v>
      </c>
      <c r="F442" s="18"/>
      <c r="M442" s="18"/>
      <c r="N442" s="18"/>
      <c r="O442" s="18"/>
      <c r="P442" s="18"/>
      <c r="Q442" s="22"/>
      <c r="R442" s="21"/>
      <c r="S442" s="21"/>
      <c r="T442" s="21"/>
      <c r="AA442"/>
      <c r="AH442" t="str">
        <f t="shared" si="72"/>
        <v>k yet</v>
      </c>
    </row>
    <row r="443" spans="1:39">
      <c r="A443" s="42" t="s">
        <v>267</v>
      </c>
      <c r="B443" s="1" t="s">
        <v>20</v>
      </c>
      <c r="C443" s="40" t="str">
        <f t="shared" si="69"/>
        <v>22-&gt;</v>
      </c>
      <c r="D443" s="40" t="str">
        <f t="shared" si="70"/>
        <v xml:space="preserve">No pick yet                                                 </v>
      </c>
      <c r="E443" s="52">
        <f t="shared" si="71"/>
        <v>0</v>
      </c>
      <c r="F443" s="18"/>
      <c r="G443" s="22"/>
      <c r="I443" s="22"/>
      <c r="J443" s="22"/>
      <c r="M443" s="18"/>
      <c r="N443" s="18"/>
      <c r="O443" s="18"/>
      <c r="P443" s="18"/>
      <c r="Q443" s="22"/>
      <c r="R443" s="21"/>
      <c r="S443" s="21"/>
      <c r="T443" s="21"/>
      <c r="AA443"/>
      <c r="AH443" t="str">
        <f t="shared" si="72"/>
        <v>k yet</v>
      </c>
    </row>
    <row r="444" spans="1:39">
      <c r="A444" s="42" t="s">
        <v>268</v>
      </c>
      <c r="B444" s="1" t="s">
        <v>20</v>
      </c>
      <c r="C444" s="40" t="str">
        <f t="shared" si="69"/>
        <v>23-&gt;</v>
      </c>
      <c r="D444" s="40" t="str">
        <f t="shared" si="70"/>
        <v xml:space="preserve">No pick yet                                                 </v>
      </c>
      <c r="E444" s="52">
        <f t="shared" si="71"/>
        <v>0</v>
      </c>
      <c r="F444" s="18"/>
      <c r="H444" s="21"/>
      <c r="I444" s="22"/>
      <c r="J444" s="22"/>
      <c r="M444" s="18"/>
      <c r="N444" s="18"/>
      <c r="O444" s="18"/>
      <c r="P444" s="18"/>
      <c r="Q444" s="22"/>
      <c r="R444" s="21"/>
      <c r="S444" s="21"/>
      <c r="T444" s="21"/>
      <c r="AA444"/>
      <c r="AH444" t="str">
        <f t="shared" si="72"/>
        <v>k yet</v>
      </c>
    </row>
    <row r="445" spans="1:39">
      <c r="A445" s="42" t="s">
        <v>269</v>
      </c>
      <c r="B445" s="1" t="s">
        <v>20</v>
      </c>
      <c r="C445" s="40" t="str">
        <f t="shared" si="69"/>
        <v>24-&gt;</v>
      </c>
      <c r="D445" s="40" t="str">
        <f t="shared" si="70"/>
        <v xml:space="preserve">No pick yet                                                 </v>
      </c>
      <c r="E445" s="52">
        <f t="shared" si="71"/>
        <v>0</v>
      </c>
      <c r="F445" s="18"/>
      <c r="M445" s="18"/>
      <c r="N445" s="18"/>
      <c r="O445" s="18"/>
      <c r="P445" s="18"/>
      <c r="Q445" s="22"/>
      <c r="R445" s="21"/>
      <c r="S445" s="21"/>
      <c r="T445" s="21"/>
      <c r="AA445"/>
      <c r="AH445" t="str">
        <f t="shared" si="72"/>
        <v>k yet</v>
      </c>
    </row>
    <row r="446" spans="1:39">
      <c r="A446" s="42" t="s">
        <v>270</v>
      </c>
      <c r="B446" s="1" t="s">
        <v>20</v>
      </c>
      <c r="C446" s="40" t="str">
        <f t="shared" si="69"/>
        <v>25-&gt;</v>
      </c>
      <c r="D446" s="40" t="str">
        <f t="shared" si="70"/>
        <v xml:space="preserve">No pick yet                                                 </v>
      </c>
      <c r="E446" s="52">
        <f t="shared" si="71"/>
        <v>0</v>
      </c>
      <c r="F446" s="18"/>
      <c r="M446" s="18"/>
      <c r="N446" s="18"/>
      <c r="O446" s="18"/>
      <c r="P446" s="18"/>
      <c r="Q446" s="22"/>
      <c r="R446" s="21"/>
      <c r="S446" s="21"/>
      <c r="T446" s="21"/>
      <c r="AA446"/>
      <c r="AH446" t="str">
        <f t="shared" si="72"/>
        <v>k yet</v>
      </c>
    </row>
    <row r="447" spans="1:39">
      <c r="A447" s="42" t="s">
        <v>271</v>
      </c>
      <c r="B447" s="1" t="s">
        <v>20</v>
      </c>
      <c r="C447" s="40" t="str">
        <f t="shared" si="69"/>
        <v>26-&gt;</v>
      </c>
      <c r="D447" s="40" t="str">
        <f t="shared" si="70"/>
        <v xml:space="preserve">No pick yet                                                 </v>
      </c>
      <c r="E447" s="52">
        <f t="shared" si="71"/>
        <v>0</v>
      </c>
      <c r="F447" s="18"/>
      <c r="M447" s="18"/>
      <c r="N447" s="18"/>
      <c r="O447" s="18"/>
      <c r="P447" s="18"/>
      <c r="Q447" s="22"/>
      <c r="R447" s="21"/>
      <c r="S447" s="21"/>
      <c r="T447" s="21"/>
      <c r="AA447"/>
      <c r="AH447" t="str">
        <f t="shared" si="72"/>
        <v>k yet</v>
      </c>
    </row>
    <row r="448" spans="1:39">
      <c r="A448" s="38"/>
      <c r="B448" s="40"/>
      <c r="C448" s="40"/>
      <c r="D448" s="49"/>
      <c r="E448" s="41" t="s">
        <v>69</v>
      </c>
      <c r="F448" s="18"/>
      <c r="K448" s="22" t="s">
        <v>73</v>
      </c>
      <c r="L448" s="18" t="s">
        <v>74</v>
      </c>
      <c r="M448" s="22" t="s">
        <v>78</v>
      </c>
      <c r="N448" s="22" t="s">
        <v>79</v>
      </c>
      <c r="O448" s="22" t="s">
        <v>80</v>
      </c>
      <c r="P448" s="22" t="s">
        <v>81</v>
      </c>
      <c r="Q448" s="22" t="s">
        <v>82</v>
      </c>
      <c r="R448" s="22" t="s">
        <v>83</v>
      </c>
      <c r="S448" s="22" t="s">
        <v>84</v>
      </c>
      <c r="T448" s="18" t="s">
        <v>85</v>
      </c>
      <c r="U448" s="18" t="s">
        <v>86</v>
      </c>
      <c r="V448" s="18" t="s">
        <v>87</v>
      </c>
      <c r="W448" s="18" t="s">
        <v>88</v>
      </c>
      <c r="X448" s="18" t="s">
        <v>89</v>
      </c>
      <c r="Y448" s="18" t="s">
        <v>90</v>
      </c>
      <c r="Z448" s="18" t="s">
        <v>91</v>
      </c>
      <c r="AA448" s="18" t="s">
        <v>92</v>
      </c>
      <c r="AB448" s="18" t="s">
        <v>93</v>
      </c>
      <c r="AC448" s="18" t="s">
        <v>94</v>
      </c>
      <c r="AD448" s="18" t="s">
        <v>235</v>
      </c>
      <c r="AE448" s="18" t="s">
        <v>236</v>
      </c>
      <c r="AF448" s="18" t="s">
        <v>237</v>
      </c>
      <c r="AG448" s="18" t="s">
        <v>238</v>
      </c>
      <c r="AH448" s="18" t="s">
        <v>239</v>
      </c>
      <c r="AI448" s="18" t="s">
        <v>240</v>
      </c>
      <c r="AJ448" s="18" t="s">
        <v>241</v>
      </c>
      <c r="AK448" s="18" t="s">
        <v>242</v>
      </c>
      <c r="AL448" s="18" t="s">
        <v>243</v>
      </c>
      <c r="AM448" s="50" t="s">
        <v>244</v>
      </c>
    </row>
    <row r="449" spans="1:39">
      <c r="A449" s="40" t="s">
        <v>245</v>
      </c>
      <c r="B449" s="51" t="str">
        <f>D15</f>
        <v/>
      </c>
      <c r="C449" s="40" t="str">
        <f t="shared" ref="C449:C475" si="73">A449</f>
        <v>#</v>
      </c>
      <c r="D449" s="40" t="str">
        <f>"   "&amp;B449&amp;REPT(" ",$AH$70-LEN(B449)-3)</f>
        <v xml:space="preserve">                                                            </v>
      </c>
      <c r="E449" s="38" t="str">
        <f>SUM(E450:E475)&amp;" pts[/b]"</f>
        <v>0 pts[/b]</v>
      </c>
      <c r="F449" s="21">
        <f>SUM(E450:E475)</f>
        <v>0</v>
      </c>
      <c r="K449" s="18">
        <f>COUNTIF(E450:E475,"&gt;0")</f>
        <v>0</v>
      </c>
      <c r="L449" s="21">
        <f>AM449-K449</f>
        <v>0</v>
      </c>
      <c r="M449" s="22">
        <f>MAX(E450:E475)</f>
        <v>0</v>
      </c>
      <c r="N449" s="22">
        <f>LARGE(E450:E475,2)</f>
        <v>0</v>
      </c>
      <c r="O449" s="22">
        <f>LARGE(E450:E475,3)</f>
        <v>0</v>
      </c>
      <c r="P449" s="18">
        <f>LARGE(E450:E475,4)</f>
        <v>0</v>
      </c>
      <c r="Q449" s="22">
        <f>LARGE(E450:E475,5)</f>
        <v>0</v>
      </c>
      <c r="R449" s="22">
        <f>LARGE(E450:E475,6)</f>
        <v>0</v>
      </c>
      <c r="S449" s="22">
        <f>LARGE(E450:E475,7)</f>
        <v>0</v>
      </c>
      <c r="T449" s="18">
        <f>LARGE(E450:E475,8)</f>
        <v>0</v>
      </c>
      <c r="U449" s="18">
        <f>LARGE(E450:E475,9)</f>
        <v>0</v>
      </c>
      <c r="V449" s="18">
        <f>LARGE(E450:E475,10)</f>
        <v>0</v>
      </c>
      <c r="W449" s="18">
        <f>LARGE(E450:E475,11)</f>
        <v>0</v>
      </c>
      <c r="X449" s="18">
        <f>LARGE(E450:E475,12)</f>
        <v>0</v>
      </c>
      <c r="Y449" s="18">
        <f>LARGE(E450:E475,13)</f>
        <v>0</v>
      </c>
      <c r="Z449" s="18">
        <f>LARGE(E450:E475,14)</f>
        <v>0</v>
      </c>
      <c r="AA449" s="18">
        <f>LARGE(E450:E475,15)</f>
        <v>0</v>
      </c>
      <c r="AB449" s="18">
        <f>LARGE(E450:E475,16)</f>
        <v>0</v>
      </c>
      <c r="AC449" s="18">
        <f>LARGE(E450:E475,17)</f>
        <v>0</v>
      </c>
      <c r="AD449" s="18">
        <f>LARGE(E450:E476,13)</f>
        <v>0</v>
      </c>
      <c r="AE449" s="18">
        <f>LARGE(E450:E475,19)</f>
        <v>0</v>
      </c>
      <c r="AF449" s="18">
        <f>LARGE(E450:E475,20)</f>
        <v>0</v>
      </c>
      <c r="AG449" s="18">
        <f>LARGE(E450:E475,21)</f>
        <v>0</v>
      </c>
      <c r="AH449" s="18">
        <f>LARGE(E450:E475,22)</f>
        <v>0</v>
      </c>
      <c r="AI449" s="18">
        <f>LARGE(E450:E475,23)</f>
        <v>0</v>
      </c>
      <c r="AJ449" s="18">
        <f>LARGE(E450:E475,24)</f>
        <v>0</v>
      </c>
      <c r="AK449" s="18">
        <f>LARGE(E450:E475,25)</f>
        <v>0</v>
      </c>
      <c r="AL449" s="18">
        <f>LARGE(E450:E475,26)</f>
        <v>0</v>
      </c>
      <c r="AM449" s="50">
        <f>COUNTIF(AH450:AH475,"&lt;&gt;"&amp;AH76)-(26-COUNTIF(E450:E475,"&gt;=0"))</f>
        <v>0</v>
      </c>
    </row>
    <row r="450" spans="1:39">
      <c r="A450" s="42" t="s">
        <v>246</v>
      </c>
      <c r="B450" s="1" t="s">
        <v>20</v>
      </c>
      <c r="C450" s="40" t="str">
        <f t="shared" si="73"/>
        <v>01-&gt;</v>
      </c>
      <c r="D450" s="40" t="str">
        <f t="shared" ref="D450:D475" si="74">B450&amp;REPT(" ",$AH$70-LEN(B450))</f>
        <v xml:space="preserve">No pick yet                                                 </v>
      </c>
      <c r="E450" s="52">
        <f t="shared" ref="E450:E475" si="75">VLOOKUP(RIGHT(B450,LEN(B450)-$AH$66),$H$138:$I$420,2,0)</f>
        <v>0</v>
      </c>
      <c r="F450" s="18"/>
      <c r="M450" s="18"/>
      <c r="N450" s="18"/>
      <c r="O450" s="18"/>
      <c r="P450" s="18"/>
      <c r="Q450" s="22"/>
      <c r="R450" s="21"/>
      <c r="S450" s="21"/>
      <c r="T450" s="21"/>
      <c r="AA450"/>
      <c r="AH450" t="str">
        <f t="shared" ref="AH450:AH475" si="76">RIGHT(B450,LEN(B450)-$AH$66)</f>
        <v>k yet</v>
      </c>
    </row>
    <row r="451" spans="1:39">
      <c r="A451" s="42" t="s">
        <v>247</v>
      </c>
      <c r="B451" s="1" t="s">
        <v>20</v>
      </c>
      <c r="C451" s="40" t="str">
        <f t="shared" si="73"/>
        <v>02-&gt;</v>
      </c>
      <c r="D451" s="40" t="str">
        <f t="shared" si="74"/>
        <v xml:space="preserve">No pick yet                                                 </v>
      </c>
      <c r="E451" s="52">
        <f t="shared" si="75"/>
        <v>0</v>
      </c>
      <c r="F451" s="18"/>
      <c r="K451" s="22"/>
      <c r="N451" s="22"/>
      <c r="O451" s="22"/>
      <c r="P451" s="22"/>
      <c r="Q451" s="22"/>
      <c r="R451" s="22"/>
      <c r="S451" s="22"/>
      <c r="Z451" s="53"/>
      <c r="AA451"/>
      <c r="AH451" t="str">
        <f t="shared" si="76"/>
        <v>k yet</v>
      </c>
    </row>
    <row r="452" spans="1:39">
      <c r="A452" s="42" t="s">
        <v>248</v>
      </c>
      <c r="B452" s="1" t="s">
        <v>20</v>
      </c>
      <c r="C452" s="40" t="str">
        <f t="shared" si="73"/>
        <v>03-&gt;</v>
      </c>
      <c r="D452" s="40" t="str">
        <f t="shared" si="74"/>
        <v xml:space="preserve">No pick yet                                                 </v>
      </c>
      <c r="E452" s="52">
        <f t="shared" si="75"/>
        <v>0</v>
      </c>
      <c r="F452" s="18"/>
      <c r="L452" s="21"/>
      <c r="N452" s="22"/>
      <c r="O452" s="22"/>
      <c r="P452" s="18"/>
      <c r="Q452" s="22"/>
      <c r="R452" s="22"/>
      <c r="S452" s="22"/>
      <c r="Z452" s="53"/>
      <c r="AA452"/>
      <c r="AH452" t="str">
        <f t="shared" si="76"/>
        <v>k yet</v>
      </c>
    </row>
    <row r="453" spans="1:39">
      <c r="A453" s="42" t="s">
        <v>249</v>
      </c>
      <c r="B453" s="1" t="s">
        <v>20</v>
      </c>
      <c r="C453" s="40" t="str">
        <f t="shared" si="73"/>
        <v>04-&gt;</v>
      </c>
      <c r="D453" s="40" t="str">
        <f t="shared" si="74"/>
        <v xml:space="preserve">No pick yet                                                 </v>
      </c>
      <c r="E453" s="52">
        <f t="shared" si="75"/>
        <v>0</v>
      </c>
      <c r="F453" s="18"/>
      <c r="M453" s="18"/>
      <c r="N453" s="18"/>
      <c r="O453" s="18"/>
      <c r="P453" s="18"/>
      <c r="Q453" s="22"/>
      <c r="R453" s="21"/>
      <c r="S453" s="21"/>
      <c r="T453" s="21"/>
      <c r="AA453"/>
      <c r="AH453" t="str">
        <f t="shared" si="76"/>
        <v>k yet</v>
      </c>
    </row>
    <row r="454" spans="1:39">
      <c r="A454" s="42" t="s">
        <v>250</v>
      </c>
      <c r="B454" s="1" t="s">
        <v>20</v>
      </c>
      <c r="C454" s="40" t="str">
        <f t="shared" si="73"/>
        <v>05-&gt;</v>
      </c>
      <c r="D454" s="40" t="str">
        <f t="shared" si="74"/>
        <v xml:space="preserve">No pick yet                                                 </v>
      </c>
      <c r="E454" s="52">
        <f t="shared" si="75"/>
        <v>0</v>
      </c>
      <c r="F454" s="18"/>
      <c r="M454" s="18"/>
      <c r="N454" s="18"/>
      <c r="O454" s="18"/>
      <c r="P454" s="18"/>
      <c r="Q454" s="22"/>
      <c r="R454" s="21"/>
      <c r="S454" s="21"/>
      <c r="T454" s="21"/>
      <c r="AA454"/>
      <c r="AH454" t="str">
        <f t="shared" si="76"/>
        <v>k yet</v>
      </c>
    </row>
    <row r="455" spans="1:39">
      <c r="A455" s="42" t="s">
        <v>251</v>
      </c>
      <c r="B455" s="1" t="s">
        <v>20</v>
      </c>
      <c r="C455" s="40" t="str">
        <f t="shared" si="73"/>
        <v>06-&gt;</v>
      </c>
      <c r="D455" s="40" t="str">
        <f t="shared" si="74"/>
        <v xml:space="preserve">No pick yet                                                 </v>
      </c>
      <c r="E455" s="52">
        <f t="shared" si="75"/>
        <v>0</v>
      </c>
      <c r="F455" s="18"/>
      <c r="M455" s="18"/>
      <c r="N455" s="18"/>
      <c r="O455" s="18"/>
      <c r="P455" s="18"/>
      <c r="Q455" s="22"/>
      <c r="R455" s="21"/>
      <c r="S455" s="21"/>
      <c r="T455" s="21"/>
      <c r="AA455"/>
      <c r="AH455" t="str">
        <f t="shared" si="76"/>
        <v>k yet</v>
      </c>
    </row>
    <row r="456" spans="1:39">
      <c r="A456" s="42" t="s">
        <v>252</v>
      </c>
      <c r="B456" s="1" t="s">
        <v>20</v>
      </c>
      <c r="C456" s="40" t="str">
        <f t="shared" si="73"/>
        <v>07-&gt;</v>
      </c>
      <c r="D456" s="40" t="str">
        <f t="shared" si="74"/>
        <v xml:space="preserve">No pick yet                                                 </v>
      </c>
      <c r="E456" s="52">
        <f t="shared" si="75"/>
        <v>0</v>
      </c>
      <c r="F456" s="18"/>
      <c r="M456" s="18"/>
      <c r="N456" s="18"/>
      <c r="O456" s="18"/>
      <c r="P456" s="18"/>
      <c r="Q456" s="22"/>
      <c r="R456" s="21"/>
      <c r="S456" s="21"/>
      <c r="T456" s="21"/>
      <c r="AA456"/>
      <c r="AH456" t="str">
        <f t="shared" si="76"/>
        <v>k yet</v>
      </c>
    </row>
    <row r="457" spans="1:39">
      <c r="A457" s="42" t="s">
        <v>253</v>
      </c>
      <c r="B457" s="1" t="s">
        <v>20</v>
      </c>
      <c r="C457" s="40" t="str">
        <f t="shared" si="73"/>
        <v>08-&gt;</v>
      </c>
      <c r="D457" s="40" t="str">
        <f t="shared" si="74"/>
        <v xml:space="preserve">No pick yet                                                 </v>
      </c>
      <c r="E457" s="52">
        <f t="shared" si="75"/>
        <v>0</v>
      </c>
      <c r="F457" s="18"/>
      <c r="M457" s="18"/>
      <c r="N457" s="18"/>
      <c r="O457" s="18"/>
      <c r="P457" s="18"/>
      <c r="Q457" s="22"/>
      <c r="R457" s="21"/>
      <c r="S457" s="21"/>
      <c r="T457" s="21"/>
      <c r="AA457"/>
      <c r="AH457" t="str">
        <f t="shared" si="76"/>
        <v>k yet</v>
      </c>
    </row>
    <row r="458" spans="1:39">
      <c r="A458" s="42" t="s">
        <v>254</v>
      </c>
      <c r="B458" s="1" t="s">
        <v>20</v>
      </c>
      <c r="C458" s="40" t="str">
        <f t="shared" si="73"/>
        <v>09-&gt;</v>
      </c>
      <c r="D458" s="40" t="str">
        <f t="shared" si="74"/>
        <v xml:space="preserve">No pick yet                                                 </v>
      </c>
      <c r="E458" s="52">
        <f t="shared" si="75"/>
        <v>0</v>
      </c>
      <c r="F458" s="18"/>
      <c r="G458" s="22"/>
      <c r="I458" s="22"/>
      <c r="J458" s="22"/>
      <c r="M458" s="18"/>
      <c r="N458" s="18"/>
      <c r="O458" s="18"/>
      <c r="P458" s="18"/>
      <c r="Q458" s="22"/>
      <c r="R458" s="21"/>
      <c r="S458" s="21"/>
      <c r="T458" s="21"/>
      <c r="AA458"/>
      <c r="AH458" t="str">
        <f t="shared" si="76"/>
        <v>k yet</v>
      </c>
    </row>
    <row r="459" spans="1:39">
      <c r="A459" s="42" t="s">
        <v>255</v>
      </c>
      <c r="B459" s="1" t="s">
        <v>20</v>
      </c>
      <c r="C459" s="40" t="str">
        <f t="shared" si="73"/>
        <v>10-&gt;</v>
      </c>
      <c r="D459" s="40" t="str">
        <f t="shared" si="74"/>
        <v xml:space="preserve">No pick yet                                                 </v>
      </c>
      <c r="E459" s="52">
        <f t="shared" si="75"/>
        <v>0</v>
      </c>
      <c r="F459" s="22"/>
      <c r="H459" s="21"/>
      <c r="I459" s="22"/>
      <c r="J459" s="22"/>
      <c r="M459" s="18"/>
      <c r="N459" s="18"/>
      <c r="O459" s="18"/>
      <c r="P459" s="18"/>
      <c r="Q459" s="22"/>
      <c r="R459" s="21"/>
      <c r="S459" s="21"/>
      <c r="T459" s="21"/>
      <c r="AA459"/>
      <c r="AH459" t="str">
        <f t="shared" si="76"/>
        <v>k yet</v>
      </c>
    </row>
    <row r="460" spans="1:39">
      <c r="A460" s="42" t="s">
        <v>256</v>
      </c>
      <c r="B460" s="1" t="s">
        <v>20</v>
      </c>
      <c r="C460" s="40" t="str">
        <f t="shared" si="73"/>
        <v>11-&gt;</v>
      </c>
      <c r="D460" s="40" t="str">
        <f t="shared" si="74"/>
        <v xml:space="preserve">No pick yet                                                 </v>
      </c>
      <c r="E460" s="52">
        <f t="shared" si="75"/>
        <v>0</v>
      </c>
      <c r="M460" s="18"/>
      <c r="N460" s="18"/>
      <c r="O460" s="18"/>
      <c r="P460" s="18"/>
      <c r="Q460" s="22"/>
      <c r="R460" s="21"/>
      <c r="S460" s="21"/>
      <c r="T460" s="21"/>
      <c r="AA460"/>
      <c r="AH460" t="str">
        <f t="shared" si="76"/>
        <v>k yet</v>
      </c>
    </row>
    <row r="461" spans="1:39">
      <c r="A461" s="42" t="s">
        <v>257</v>
      </c>
      <c r="B461" s="1" t="s">
        <v>20</v>
      </c>
      <c r="C461" s="40" t="str">
        <f t="shared" si="73"/>
        <v>12-&gt;</v>
      </c>
      <c r="D461" s="40" t="str">
        <f t="shared" si="74"/>
        <v xml:space="preserve">No pick yet                                                 </v>
      </c>
      <c r="E461" s="52">
        <f t="shared" si="75"/>
        <v>0</v>
      </c>
      <c r="M461" s="18"/>
      <c r="N461" s="18"/>
      <c r="O461" s="18"/>
      <c r="P461" s="18"/>
      <c r="Q461" s="22"/>
      <c r="R461" s="21"/>
      <c r="S461" s="21"/>
      <c r="T461" s="21"/>
      <c r="AA461"/>
      <c r="AH461" t="str">
        <f t="shared" si="76"/>
        <v>k yet</v>
      </c>
    </row>
    <row r="462" spans="1:39">
      <c r="A462" s="42" t="s">
        <v>258</v>
      </c>
      <c r="B462" s="1" t="s">
        <v>20</v>
      </c>
      <c r="C462" s="40" t="str">
        <f t="shared" si="73"/>
        <v>13-&gt;</v>
      </c>
      <c r="D462" s="40" t="str">
        <f t="shared" si="74"/>
        <v xml:space="preserve">No pick yet                                                 </v>
      </c>
      <c r="E462" s="52">
        <f t="shared" si="75"/>
        <v>0</v>
      </c>
      <c r="M462" s="18"/>
      <c r="N462" s="18"/>
      <c r="O462" s="18"/>
      <c r="P462" s="18"/>
      <c r="Q462" s="22"/>
      <c r="R462" s="21"/>
      <c r="S462" s="21"/>
      <c r="T462" s="21"/>
      <c r="AA462"/>
      <c r="AH462" t="str">
        <f t="shared" si="76"/>
        <v>k yet</v>
      </c>
    </row>
    <row r="463" spans="1:39">
      <c r="A463" s="42" t="s">
        <v>259</v>
      </c>
      <c r="B463" s="1" t="s">
        <v>20</v>
      </c>
      <c r="C463" s="40" t="str">
        <f t="shared" si="73"/>
        <v>14-&gt;</v>
      </c>
      <c r="D463" s="40" t="str">
        <f t="shared" si="74"/>
        <v xml:space="preserve">No pick yet                                                 </v>
      </c>
      <c r="E463" s="52">
        <f t="shared" si="75"/>
        <v>0</v>
      </c>
      <c r="M463" s="18"/>
      <c r="N463" s="18"/>
      <c r="O463" s="18"/>
      <c r="P463" s="18"/>
      <c r="Q463" s="22"/>
      <c r="R463" s="21"/>
      <c r="S463" s="21"/>
      <c r="T463" s="21"/>
      <c r="AA463"/>
      <c r="AH463" t="str">
        <f t="shared" si="76"/>
        <v>k yet</v>
      </c>
    </row>
    <row r="464" spans="1:39">
      <c r="A464" s="42" t="s">
        <v>260</v>
      </c>
      <c r="B464" s="1" t="s">
        <v>20</v>
      </c>
      <c r="C464" s="40" t="str">
        <f t="shared" si="73"/>
        <v>15-&gt;</v>
      </c>
      <c r="D464" s="40" t="str">
        <f t="shared" si="74"/>
        <v xml:space="preserve">No pick yet                                                 </v>
      </c>
      <c r="E464" s="52">
        <f t="shared" si="75"/>
        <v>0</v>
      </c>
      <c r="M464" s="18"/>
      <c r="N464" s="18"/>
      <c r="O464" s="18"/>
      <c r="P464" s="18"/>
      <c r="Q464" s="22"/>
      <c r="R464" s="21"/>
      <c r="S464" s="21"/>
      <c r="T464" s="21"/>
      <c r="AA464"/>
      <c r="AH464" t="str">
        <f t="shared" si="76"/>
        <v>k yet</v>
      </c>
    </row>
    <row r="465" spans="1:39">
      <c r="A465" s="42" t="s">
        <v>261</v>
      </c>
      <c r="B465" s="1" t="s">
        <v>20</v>
      </c>
      <c r="C465" s="40" t="str">
        <f t="shared" si="73"/>
        <v>16-&gt;</v>
      </c>
      <c r="D465" s="40" t="str">
        <f t="shared" si="74"/>
        <v xml:space="preserve">No pick yet                                                 </v>
      </c>
      <c r="E465" s="52">
        <f t="shared" si="75"/>
        <v>0</v>
      </c>
      <c r="M465" s="18"/>
      <c r="N465" s="18"/>
      <c r="O465" s="18"/>
      <c r="P465" s="18"/>
      <c r="Q465" s="22"/>
      <c r="R465" s="21"/>
      <c r="S465" s="21"/>
      <c r="T465" s="21"/>
      <c r="AA465"/>
      <c r="AH465" t="str">
        <f t="shared" si="76"/>
        <v>k yet</v>
      </c>
    </row>
    <row r="466" spans="1:39">
      <c r="A466" s="42" t="s">
        <v>262</v>
      </c>
      <c r="B466" s="1" t="s">
        <v>20</v>
      </c>
      <c r="C466" s="40" t="str">
        <f t="shared" si="73"/>
        <v>17-&gt;</v>
      </c>
      <c r="D466" s="40" t="str">
        <f t="shared" si="74"/>
        <v xml:space="preserve">No pick yet                                                 </v>
      </c>
      <c r="E466" s="52">
        <f t="shared" si="75"/>
        <v>0</v>
      </c>
      <c r="K466" s="22"/>
      <c r="N466" s="22"/>
      <c r="O466" s="22"/>
      <c r="P466" s="22"/>
      <c r="Q466" s="22"/>
      <c r="R466" s="22"/>
      <c r="S466" s="22"/>
      <c r="Z466" s="53"/>
      <c r="AA466"/>
      <c r="AH466" t="str">
        <f t="shared" si="76"/>
        <v>k yet</v>
      </c>
    </row>
    <row r="467" spans="1:39">
      <c r="A467" s="42" t="s">
        <v>263</v>
      </c>
      <c r="B467" s="1" t="s">
        <v>20</v>
      </c>
      <c r="C467" s="40" t="str">
        <f t="shared" si="73"/>
        <v>18-&gt;</v>
      </c>
      <c r="D467" s="40" t="str">
        <f t="shared" si="74"/>
        <v xml:space="preserve">No pick yet                                                 </v>
      </c>
      <c r="E467" s="52">
        <f t="shared" si="75"/>
        <v>0</v>
      </c>
      <c r="F467" s="18"/>
      <c r="L467" s="21"/>
      <c r="N467" s="22"/>
      <c r="O467" s="22"/>
      <c r="P467" s="18"/>
      <c r="Q467" s="22"/>
      <c r="R467" s="22"/>
      <c r="S467" s="22"/>
      <c r="Z467" s="53"/>
      <c r="AA467"/>
      <c r="AH467" t="str">
        <f t="shared" si="76"/>
        <v>k yet</v>
      </c>
    </row>
    <row r="468" spans="1:39">
      <c r="A468" s="42" t="s">
        <v>264</v>
      </c>
      <c r="B468" s="1" t="s">
        <v>20</v>
      </c>
      <c r="C468" s="40" t="str">
        <f t="shared" si="73"/>
        <v>19-&gt;</v>
      </c>
      <c r="D468" s="40" t="str">
        <f t="shared" si="74"/>
        <v xml:space="preserve">No pick yet                                                 </v>
      </c>
      <c r="E468" s="52">
        <f t="shared" si="75"/>
        <v>0</v>
      </c>
      <c r="F468" s="18"/>
      <c r="M468" s="18"/>
      <c r="N468" s="18"/>
      <c r="O468" s="18"/>
      <c r="P468" s="18"/>
      <c r="Q468" s="22"/>
      <c r="R468" s="21"/>
      <c r="S468" s="21"/>
      <c r="T468" s="21"/>
      <c r="AA468"/>
      <c r="AH468" t="str">
        <f t="shared" si="76"/>
        <v>k yet</v>
      </c>
    </row>
    <row r="469" spans="1:39">
      <c r="A469" s="42" t="s">
        <v>265</v>
      </c>
      <c r="B469" s="1" t="s">
        <v>20</v>
      </c>
      <c r="C469" s="40" t="str">
        <f t="shared" si="73"/>
        <v>20-&gt;</v>
      </c>
      <c r="D469" s="40" t="str">
        <f t="shared" si="74"/>
        <v xml:space="preserve">No pick yet                                                 </v>
      </c>
      <c r="E469" s="52">
        <f t="shared" si="75"/>
        <v>0</v>
      </c>
      <c r="F469" s="18"/>
      <c r="M469" s="18"/>
      <c r="N469" s="18"/>
      <c r="O469" s="18"/>
      <c r="P469" s="18"/>
      <c r="Q469" s="22"/>
      <c r="R469" s="21"/>
      <c r="S469" s="21"/>
      <c r="T469" s="21"/>
      <c r="AA469"/>
      <c r="AH469" t="str">
        <f t="shared" si="76"/>
        <v>k yet</v>
      </c>
    </row>
    <row r="470" spans="1:39">
      <c r="A470" s="42" t="s">
        <v>266</v>
      </c>
      <c r="B470" s="1" t="s">
        <v>20</v>
      </c>
      <c r="C470" s="40" t="str">
        <f t="shared" si="73"/>
        <v>21-&gt;</v>
      </c>
      <c r="D470" s="40" t="str">
        <f t="shared" si="74"/>
        <v xml:space="preserve">No pick yet                                                 </v>
      </c>
      <c r="E470" s="52">
        <f t="shared" si="75"/>
        <v>0</v>
      </c>
      <c r="F470" s="18"/>
      <c r="M470" s="18"/>
      <c r="N470" s="18"/>
      <c r="O470" s="18"/>
      <c r="P470" s="18"/>
      <c r="Q470" s="22"/>
      <c r="R470" s="21"/>
      <c r="S470" s="21"/>
      <c r="T470" s="21"/>
      <c r="AA470"/>
      <c r="AH470" t="str">
        <f t="shared" si="76"/>
        <v>k yet</v>
      </c>
    </row>
    <row r="471" spans="1:39">
      <c r="A471" s="42" t="s">
        <v>267</v>
      </c>
      <c r="B471" s="1" t="s">
        <v>20</v>
      </c>
      <c r="C471" s="40" t="str">
        <f t="shared" si="73"/>
        <v>22-&gt;</v>
      </c>
      <c r="D471" s="40" t="str">
        <f t="shared" si="74"/>
        <v xml:space="preserve">No pick yet                                                 </v>
      </c>
      <c r="E471" s="52">
        <f t="shared" si="75"/>
        <v>0</v>
      </c>
      <c r="F471" s="18"/>
      <c r="M471" s="18"/>
      <c r="N471" s="18"/>
      <c r="O471" s="18"/>
      <c r="P471" s="18"/>
      <c r="Q471" s="22"/>
      <c r="R471" s="21"/>
      <c r="S471" s="21"/>
      <c r="T471" s="21"/>
      <c r="AA471"/>
      <c r="AH471" t="str">
        <f t="shared" si="76"/>
        <v>k yet</v>
      </c>
    </row>
    <row r="472" spans="1:39">
      <c r="A472" s="42" t="s">
        <v>268</v>
      </c>
      <c r="B472" s="1" t="s">
        <v>20</v>
      </c>
      <c r="C472" s="40" t="str">
        <f t="shared" si="73"/>
        <v>23-&gt;</v>
      </c>
      <c r="D472" s="40" t="str">
        <f t="shared" si="74"/>
        <v xml:space="preserve">No pick yet                                                 </v>
      </c>
      <c r="E472" s="52">
        <f t="shared" si="75"/>
        <v>0</v>
      </c>
      <c r="F472" s="18"/>
      <c r="M472" s="18"/>
      <c r="N472" s="18"/>
      <c r="O472" s="18"/>
      <c r="P472" s="18"/>
      <c r="Q472" s="22"/>
      <c r="R472" s="21"/>
      <c r="S472" s="21"/>
      <c r="T472" s="21"/>
      <c r="AA472"/>
      <c r="AH472" t="str">
        <f t="shared" si="76"/>
        <v>k yet</v>
      </c>
    </row>
    <row r="473" spans="1:39">
      <c r="A473" s="42" t="s">
        <v>269</v>
      </c>
      <c r="B473" s="1" t="s">
        <v>20</v>
      </c>
      <c r="C473" s="40" t="str">
        <f t="shared" si="73"/>
        <v>24-&gt;</v>
      </c>
      <c r="D473" s="40" t="str">
        <f t="shared" si="74"/>
        <v xml:space="preserve">No pick yet                                                 </v>
      </c>
      <c r="E473" s="52">
        <f t="shared" si="75"/>
        <v>0</v>
      </c>
      <c r="F473" s="18"/>
      <c r="G473" s="22"/>
      <c r="I473" s="22"/>
      <c r="J473" s="22"/>
      <c r="M473" s="18"/>
      <c r="N473" s="18"/>
      <c r="O473" s="18"/>
      <c r="P473" s="18"/>
      <c r="Q473" s="22"/>
      <c r="R473" s="21"/>
      <c r="S473" s="21"/>
      <c r="T473" s="21"/>
      <c r="AA473"/>
      <c r="AH473" t="str">
        <f t="shared" si="76"/>
        <v>k yet</v>
      </c>
    </row>
    <row r="474" spans="1:39">
      <c r="A474" s="42" t="s">
        <v>270</v>
      </c>
      <c r="B474" s="1" t="s">
        <v>20</v>
      </c>
      <c r="C474" s="40" t="str">
        <f t="shared" si="73"/>
        <v>25-&gt;</v>
      </c>
      <c r="D474" s="40" t="str">
        <f t="shared" si="74"/>
        <v xml:space="preserve">No pick yet                                                 </v>
      </c>
      <c r="E474" s="52">
        <f t="shared" si="75"/>
        <v>0</v>
      </c>
      <c r="F474" s="18"/>
      <c r="H474" s="21"/>
      <c r="I474" s="22"/>
      <c r="J474" s="22"/>
      <c r="M474" s="18"/>
      <c r="N474" s="18"/>
      <c r="O474" s="18"/>
      <c r="P474" s="18"/>
      <c r="Q474" s="22"/>
      <c r="R474" s="21"/>
      <c r="S474" s="21"/>
      <c r="T474" s="21"/>
      <c r="AA474"/>
      <c r="AH474" t="str">
        <f t="shared" si="76"/>
        <v>k yet</v>
      </c>
    </row>
    <row r="475" spans="1:39">
      <c r="A475" s="42" t="s">
        <v>271</v>
      </c>
      <c r="B475" s="1" t="s">
        <v>20</v>
      </c>
      <c r="C475" s="40" t="str">
        <f t="shared" si="73"/>
        <v>26-&gt;</v>
      </c>
      <c r="D475" s="40" t="str">
        <f t="shared" si="74"/>
        <v xml:space="preserve">No pick yet                                                 </v>
      </c>
      <c r="E475" s="52">
        <f t="shared" si="75"/>
        <v>0</v>
      </c>
      <c r="F475" s="18"/>
      <c r="M475" s="18"/>
      <c r="N475" s="18"/>
      <c r="O475" s="18"/>
      <c r="P475" s="18"/>
      <c r="Q475" s="22"/>
      <c r="R475" s="21"/>
      <c r="S475" s="21"/>
      <c r="T475" s="21"/>
      <c r="AA475"/>
      <c r="AH475" t="str">
        <f t="shared" si="76"/>
        <v>k yet</v>
      </c>
    </row>
    <row r="476" spans="1:39">
      <c r="A476" s="38"/>
      <c r="B476" s="40"/>
      <c r="C476" s="40"/>
      <c r="D476" s="49"/>
      <c r="E476" s="41" t="s">
        <v>69</v>
      </c>
      <c r="F476" s="18"/>
      <c r="K476" s="22" t="s">
        <v>73</v>
      </c>
      <c r="L476" s="18" t="s">
        <v>74</v>
      </c>
      <c r="M476" s="22" t="s">
        <v>78</v>
      </c>
      <c r="N476" s="22" t="s">
        <v>79</v>
      </c>
      <c r="O476" s="22" t="s">
        <v>80</v>
      </c>
      <c r="P476" s="22" t="s">
        <v>81</v>
      </c>
      <c r="Q476" s="22" t="s">
        <v>82</v>
      </c>
      <c r="R476" s="22" t="s">
        <v>83</v>
      </c>
      <c r="S476" s="22" t="s">
        <v>84</v>
      </c>
      <c r="T476" s="18" t="s">
        <v>85</v>
      </c>
      <c r="U476" s="18" t="s">
        <v>86</v>
      </c>
      <c r="V476" s="18" t="s">
        <v>87</v>
      </c>
      <c r="W476" s="18" t="s">
        <v>88</v>
      </c>
      <c r="X476" s="18" t="s">
        <v>89</v>
      </c>
      <c r="Y476" s="18" t="s">
        <v>90</v>
      </c>
      <c r="Z476" s="18" t="s">
        <v>91</v>
      </c>
      <c r="AA476" s="18" t="s">
        <v>92</v>
      </c>
      <c r="AB476" s="18" t="s">
        <v>93</v>
      </c>
      <c r="AC476" s="18" t="s">
        <v>94</v>
      </c>
      <c r="AD476" s="18" t="s">
        <v>235</v>
      </c>
      <c r="AE476" s="18" t="s">
        <v>236</v>
      </c>
      <c r="AF476" s="18" t="s">
        <v>237</v>
      </c>
      <c r="AG476" s="18" t="s">
        <v>238</v>
      </c>
      <c r="AH476" s="18" t="s">
        <v>239</v>
      </c>
      <c r="AI476" s="18" t="s">
        <v>240</v>
      </c>
      <c r="AJ476" s="18" t="s">
        <v>241</v>
      </c>
      <c r="AK476" s="18" t="s">
        <v>242</v>
      </c>
      <c r="AL476" s="18" t="s">
        <v>243</v>
      </c>
      <c r="AM476" s="50" t="s">
        <v>244</v>
      </c>
    </row>
    <row r="477" spans="1:39">
      <c r="A477" s="40" t="s">
        <v>245</v>
      </c>
      <c r="B477" s="51" t="str">
        <f>D16</f>
        <v/>
      </c>
      <c r="C477" s="40" t="str">
        <f t="shared" ref="C477:C503" si="77">A477</f>
        <v>#</v>
      </c>
      <c r="D477" s="40" t="str">
        <f>"   "&amp;B477&amp;REPT(" ",$AH$70-LEN(B477)-3)</f>
        <v xml:space="preserve">                                                            </v>
      </c>
      <c r="E477" s="38" t="str">
        <f>SUM(E478:E503)&amp;" pts[/b]"</f>
        <v>0 pts[/b]</v>
      </c>
      <c r="F477" s="21">
        <f>SUM(E478:E503)</f>
        <v>0</v>
      </c>
      <c r="K477" s="18">
        <f>COUNTIF(E478:E503,"&gt;0")</f>
        <v>0</v>
      </c>
      <c r="L477" s="21">
        <f>AM477-K477</f>
        <v>0</v>
      </c>
      <c r="M477" s="22">
        <f>MAX(E478:E503)</f>
        <v>0</v>
      </c>
      <c r="N477" s="22">
        <f>LARGE(E478:E503,2)</f>
        <v>0</v>
      </c>
      <c r="O477" s="22">
        <f>LARGE(E478:E503,3)</f>
        <v>0</v>
      </c>
      <c r="P477" s="18">
        <f>LARGE(E478:E503,4)</f>
        <v>0</v>
      </c>
      <c r="Q477" s="22">
        <f>LARGE(E478:E503,5)</f>
        <v>0</v>
      </c>
      <c r="R477" s="22">
        <f>LARGE(E478:E503,6)</f>
        <v>0</v>
      </c>
      <c r="S477" s="22">
        <f>LARGE(E478:E503,7)</f>
        <v>0</v>
      </c>
      <c r="T477" s="18">
        <f>LARGE(E478:E503,8)</f>
        <v>0</v>
      </c>
      <c r="U477" s="18">
        <f>LARGE(E478:E503,9)</f>
        <v>0</v>
      </c>
      <c r="V477" s="18">
        <f>LARGE(E478:E503,10)</f>
        <v>0</v>
      </c>
      <c r="W477" s="18">
        <f>LARGE(E478:E503,11)</f>
        <v>0</v>
      </c>
      <c r="X477" s="18">
        <f>LARGE(E478:E503,12)</f>
        <v>0</v>
      </c>
      <c r="Y477" s="18">
        <f>LARGE(E478:E503,13)</f>
        <v>0</v>
      </c>
      <c r="Z477" s="18">
        <f>LARGE(E478:E503,14)</f>
        <v>0</v>
      </c>
      <c r="AA477" s="18">
        <f>LARGE(E478:E503,15)</f>
        <v>0</v>
      </c>
      <c r="AB477" s="18">
        <f>LARGE(E478:E503,16)</f>
        <v>0</v>
      </c>
      <c r="AC477" s="18">
        <f>LARGE(E478:E503,17)</f>
        <v>0</v>
      </c>
      <c r="AD477" s="18">
        <f>LARGE(E478:E504,13)</f>
        <v>0</v>
      </c>
      <c r="AE477" s="18">
        <f>LARGE(E478:E503,19)</f>
        <v>0</v>
      </c>
      <c r="AF477" s="18">
        <f>LARGE(E478:E503,20)</f>
        <v>0</v>
      </c>
      <c r="AG477" s="18">
        <f>LARGE(E478:E503,21)</f>
        <v>0</v>
      </c>
      <c r="AH477" s="18">
        <f>LARGE(E478:E503,22)</f>
        <v>0</v>
      </c>
      <c r="AI477" s="18">
        <f>LARGE(E478:E503,23)</f>
        <v>0</v>
      </c>
      <c r="AJ477" s="18">
        <f>LARGE(E478:E503,24)</f>
        <v>0</v>
      </c>
      <c r="AK477" s="18">
        <f>LARGE(E478:E503,25)</f>
        <v>0</v>
      </c>
      <c r="AL477" s="18">
        <f>LARGE(E478:E503,26)</f>
        <v>0</v>
      </c>
      <c r="AM477" s="50">
        <f>COUNTIF(AH478:AH503,"&lt;&gt;"&amp;AH76)-(26-COUNTIF(E478:E503,"&gt;=0"))</f>
        <v>0</v>
      </c>
    </row>
    <row r="478" spans="1:39">
      <c r="A478" s="42" t="s">
        <v>246</v>
      </c>
      <c r="B478" s="1" t="s">
        <v>20</v>
      </c>
      <c r="C478" s="40" t="str">
        <f t="shared" si="77"/>
        <v>01-&gt;</v>
      </c>
      <c r="D478" s="40" t="str">
        <f t="shared" ref="D478:D503" si="78">B478&amp;REPT(" ",$AH$70-LEN(B478))</f>
        <v xml:space="preserve">No pick yet                                                 </v>
      </c>
      <c r="E478" s="52">
        <f t="shared" ref="E478:E503" si="79">VLOOKUP(RIGHT(B478,LEN(B478)-$AH$66),$H$138:$I$420,2,0)</f>
        <v>0</v>
      </c>
      <c r="F478" s="18"/>
      <c r="M478" s="18"/>
      <c r="N478" s="18"/>
      <c r="O478" s="18"/>
      <c r="P478" s="18"/>
      <c r="Q478" s="22"/>
      <c r="R478" s="21"/>
      <c r="S478" s="21"/>
      <c r="T478" s="21"/>
      <c r="AA478"/>
      <c r="AH478" t="str">
        <f t="shared" ref="AH478:AH503" si="80">RIGHT(B478,LEN(B478)-$AH$66)</f>
        <v>k yet</v>
      </c>
    </row>
    <row r="479" spans="1:39">
      <c r="A479" s="42" t="s">
        <v>247</v>
      </c>
      <c r="B479" s="1" t="s">
        <v>20</v>
      </c>
      <c r="C479" s="40" t="str">
        <f t="shared" si="77"/>
        <v>02-&gt;</v>
      </c>
      <c r="D479" s="40" t="str">
        <f t="shared" si="78"/>
        <v xml:space="preserve">No pick yet                                                 </v>
      </c>
      <c r="E479" s="52">
        <f t="shared" si="79"/>
        <v>0</v>
      </c>
      <c r="F479" s="18"/>
      <c r="K479" s="22"/>
      <c r="N479" s="22"/>
      <c r="O479" s="22"/>
      <c r="P479" s="22"/>
      <c r="Q479" s="22"/>
      <c r="R479" s="22"/>
      <c r="S479" s="22"/>
      <c r="Z479" s="53"/>
      <c r="AA479"/>
      <c r="AH479" t="str">
        <f t="shared" si="80"/>
        <v>k yet</v>
      </c>
    </row>
    <row r="480" spans="1:39">
      <c r="A480" s="42" t="s">
        <v>248</v>
      </c>
      <c r="B480" s="1" t="s">
        <v>20</v>
      </c>
      <c r="C480" s="40" t="str">
        <f t="shared" si="77"/>
        <v>03-&gt;</v>
      </c>
      <c r="D480" s="40" t="str">
        <f t="shared" si="78"/>
        <v xml:space="preserve">No pick yet                                                 </v>
      </c>
      <c r="E480" s="52">
        <f t="shared" si="79"/>
        <v>0</v>
      </c>
      <c r="F480" s="18"/>
      <c r="L480" s="21"/>
      <c r="N480" s="22"/>
      <c r="O480" s="22"/>
      <c r="P480" s="18"/>
      <c r="Q480" s="22"/>
      <c r="R480" s="22"/>
      <c r="S480" s="22"/>
      <c r="Z480" s="53"/>
      <c r="AA480"/>
      <c r="AH480" t="str">
        <f t="shared" si="80"/>
        <v>k yet</v>
      </c>
    </row>
    <row r="481" spans="1:34">
      <c r="A481" s="42" t="s">
        <v>249</v>
      </c>
      <c r="B481" s="1" t="s">
        <v>20</v>
      </c>
      <c r="C481" s="40" t="str">
        <f t="shared" si="77"/>
        <v>04-&gt;</v>
      </c>
      <c r="D481" s="40" t="str">
        <f t="shared" si="78"/>
        <v xml:space="preserve">No pick yet                                                 </v>
      </c>
      <c r="E481" s="52">
        <f t="shared" si="79"/>
        <v>0</v>
      </c>
      <c r="F481" s="18"/>
      <c r="M481" s="18"/>
      <c r="N481" s="18"/>
      <c r="O481" s="18"/>
      <c r="P481" s="18"/>
      <c r="Q481" s="22"/>
      <c r="R481" s="21"/>
      <c r="S481" s="21"/>
      <c r="T481" s="21"/>
      <c r="AA481"/>
      <c r="AH481" t="str">
        <f t="shared" si="80"/>
        <v>k yet</v>
      </c>
    </row>
    <row r="482" spans="1:34">
      <c r="A482" s="42" t="s">
        <v>250</v>
      </c>
      <c r="B482" s="1" t="s">
        <v>20</v>
      </c>
      <c r="C482" s="40" t="str">
        <f t="shared" si="77"/>
        <v>05-&gt;</v>
      </c>
      <c r="D482" s="40" t="str">
        <f t="shared" si="78"/>
        <v xml:space="preserve">No pick yet                                                 </v>
      </c>
      <c r="E482" s="52">
        <f t="shared" si="79"/>
        <v>0</v>
      </c>
      <c r="F482" s="18"/>
      <c r="M482" s="18"/>
      <c r="N482" s="18"/>
      <c r="O482" s="18"/>
      <c r="P482" s="18"/>
      <c r="Q482" s="22"/>
      <c r="R482" s="21"/>
      <c r="S482" s="21"/>
      <c r="T482" s="21"/>
      <c r="AA482"/>
      <c r="AH482" t="str">
        <f t="shared" si="80"/>
        <v>k yet</v>
      </c>
    </row>
    <row r="483" spans="1:34">
      <c r="A483" s="42" t="s">
        <v>251</v>
      </c>
      <c r="B483" s="1" t="s">
        <v>20</v>
      </c>
      <c r="C483" s="40" t="str">
        <f t="shared" si="77"/>
        <v>06-&gt;</v>
      </c>
      <c r="D483" s="40" t="str">
        <f t="shared" si="78"/>
        <v xml:space="preserve">No pick yet                                                 </v>
      </c>
      <c r="E483" s="52">
        <f t="shared" si="79"/>
        <v>0</v>
      </c>
      <c r="F483" s="18"/>
      <c r="M483" s="18"/>
      <c r="N483" s="18"/>
      <c r="O483" s="18"/>
      <c r="P483" s="18"/>
      <c r="Q483" s="22"/>
      <c r="R483" s="21"/>
      <c r="S483" s="21"/>
      <c r="T483" s="21"/>
      <c r="AA483"/>
      <c r="AH483" t="str">
        <f t="shared" si="80"/>
        <v>k yet</v>
      </c>
    </row>
    <row r="484" spans="1:34">
      <c r="A484" s="42" t="s">
        <v>252</v>
      </c>
      <c r="B484" s="1" t="s">
        <v>20</v>
      </c>
      <c r="C484" s="40" t="str">
        <f t="shared" si="77"/>
        <v>07-&gt;</v>
      </c>
      <c r="D484" s="40" t="str">
        <f t="shared" si="78"/>
        <v xml:space="preserve">No pick yet                                                 </v>
      </c>
      <c r="E484" s="52">
        <f t="shared" si="79"/>
        <v>0</v>
      </c>
      <c r="F484" s="18"/>
      <c r="M484" s="18"/>
      <c r="N484" s="18"/>
      <c r="O484" s="18"/>
      <c r="P484" s="18"/>
      <c r="Q484" s="22"/>
      <c r="R484" s="21"/>
      <c r="S484" s="21"/>
      <c r="T484" s="21"/>
      <c r="AA484"/>
      <c r="AH484" t="str">
        <f t="shared" si="80"/>
        <v>k yet</v>
      </c>
    </row>
    <row r="485" spans="1:34">
      <c r="A485" s="42" t="s">
        <v>253</v>
      </c>
      <c r="B485" s="1" t="s">
        <v>20</v>
      </c>
      <c r="C485" s="40" t="str">
        <f t="shared" si="77"/>
        <v>08-&gt;</v>
      </c>
      <c r="D485" s="40" t="str">
        <f t="shared" si="78"/>
        <v xml:space="preserve">No pick yet                                                 </v>
      </c>
      <c r="E485" s="52">
        <f t="shared" si="79"/>
        <v>0</v>
      </c>
      <c r="F485" s="18"/>
      <c r="M485" s="18"/>
      <c r="N485" s="18"/>
      <c r="O485" s="18"/>
      <c r="P485" s="18"/>
      <c r="Q485" s="22"/>
      <c r="R485" s="21"/>
      <c r="S485" s="21"/>
      <c r="T485" s="21"/>
      <c r="AA485"/>
      <c r="AH485" t="str">
        <f t="shared" si="80"/>
        <v>k yet</v>
      </c>
    </row>
    <row r="486" spans="1:34">
      <c r="A486" s="42" t="s">
        <v>254</v>
      </c>
      <c r="B486" s="1" t="s">
        <v>20</v>
      </c>
      <c r="C486" s="40" t="str">
        <f t="shared" si="77"/>
        <v>09-&gt;</v>
      </c>
      <c r="D486" s="40" t="str">
        <f t="shared" si="78"/>
        <v xml:space="preserve">No pick yet                                                 </v>
      </c>
      <c r="E486" s="52">
        <f t="shared" si="79"/>
        <v>0</v>
      </c>
      <c r="F486" s="18"/>
      <c r="M486" s="18"/>
      <c r="N486" s="18"/>
      <c r="O486" s="18"/>
      <c r="P486" s="18"/>
      <c r="Q486" s="22"/>
      <c r="R486" s="21"/>
      <c r="S486" s="21"/>
      <c r="T486" s="21"/>
      <c r="AA486"/>
      <c r="AH486" t="str">
        <f t="shared" si="80"/>
        <v>k yet</v>
      </c>
    </row>
    <row r="487" spans="1:34">
      <c r="A487" s="42" t="s">
        <v>255</v>
      </c>
      <c r="B487" s="1" t="s">
        <v>20</v>
      </c>
      <c r="C487" s="40" t="str">
        <f t="shared" si="77"/>
        <v>10-&gt;</v>
      </c>
      <c r="D487" s="40" t="str">
        <f t="shared" si="78"/>
        <v xml:space="preserve">No pick yet                                                 </v>
      </c>
      <c r="E487" s="52">
        <f t="shared" si="79"/>
        <v>0</v>
      </c>
      <c r="F487" s="22"/>
      <c r="M487" s="18"/>
      <c r="N487" s="18"/>
      <c r="O487" s="18"/>
      <c r="P487" s="18"/>
      <c r="Q487" s="22"/>
      <c r="R487" s="21"/>
      <c r="S487" s="21"/>
      <c r="T487" s="21"/>
      <c r="AA487"/>
      <c r="AH487" t="str">
        <f t="shared" si="80"/>
        <v>k yet</v>
      </c>
    </row>
    <row r="488" spans="1:34">
      <c r="A488" s="42" t="s">
        <v>256</v>
      </c>
      <c r="B488" s="1" t="s">
        <v>20</v>
      </c>
      <c r="C488" s="40" t="str">
        <f t="shared" si="77"/>
        <v>11-&gt;</v>
      </c>
      <c r="D488" s="40" t="str">
        <f t="shared" si="78"/>
        <v xml:space="preserve">No pick yet                                                 </v>
      </c>
      <c r="E488" s="52">
        <f t="shared" si="79"/>
        <v>0</v>
      </c>
      <c r="G488" s="22"/>
      <c r="I488" s="22"/>
      <c r="J488" s="22"/>
      <c r="M488" s="18"/>
      <c r="N488" s="18"/>
      <c r="O488" s="18"/>
      <c r="P488" s="18"/>
      <c r="Q488" s="22"/>
      <c r="R488" s="21"/>
      <c r="S488" s="21"/>
      <c r="T488" s="21"/>
      <c r="AA488"/>
      <c r="AH488" t="str">
        <f t="shared" si="80"/>
        <v>k yet</v>
      </c>
    </row>
    <row r="489" spans="1:34">
      <c r="A489" s="42" t="s">
        <v>257</v>
      </c>
      <c r="B489" s="1" t="s">
        <v>20</v>
      </c>
      <c r="C489" s="40" t="str">
        <f t="shared" si="77"/>
        <v>12-&gt;</v>
      </c>
      <c r="D489" s="40" t="str">
        <f t="shared" si="78"/>
        <v xml:space="preserve">No pick yet                                                 </v>
      </c>
      <c r="E489" s="52">
        <f t="shared" si="79"/>
        <v>0</v>
      </c>
      <c r="H489" s="21"/>
      <c r="I489" s="22"/>
      <c r="J489" s="22"/>
      <c r="M489" s="18"/>
      <c r="N489" s="18"/>
      <c r="O489" s="18"/>
      <c r="P489" s="18"/>
      <c r="Q489" s="22"/>
      <c r="R489" s="21"/>
      <c r="S489" s="21"/>
      <c r="T489" s="21"/>
      <c r="AA489"/>
      <c r="AH489" t="str">
        <f t="shared" si="80"/>
        <v>k yet</v>
      </c>
    </row>
    <row r="490" spans="1:34">
      <c r="A490" s="42" t="s">
        <v>258</v>
      </c>
      <c r="B490" s="1" t="s">
        <v>20</v>
      </c>
      <c r="C490" s="40" t="str">
        <f t="shared" si="77"/>
        <v>13-&gt;</v>
      </c>
      <c r="D490" s="40" t="str">
        <f t="shared" si="78"/>
        <v xml:space="preserve">No pick yet                                                 </v>
      </c>
      <c r="E490" s="52">
        <f t="shared" si="79"/>
        <v>0</v>
      </c>
      <c r="M490" s="18"/>
      <c r="N490" s="18"/>
      <c r="O490" s="18"/>
      <c r="P490" s="18"/>
      <c r="Q490" s="22"/>
      <c r="R490" s="21"/>
      <c r="S490" s="21"/>
      <c r="T490" s="21"/>
      <c r="AA490"/>
      <c r="AH490" t="str">
        <f t="shared" si="80"/>
        <v>k yet</v>
      </c>
    </row>
    <row r="491" spans="1:34">
      <c r="A491" s="42" t="s">
        <v>259</v>
      </c>
      <c r="B491" s="1" t="s">
        <v>20</v>
      </c>
      <c r="C491" s="40" t="str">
        <f t="shared" si="77"/>
        <v>14-&gt;</v>
      </c>
      <c r="D491" s="40" t="str">
        <f t="shared" si="78"/>
        <v xml:space="preserve">No pick yet                                                 </v>
      </c>
      <c r="E491" s="52">
        <f t="shared" si="79"/>
        <v>0</v>
      </c>
      <c r="M491" s="18"/>
      <c r="N491" s="18"/>
      <c r="O491" s="18"/>
      <c r="P491" s="18"/>
      <c r="Q491" s="22"/>
      <c r="R491" s="21"/>
      <c r="S491" s="21"/>
      <c r="T491" s="21"/>
      <c r="AA491"/>
      <c r="AH491" t="str">
        <f t="shared" si="80"/>
        <v>k yet</v>
      </c>
    </row>
    <row r="492" spans="1:34">
      <c r="A492" s="42" t="s">
        <v>260</v>
      </c>
      <c r="B492" s="1" t="s">
        <v>20</v>
      </c>
      <c r="C492" s="40" t="str">
        <f t="shared" si="77"/>
        <v>15-&gt;</v>
      </c>
      <c r="D492" s="40" t="str">
        <f t="shared" si="78"/>
        <v xml:space="preserve">No pick yet                                                 </v>
      </c>
      <c r="E492" s="52">
        <f t="shared" si="79"/>
        <v>0</v>
      </c>
      <c r="M492" s="18"/>
      <c r="N492" s="18"/>
      <c r="O492" s="18"/>
      <c r="P492" s="18"/>
      <c r="Q492" s="22"/>
      <c r="R492" s="21"/>
      <c r="S492" s="21"/>
      <c r="T492" s="21"/>
      <c r="AA492"/>
      <c r="AH492" t="str">
        <f t="shared" si="80"/>
        <v>k yet</v>
      </c>
    </row>
    <row r="493" spans="1:34">
      <c r="A493" s="42" t="s">
        <v>261</v>
      </c>
      <c r="B493" s="1" t="s">
        <v>20</v>
      </c>
      <c r="C493" s="40" t="str">
        <f t="shared" si="77"/>
        <v>16-&gt;</v>
      </c>
      <c r="D493" s="40" t="str">
        <f t="shared" si="78"/>
        <v xml:space="preserve">No pick yet                                                 </v>
      </c>
      <c r="E493" s="52">
        <f t="shared" si="79"/>
        <v>0</v>
      </c>
      <c r="M493" s="18"/>
      <c r="N493" s="18"/>
      <c r="O493" s="18"/>
      <c r="P493" s="18"/>
      <c r="Q493" s="22"/>
      <c r="R493" s="21"/>
      <c r="S493" s="21"/>
      <c r="T493" s="21"/>
      <c r="AA493"/>
      <c r="AH493" t="str">
        <f t="shared" si="80"/>
        <v>k yet</v>
      </c>
    </row>
    <row r="494" spans="1:34">
      <c r="A494" s="42" t="s">
        <v>262</v>
      </c>
      <c r="B494" s="1" t="s">
        <v>20</v>
      </c>
      <c r="C494" s="40" t="str">
        <f t="shared" si="77"/>
        <v>17-&gt;</v>
      </c>
      <c r="D494" s="40" t="str">
        <f t="shared" si="78"/>
        <v xml:space="preserve">No pick yet                                                 </v>
      </c>
      <c r="E494" s="52">
        <f t="shared" si="79"/>
        <v>0</v>
      </c>
      <c r="K494" s="22"/>
      <c r="N494" s="22"/>
      <c r="O494" s="22"/>
      <c r="P494" s="22"/>
      <c r="Q494" s="22"/>
      <c r="R494" s="22"/>
      <c r="S494" s="22"/>
      <c r="Z494" s="53"/>
      <c r="AA494"/>
      <c r="AH494" t="str">
        <f t="shared" si="80"/>
        <v>k yet</v>
      </c>
    </row>
    <row r="495" spans="1:34">
      <c r="A495" s="42" t="s">
        <v>263</v>
      </c>
      <c r="B495" s="1" t="s">
        <v>20</v>
      </c>
      <c r="C495" s="40" t="str">
        <f t="shared" si="77"/>
        <v>18-&gt;</v>
      </c>
      <c r="D495" s="40" t="str">
        <f t="shared" si="78"/>
        <v xml:space="preserve">No pick yet                                                 </v>
      </c>
      <c r="E495" s="52">
        <f t="shared" si="79"/>
        <v>0</v>
      </c>
      <c r="F495" s="18"/>
      <c r="L495" s="21"/>
      <c r="N495" s="22"/>
      <c r="O495" s="22"/>
      <c r="P495" s="18"/>
      <c r="Q495" s="22"/>
      <c r="R495" s="22"/>
      <c r="S495" s="22"/>
      <c r="Z495" s="53"/>
      <c r="AA495"/>
      <c r="AH495" t="str">
        <f t="shared" si="80"/>
        <v>k yet</v>
      </c>
    </row>
    <row r="496" spans="1:34">
      <c r="A496" s="42" t="s">
        <v>264</v>
      </c>
      <c r="B496" s="1" t="s">
        <v>20</v>
      </c>
      <c r="C496" s="40" t="str">
        <f t="shared" si="77"/>
        <v>19-&gt;</v>
      </c>
      <c r="D496" s="40" t="str">
        <f t="shared" si="78"/>
        <v xml:space="preserve">No pick yet                                                 </v>
      </c>
      <c r="E496" s="52">
        <f t="shared" si="79"/>
        <v>0</v>
      </c>
      <c r="F496" s="18"/>
      <c r="M496" s="18"/>
      <c r="N496" s="18"/>
      <c r="O496" s="18"/>
      <c r="P496" s="18"/>
      <c r="Q496" s="22"/>
      <c r="R496" s="21"/>
      <c r="S496" s="21"/>
      <c r="T496" s="21"/>
      <c r="AA496"/>
      <c r="AH496" t="str">
        <f t="shared" si="80"/>
        <v>k yet</v>
      </c>
    </row>
    <row r="497" spans="1:39">
      <c r="A497" s="42" t="s">
        <v>265</v>
      </c>
      <c r="B497" s="1" t="s">
        <v>20</v>
      </c>
      <c r="C497" s="40" t="str">
        <f t="shared" si="77"/>
        <v>20-&gt;</v>
      </c>
      <c r="D497" s="40" t="str">
        <f t="shared" si="78"/>
        <v xml:space="preserve">No pick yet                                                 </v>
      </c>
      <c r="E497" s="52">
        <f t="shared" si="79"/>
        <v>0</v>
      </c>
      <c r="F497" s="18"/>
      <c r="M497" s="18"/>
      <c r="N497" s="18"/>
      <c r="O497" s="18"/>
      <c r="P497" s="18"/>
      <c r="Q497" s="22"/>
      <c r="R497" s="21"/>
      <c r="S497" s="21"/>
      <c r="T497" s="21"/>
      <c r="AA497"/>
      <c r="AH497" t="str">
        <f t="shared" si="80"/>
        <v>k yet</v>
      </c>
    </row>
    <row r="498" spans="1:39">
      <c r="A498" s="42" t="s">
        <v>266</v>
      </c>
      <c r="B498" s="1" t="s">
        <v>20</v>
      </c>
      <c r="C498" s="40" t="str">
        <f t="shared" si="77"/>
        <v>21-&gt;</v>
      </c>
      <c r="D498" s="40" t="str">
        <f t="shared" si="78"/>
        <v xml:space="preserve">No pick yet                                                 </v>
      </c>
      <c r="E498" s="52">
        <f t="shared" si="79"/>
        <v>0</v>
      </c>
      <c r="F498" s="18"/>
      <c r="M498" s="18"/>
      <c r="N498" s="18"/>
      <c r="O498" s="18"/>
      <c r="P498" s="18"/>
      <c r="Q498" s="22"/>
      <c r="R498" s="21"/>
      <c r="S498" s="21"/>
      <c r="T498" s="21"/>
      <c r="AA498"/>
      <c r="AH498" t="str">
        <f t="shared" si="80"/>
        <v>k yet</v>
      </c>
    </row>
    <row r="499" spans="1:39">
      <c r="A499" s="42" t="s">
        <v>267</v>
      </c>
      <c r="B499" s="1" t="s">
        <v>20</v>
      </c>
      <c r="C499" s="40" t="str">
        <f t="shared" si="77"/>
        <v>22-&gt;</v>
      </c>
      <c r="D499" s="40" t="str">
        <f t="shared" si="78"/>
        <v xml:space="preserve">No pick yet                                                 </v>
      </c>
      <c r="E499" s="52">
        <f t="shared" si="79"/>
        <v>0</v>
      </c>
      <c r="F499" s="18"/>
      <c r="M499" s="18"/>
      <c r="N499" s="18"/>
      <c r="O499" s="18"/>
      <c r="P499" s="18"/>
      <c r="Q499" s="22"/>
      <c r="R499" s="21"/>
      <c r="S499" s="21"/>
      <c r="T499" s="21"/>
      <c r="AA499"/>
      <c r="AH499" t="str">
        <f t="shared" si="80"/>
        <v>k yet</v>
      </c>
    </row>
    <row r="500" spans="1:39">
      <c r="A500" s="42" t="s">
        <v>268</v>
      </c>
      <c r="B500" s="1" t="s">
        <v>20</v>
      </c>
      <c r="C500" s="40" t="str">
        <f t="shared" si="77"/>
        <v>23-&gt;</v>
      </c>
      <c r="D500" s="40" t="str">
        <f t="shared" si="78"/>
        <v xml:space="preserve">No pick yet                                                 </v>
      </c>
      <c r="E500" s="52">
        <f t="shared" si="79"/>
        <v>0</v>
      </c>
      <c r="F500" s="18"/>
      <c r="M500" s="18"/>
      <c r="N500" s="18"/>
      <c r="O500" s="18"/>
      <c r="P500" s="18"/>
      <c r="Q500" s="22"/>
      <c r="R500" s="21"/>
      <c r="S500" s="21"/>
      <c r="T500" s="21"/>
      <c r="AA500"/>
      <c r="AH500" t="str">
        <f t="shared" si="80"/>
        <v>k yet</v>
      </c>
    </row>
    <row r="501" spans="1:39">
      <c r="A501" s="42" t="s">
        <v>269</v>
      </c>
      <c r="B501" s="1" t="s">
        <v>20</v>
      </c>
      <c r="C501" s="40" t="str">
        <f t="shared" si="77"/>
        <v>24-&gt;</v>
      </c>
      <c r="D501" s="40" t="str">
        <f t="shared" si="78"/>
        <v xml:space="preserve">No pick yet                                                 </v>
      </c>
      <c r="E501" s="52">
        <f t="shared" si="79"/>
        <v>0</v>
      </c>
      <c r="F501" s="18"/>
      <c r="M501" s="18"/>
      <c r="N501" s="18"/>
      <c r="O501" s="18"/>
      <c r="P501" s="18"/>
      <c r="Q501" s="22"/>
      <c r="R501" s="21"/>
      <c r="S501" s="21"/>
      <c r="T501" s="21"/>
      <c r="AA501"/>
      <c r="AH501" t="str">
        <f t="shared" si="80"/>
        <v>k yet</v>
      </c>
    </row>
    <row r="502" spans="1:39">
      <c r="A502" s="42" t="s">
        <v>270</v>
      </c>
      <c r="B502" s="1" t="s">
        <v>20</v>
      </c>
      <c r="C502" s="40" t="str">
        <f t="shared" si="77"/>
        <v>25-&gt;</v>
      </c>
      <c r="D502" s="40" t="str">
        <f t="shared" si="78"/>
        <v xml:space="preserve">No pick yet                                                 </v>
      </c>
      <c r="E502" s="52">
        <f t="shared" si="79"/>
        <v>0</v>
      </c>
      <c r="F502" s="18"/>
      <c r="M502" s="18"/>
      <c r="N502" s="18"/>
      <c r="O502" s="18"/>
      <c r="P502" s="18"/>
      <c r="Q502" s="22"/>
      <c r="R502" s="21"/>
      <c r="S502" s="21"/>
      <c r="T502" s="21"/>
      <c r="AA502"/>
      <c r="AH502" t="str">
        <f t="shared" si="80"/>
        <v>k yet</v>
      </c>
    </row>
    <row r="503" spans="1:39">
      <c r="A503" s="42" t="s">
        <v>271</v>
      </c>
      <c r="B503" s="1" t="s">
        <v>20</v>
      </c>
      <c r="C503" s="40" t="str">
        <f t="shared" si="77"/>
        <v>26-&gt;</v>
      </c>
      <c r="D503" s="40" t="str">
        <f t="shared" si="78"/>
        <v xml:space="preserve">No pick yet                                                 </v>
      </c>
      <c r="E503" s="52">
        <f t="shared" si="79"/>
        <v>0</v>
      </c>
      <c r="F503" s="18"/>
      <c r="G503" s="22"/>
      <c r="I503" s="22"/>
      <c r="J503" s="22"/>
      <c r="M503" s="18"/>
      <c r="N503" s="18"/>
      <c r="O503" s="18"/>
      <c r="P503" s="18"/>
      <c r="Q503" s="22"/>
      <c r="R503" s="21"/>
      <c r="S503" s="21"/>
      <c r="T503" s="21"/>
      <c r="AA503"/>
      <c r="AH503" t="str">
        <f t="shared" si="80"/>
        <v>k yet</v>
      </c>
    </row>
    <row r="504" spans="1:39">
      <c r="A504" s="38"/>
      <c r="B504" s="40"/>
      <c r="C504" s="40"/>
      <c r="D504" s="49"/>
      <c r="E504" s="41" t="s">
        <v>69</v>
      </c>
      <c r="F504" s="18"/>
      <c r="H504" s="21"/>
      <c r="I504" s="22"/>
      <c r="J504" s="22"/>
      <c r="K504" s="22" t="s">
        <v>73</v>
      </c>
      <c r="L504" s="18" t="s">
        <v>74</v>
      </c>
      <c r="M504" s="22" t="s">
        <v>78</v>
      </c>
      <c r="N504" s="22" t="s">
        <v>79</v>
      </c>
      <c r="O504" s="22" t="s">
        <v>80</v>
      </c>
      <c r="P504" s="22" t="s">
        <v>81</v>
      </c>
      <c r="Q504" s="22" t="s">
        <v>82</v>
      </c>
      <c r="R504" s="22" t="s">
        <v>83</v>
      </c>
      <c r="S504" s="22" t="s">
        <v>84</v>
      </c>
      <c r="T504" s="18" t="s">
        <v>85</v>
      </c>
      <c r="U504" s="18" t="s">
        <v>86</v>
      </c>
      <c r="V504" s="18" t="s">
        <v>87</v>
      </c>
      <c r="W504" s="18" t="s">
        <v>88</v>
      </c>
      <c r="X504" s="18" t="s">
        <v>89</v>
      </c>
      <c r="Y504" s="18" t="s">
        <v>90</v>
      </c>
      <c r="Z504" s="18" t="s">
        <v>91</v>
      </c>
      <c r="AA504" s="18" t="s">
        <v>92</v>
      </c>
      <c r="AB504" s="18" t="s">
        <v>93</v>
      </c>
      <c r="AC504" s="18" t="s">
        <v>94</v>
      </c>
      <c r="AD504" s="18" t="s">
        <v>235</v>
      </c>
      <c r="AE504" s="18" t="s">
        <v>236</v>
      </c>
      <c r="AF504" s="18" t="s">
        <v>237</v>
      </c>
      <c r="AG504" s="18" t="s">
        <v>238</v>
      </c>
      <c r="AH504" s="18" t="s">
        <v>239</v>
      </c>
      <c r="AI504" s="18" t="s">
        <v>240</v>
      </c>
      <c r="AJ504" s="18" t="s">
        <v>241</v>
      </c>
      <c r="AK504" s="18" t="s">
        <v>242</v>
      </c>
      <c r="AL504" s="18" t="s">
        <v>243</v>
      </c>
      <c r="AM504" s="50" t="s">
        <v>244</v>
      </c>
    </row>
    <row r="505" spans="1:39">
      <c r="A505" s="40" t="s">
        <v>245</v>
      </c>
      <c r="B505" s="51" t="str">
        <f>D17</f>
        <v/>
      </c>
      <c r="C505" s="40" t="str">
        <f t="shared" ref="C505:C531" si="81">A505</f>
        <v>#</v>
      </c>
      <c r="D505" s="40" t="str">
        <f>"   "&amp;B505&amp;REPT(" ",$AH$70-LEN(B505)-3)</f>
        <v xml:space="preserve">                                                            </v>
      </c>
      <c r="E505" s="38" t="str">
        <f>SUM(E506:E531)&amp;" pts[/b]"</f>
        <v>0 pts[/b]</v>
      </c>
      <c r="F505" s="21">
        <f>SUM(E506:E531)</f>
        <v>0</v>
      </c>
      <c r="K505" s="18">
        <f>COUNTIF(E506:E531,"&gt;0")</f>
        <v>0</v>
      </c>
      <c r="L505" s="21">
        <f>AM505-K505</f>
        <v>0</v>
      </c>
      <c r="M505" s="22">
        <f>MAX(E506:E531)</f>
        <v>0</v>
      </c>
      <c r="N505" s="22">
        <f>LARGE(E506:E531,2)</f>
        <v>0</v>
      </c>
      <c r="O505" s="22">
        <f>LARGE(E506:E531,3)</f>
        <v>0</v>
      </c>
      <c r="P505" s="18">
        <f>LARGE(E506:E531,4)</f>
        <v>0</v>
      </c>
      <c r="Q505" s="22">
        <f>LARGE(E506:E531,5)</f>
        <v>0</v>
      </c>
      <c r="R505" s="22">
        <f>LARGE(E506:E531,6)</f>
        <v>0</v>
      </c>
      <c r="S505" s="22">
        <f>LARGE(E506:E531,7)</f>
        <v>0</v>
      </c>
      <c r="T505" s="18">
        <f>LARGE(E506:E531,8)</f>
        <v>0</v>
      </c>
      <c r="U505" s="18">
        <f>LARGE(E506:E531,9)</f>
        <v>0</v>
      </c>
      <c r="V505" s="18">
        <f>LARGE(E506:E531,10)</f>
        <v>0</v>
      </c>
      <c r="W505" s="18">
        <f>LARGE(E506:E531,11)</f>
        <v>0</v>
      </c>
      <c r="X505" s="18">
        <f>LARGE(E506:E531,12)</f>
        <v>0</v>
      </c>
      <c r="Y505" s="18">
        <f>LARGE(E506:E531,13)</f>
        <v>0</v>
      </c>
      <c r="Z505" s="18">
        <f>LARGE(E506:E531,14)</f>
        <v>0</v>
      </c>
      <c r="AA505" s="18">
        <f>LARGE(E506:E531,15)</f>
        <v>0</v>
      </c>
      <c r="AB505" s="18">
        <f>LARGE(E506:E531,16)</f>
        <v>0</v>
      </c>
      <c r="AC505" s="18">
        <f>LARGE(E506:E531,17)</f>
        <v>0</v>
      </c>
      <c r="AD505" s="18">
        <f>LARGE(E506:E532,13)</f>
        <v>0</v>
      </c>
      <c r="AE505" s="18">
        <f>LARGE(E506:E531,19)</f>
        <v>0</v>
      </c>
      <c r="AF505" s="18">
        <f>LARGE(E506:E531,20)</f>
        <v>0</v>
      </c>
      <c r="AG505" s="18">
        <f>LARGE(E506:E531,21)</f>
        <v>0</v>
      </c>
      <c r="AH505" s="18">
        <f>LARGE(E506:E531,22)</f>
        <v>0</v>
      </c>
      <c r="AI505" s="18">
        <f>LARGE(E506:E531,23)</f>
        <v>0</v>
      </c>
      <c r="AJ505" s="18">
        <f>LARGE(E506:E531,24)</f>
        <v>0</v>
      </c>
      <c r="AK505" s="18">
        <f>LARGE(E506:E531,25)</f>
        <v>0</v>
      </c>
      <c r="AL505" s="18">
        <f>LARGE(E506:E531,26)</f>
        <v>0</v>
      </c>
      <c r="AM505" s="50">
        <f>COUNTIF(AH506:AH531,"&lt;&gt;"&amp;AH76)-(26-COUNTIF(E506:E531,"&gt;=0"))</f>
        <v>0</v>
      </c>
    </row>
    <row r="506" spans="1:39">
      <c r="A506" s="42" t="s">
        <v>246</v>
      </c>
      <c r="B506" s="1" t="s">
        <v>20</v>
      </c>
      <c r="C506" s="40" t="str">
        <f t="shared" si="81"/>
        <v>01-&gt;</v>
      </c>
      <c r="D506" s="40" t="str">
        <f t="shared" ref="D506:D531" si="82">B506&amp;REPT(" ",$AH$70-LEN(B506))</f>
        <v xml:space="preserve">No pick yet                                                 </v>
      </c>
      <c r="E506" s="52">
        <f t="shared" ref="E506:E531" si="83">VLOOKUP(RIGHT(B506,LEN(B506)-$AH$66),$H$138:$I$420,2,0)</f>
        <v>0</v>
      </c>
      <c r="F506" s="18"/>
      <c r="M506" s="18"/>
      <c r="N506" s="18"/>
      <c r="O506" s="18"/>
      <c r="P506" s="18"/>
      <c r="Q506" s="22"/>
      <c r="R506" s="21"/>
      <c r="S506" s="21"/>
      <c r="T506" s="21"/>
      <c r="AA506"/>
      <c r="AH506" t="str">
        <f t="shared" ref="AH506:AH531" si="84">RIGHT(B506,LEN(B506)-$AH$66)</f>
        <v>k yet</v>
      </c>
    </row>
    <row r="507" spans="1:39">
      <c r="A507" s="42" t="s">
        <v>247</v>
      </c>
      <c r="B507" s="1" t="s">
        <v>20</v>
      </c>
      <c r="C507" s="40" t="str">
        <f t="shared" si="81"/>
        <v>02-&gt;</v>
      </c>
      <c r="D507" s="40" t="str">
        <f t="shared" si="82"/>
        <v xml:space="preserve">No pick yet                                                 </v>
      </c>
      <c r="E507" s="52">
        <f t="shared" si="83"/>
        <v>0</v>
      </c>
      <c r="F507" s="18"/>
      <c r="K507" s="22"/>
      <c r="N507" s="22"/>
      <c r="O507" s="22"/>
      <c r="P507" s="22"/>
      <c r="Q507" s="22"/>
      <c r="R507" s="22"/>
      <c r="S507" s="22"/>
      <c r="Z507" s="53"/>
      <c r="AA507"/>
      <c r="AH507" t="str">
        <f t="shared" si="84"/>
        <v>k yet</v>
      </c>
    </row>
    <row r="508" spans="1:39">
      <c r="A508" s="42" t="s">
        <v>248</v>
      </c>
      <c r="B508" s="1" t="s">
        <v>20</v>
      </c>
      <c r="C508" s="40" t="str">
        <f t="shared" si="81"/>
        <v>03-&gt;</v>
      </c>
      <c r="D508" s="40" t="str">
        <f t="shared" si="82"/>
        <v xml:space="preserve">No pick yet                                                 </v>
      </c>
      <c r="E508" s="52">
        <f t="shared" si="83"/>
        <v>0</v>
      </c>
      <c r="F508" s="18"/>
      <c r="L508" s="21"/>
      <c r="N508" s="22"/>
      <c r="O508" s="22"/>
      <c r="P508" s="18"/>
      <c r="Q508" s="22"/>
      <c r="R508" s="22"/>
      <c r="S508" s="22"/>
      <c r="Z508" s="53"/>
      <c r="AA508"/>
      <c r="AH508" t="str">
        <f t="shared" si="84"/>
        <v>k yet</v>
      </c>
    </row>
    <row r="509" spans="1:39">
      <c r="A509" s="42" t="s">
        <v>249</v>
      </c>
      <c r="B509" s="1" t="s">
        <v>20</v>
      </c>
      <c r="C509" s="40" t="str">
        <f t="shared" si="81"/>
        <v>04-&gt;</v>
      </c>
      <c r="D509" s="40" t="str">
        <f t="shared" si="82"/>
        <v xml:space="preserve">No pick yet                                                 </v>
      </c>
      <c r="E509" s="52">
        <f t="shared" si="83"/>
        <v>0</v>
      </c>
      <c r="F509" s="18"/>
      <c r="M509" s="18"/>
      <c r="N509" s="18"/>
      <c r="O509" s="18"/>
      <c r="P509" s="18"/>
      <c r="Q509" s="22"/>
      <c r="R509" s="21"/>
      <c r="S509" s="21"/>
      <c r="T509" s="21"/>
      <c r="AA509"/>
      <c r="AH509" t="str">
        <f t="shared" si="84"/>
        <v>k yet</v>
      </c>
    </row>
    <row r="510" spans="1:39">
      <c r="A510" s="42" t="s">
        <v>250</v>
      </c>
      <c r="B510" s="1" t="s">
        <v>20</v>
      </c>
      <c r="C510" s="40" t="str">
        <f t="shared" si="81"/>
        <v>05-&gt;</v>
      </c>
      <c r="D510" s="40" t="str">
        <f t="shared" si="82"/>
        <v xml:space="preserve">No pick yet                                                 </v>
      </c>
      <c r="E510" s="52">
        <f t="shared" si="83"/>
        <v>0</v>
      </c>
      <c r="F510" s="18"/>
      <c r="M510" s="18"/>
      <c r="N510" s="18"/>
      <c r="O510" s="18"/>
      <c r="P510" s="18"/>
      <c r="Q510" s="22"/>
      <c r="R510" s="21"/>
      <c r="S510" s="21"/>
      <c r="T510" s="21"/>
      <c r="AA510"/>
      <c r="AH510" t="str">
        <f t="shared" si="84"/>
        <v>k yet</v>
      </c>
    </row>
    <row r="511" spans="1:39">
      <c r="A511" s="42" t="s">
        <v>251</v>
      </c>
      <c r="B511" s="1" t="s">
        <v>20</v>
      </c>
      <c r="C511" s="40" t="str">
        <f t="shared" si="81"/>
        <v>06-&gt;</v>
      </c>
      <c r="D511" s="40" t="str">
        <f t="shared" si="82"/>
        <v xml:space="preserve">No pick yet                                                 </v>
      </c>
      <c r="E511" s="52">
        <f t="shared" si="83"/>
        <v>0</v>
      </c>
      <c r="F511" s="18"/>
      <c r="M511" s="18"/>
      <c r="N511" s="18"/>
      <c r="O511" s="18"/>
      <c r="P511" s="18"/>
      <c r="Q511" s="22"/>
      <c r="R511" s="21"/>
      <c r="S511" s="21"/>
      <c r="T511" s="21"/>
      <c r="AA511"/>
      <c r="AH511" t="str">
        <f t="shared" si="84"/>
        <v>k yet</v>
      </c>
    </row>
    <row r="512" spans="1:39">
      <c r="A512" s="42" t="s">
        <v>252</v>
      </c>
      <c r="B512" s="1" t="s">
        <v>20</v>
      </c>
      <c r="C512" s="40" t="str">
        <f t="shared" si="81"/>
        <v>07-&gt;</v>
      </c>
      <c r="D512" s="40" t="str">
        <f t="shared" si="82"/>
        <v xml:space="preserve">No pick yet                                                 </v>
      </c>
      <c r="E512" s="52">
        <f t="shared" si="83"/>
        <v>0</v>
      </c>
      <c r="F512" s="18"/>
      <c r="M512" s="18"/>
      <c r="N512" s="18"/>
      <c r="O512" s="18"/>
      <c r="P512" s="18"/>
      <c r="Q512" s="22"/>
      <c r="R512" s="21"/>
      <c r="S512" s="21"/>
      <c r="T512" s="21"/>
      <c r="AA512"/>
      <c r="AH512" t="str">
        <f t="shared" si="84"/>
        <v>k yet</v>
      </c>
    </row>
    <row r="513" spans="1:34">
      <c r="A513" s="42" t="s">
        <v>253</v>
      </c>
      <c r="B513" s="1" t="s">
        <v>20</v>
      </c>
      <c r="C513" s="40" t="str">
        <f t="shared" si="81"/>
        <v>08-&gt;</v>
      </c>
      <c r="D513" s="40" t="str">
        <f t="shared" si="82"/>
        <v xml:space="preserve">No pick yet                                                 </v>
      </c>
      <c r="E513" s="52">
        <f t="shared" si="83"/>
        <v>0</v>
      </c>
      <c r="F513" s="18"/>
      <c r="M513" s="18"/>
      <c r="N513" s="18"/>
      <c r="O513" s="18"/>
      <c r="P513" s="18"/>
      <c r="Q513" s="22"/>
      <c r="R513" s="21"/>
      <c r="S513" s="21"/>
      <c r="T513" s="21"/>
      <c r="AA513"/>
      <c r="AH513" t="str">
        <f t="shared" si="84"/>
        <v>k yet</v>
      </c>
    </row>
    <row r="514" spans="1:34">
      <c r="A514" s="42" t="s">
        <v>254</v>
      </c>
      <c r="B514" s="1" t="s">
        <v>20</v>
      </c>
      <c r="C514" s="40" t="str">
        <f t="shared" si="81"/>
        <v>09-&gt;</v>
      </c>
      <c r="D514" s="40" t="str">
        <f t="shared" si="82"/>
        <v xml:space="preserve">No pick yet                                                 </v>
      </c>
      <c r="E514" s="52">
        <f t="shared" si="83"/>
        <v>0</v>
      </c>
      <c r="F514" s="18"/>
      <c r="M514" s="18"/>
      <c r="N514" s="18"/>
      <c r="O514" s="18"/>
      <c r="P514" s="18"/>
      <c r="Q514" s="22"/>
      <c r="R514" s="21"/>
      <c r="S514" s="21"/>
      <c r="T514" s="21"/>
      <c r="AA514"/>
      <c r="AH514" t="str">
        <f t="shared" si="84"/>
        <v>k yet</v>
      </c>
    </row>
    <row r="515" spans="1:34">
      <c r="A515" s="42" t="s">
        <v>255</v>
      </c>
      <c r="B515" s="1" t="s">
        <v>20</v>
      </c>
      <c r="C515" s="40" t="str">
        <f t="shared" si="81"/>
        <v>10-&gt;</v>
      </c>
      <c r="D515" s="40" t="str">
        <f t="shared" si="82"/>
        <v xml:space="preserve">No pick yet                                                 </v>
      </c>
      <c r="E515" s="52">
        <f t="shared" si="83"/>
        <v>0</v>
      </c>
      <c r="F515" s="22"/>
      <c r="M515" s="18"/>
      <c r="N515" s="18"/>
      <c r="O515" s="18"/>
      <c r="P515" s="18"/>
      <c r="Q515" s="22"/>
      <c r="R515" s="21"/>
      <c r="S515" s="21"/>
      <c r="T515" s="21"/>
      <c r="AA515"/>
      <c r="AH515" t="str">
        <f t="shared" si="84"/>
        <v>k yet</v>
      </c>
    </row>
    <row r="516" spans="1:34">
      <c r="A516" s="42" t="s">
        <v>256</v>
      </c>
      <c r="B516" s="1" t="s">
        <v>20</v>
      </c>
      <c r="C516" s="40" t="str">
        <f t="shared" si="81"/>
        <v>11-&gt;</v>
      </c>
      <c r="D516" s="40" t="str">
        <f t="shared" si="82"/>
        <v xml:space="preserve">No pick yet                                                 </v>
      </c>
      <c r="E516" s="52">
        <f t="shared" si="83"/>
        <v>0</v>
      </c>
      <c r="M516" s="18"/>
      <c r="N516" s="18"/>
      <c r="O516" s="18"/>
      <c r="P516" s="18"/>
      <c r="Q516" s="22"/>
      <c r="R516" s="21"/>
      <c r="S516" s="21"/>
      <c r="T516" s="21"/>
      <c r="AA516"/>
      <c r="AH516" t="str">
        <f t="shared" si="84"/>
        <v>k yet</v>
      </c>
    </row>
    <row r="517" spans="1:34">
      <c r="A517" s="42" t="s">
        <v>257</v>
      </c>
      <c r="B517" s="1" t="s">
        <v>20</v>
      </c>
      <c r="C517" s="40" t="str">
        <f t="shared" si="81"/>
        <v>12-&gt;</v>
      </c>
      <c r="D517" s="40" t="str">
        <f t="shared" si="82"/>
        <v xml:space="preserve">No pick yet                                                 </v>
      </c>
      <c r="E517" s="52">
        <f t="shared" si="83"/>
        <v>0</v>
      </c>
      <c r="M517" s="18"/>
      <c r="N517" s="18"/>
      <c r="O517" s="18"/>
      <c r="P517" s="18"/>
      <c r="Q517" s="22"/>
      <c r="R517" s="21"/>
      <c r="S517" s="21"/>
      <c r="T517" s="21"/>
      <c r="AA517"/>
      <c r="AH517" t="str">
        <f t="shared" si="84"/>
        <v>k yet</v>
      </c>
    </row>
    <row r="518" spans="1:34">
      <c r="A518" s="42" t="s">
        <v>258</v>
      </c>
      <c r="B518" s="1" t="s">
        <v>20</v>
      </c>
      <c r="C518" s="40" t="str">
        <f t="shared" si="81"/>
        <v>13-&gt;</v>
      </c>
      <c r="D518" s="40" t="str">
        <f t="shared" si="82"/>
        <v xml:space="preserve">No pick yet                                                 </v>
      </c>
      <c r="E518" s="52">
        <f t="shared" si="83"/>
        <v>0</v>
      </c>
      <c r="G518" s="22"/>
      <c r="I518" s="22"/>
      <c r="J518" s="22"/>
      <c r="M518" s="18"/>
      <c r="N518" s="18"/>
      <c r="O518" s="18"/>
      <c r="P518" s="18"/>
      <c r="Q518" s="22"/>
      <c r="R518" s="21"/>
      <c r="S518" s="21"/>
      <c r="T518" s="21"/>
      <c r="AA518"/>
      <c r="AH518" t="str">
        <f t="shared" si="84"/>
        <v>k yet</v>
      </c>
    </row>
    <row r="519" spans="1:34">
      <c r="A519" s="42" t="s">
        <v>259</v>
      </c>
      <c r="B519" s="1" t="s">
        <v>20</v>
      </c>
      <c r="C519" s="40" t="str">
        <f t="shared" si="81"/>
        <v>14-&gt;</v>
      </c>
      <c r="D519" s="40" t="str">
        <f t="shared" si="82"/>
        <v xml:space="preserve">No pick yet                                                 </v>
      </c>
      <c r="E519" s="52">
        <f t="shared" si="83"/>
        <v>0</v>
      </c>
      <c r="H519" s="21"/>
      <c r="I519" s="22"/>
      <c r="J519" s="22"/>
      <c r="M519" s="18"/>
      <c r="N519" s="18"/>
      <c r="O519" s="18"/>
      <c r="P519" s="18"/>
      <c r="Q519" s="22"/>
      <c r="R519" s="21"/>
      <c r="S519" s="21"/>
      <c r="T519" s="21"/>
      <c r="AA519"/>
      <c r="AH519" t="str">
        <f t="shared" si="84"/>
        <v>k yet</v>
      </c>
    </row>
    <row r="520" spans="1:34">
      <c r="A520" s="42" t="s">
        <v>260</v>
      </c>
      <c r="B520" s="1" t="s">
        <v>20</v>
      </c>
      <c r="C520" s="40" t="str">
        <f t="shared" si="81"/>
        <v>15-&gt;</v>
      </c>
      <c r="D520" s="40" t="str">
        <f t="shared" si="82"/>
        <v xml:space="preserve">No pick yet                                                 </v>
      </c>
      <c r="E520" s="52">
        <f t="shared" si="83"/>
        <v>0</v>
      </c>
      <c r="M520" s="18"/>
      <c r="N520" s="18"/>
      <c r="O520" s="18"/>
      <c r="P520" s="18"/>
      <c r="Q520" s="22"/>
      <c r="R520" s="21"/>
      <c r="S520" s="21"/>
      <c r="T520" s="21"/>
      <c r="AA520"/>
      <c r="AH520" t="str">
        <f t="shared" si="84"/>
        <v>k yet</v>
      </c>
    </row>
    <row r="521" spans="1:34">
      <c r="A521" s="42" t="s">
        <v>261</v>
      </c>
      <c r="B521" s="1" t="s">
        <v>20</v>
      </c>
      <c r="C521" s="40" t="str">
        <f t="shared" si="81"/>
        <v>16-&gt;</v>
      </c>
      <c r="D521" s="40" t="str">
        <f t="shared" si="82"/>
        <v xml:space="preserve">No pick yet                                                 </v>
      </c>
      <c r="E521" s="52">
        <f t="shared" si="83"/>
        <v>0</v>
      </c>
      <c r="M521" s="18"/>
      <c r="N521" s="18"/>
      <c r="O521" s="18"/>
      <c r="P521" s="18"/>
      <c r="Q521" s="22"/>
      <c r="R521" s="21"/>
      <c r="S521" s="21"/>
      <c r="T521" s="21"/>
      <c r="AA521"/>
      <c r="AH521" t="str">
        <f t="shared" si="84"/>
        <v>k yet</v>
      </c>
    </row>
    <row r="522" spans="1:34">
      <c r="A522" s="42" t="s">
        <v>262</v>
      </c>
      <c r="B522" s="1" t="s">
        <v>20</v>
      </c>
      <c r="C522" s="40" t="str">
        <f t="shared" si="81"/>
        <v>17-&gt;</v>
      </c>
      <c r="D522" s="40" t="str">
        <f t="shared" si="82"/>
        <v xml:space="preserve">No pick yet                                                 </v>
      </c>
      <c r="E522" s="52">
        <f t="shared" si="83"/>
        <v>0</v>
      </c>
      <c r="K522" s="22"/>
      <c r="N522" s="22"/>
      <c r="O522" s="22"/>
      <c r="P522" s="22"/>
      <c r="Q522" s="22"/>
      <c r="R522" s="22"/>
      <c r="S522" s="22"/>
      <c r="Z522" s="53"/>
      <c r="AA522"/>
      <c r="AH522" t="str">
        <f t="shared" si="84"/>
        <v>k yet</v>
      </c>
    </row>
    <row r="523" spans="1:34">
      <c r="A523" s="42" t="s">
        <v>263</v>
      </c>
      <c r="B523" s="1" t="s">
        <v>20</v>
      </c>
      <c r="C523" s="40" t="str">
        <f t="shared" si="81"/>
        <v>18-&gt;</v>
      </c>
      <c r="D523" s="40" t="str">
        <f t="shared" si="82"/>
        <v xml:space="preserve">No pick yet                                                 </v>
      </c>
      <c r="E523" s="52">
        <f t="shared" si="83"/>
        <v>0</v>
      </c>
      <c r="F523" s="18"/>
      <c r="L523" s="21"/>
      <c r="N523" s="22"/>
      <c r="O523" s="22"/>
      <c r="P523" s="18"/>
      <c r="Q523" s="22"/>
      <c r="R523" s="22"/>
      <c r="S523" s="22"/>
      <c r="Z523" s="53"/>
      <c r="AA523"/>
      <c r="AH523" t="str">
        <f t="shared" si="84"/>
        <v>k yet</v>
      </c>
    </row>
    <row r="524" spans="1:34">
      <c r="A524" s="42" t="s">
        <v>264</v>
      </c>
      <c r="B524" s="1" t="s">
        <v>20</v>
      </c>
      <c r="C524" s="40" t="str">
        <f t="shared" si="81"/>
        <v>19-&gt;</v>
      </c>
      <c r="D524" s="40" t="str">
        <f t="shared" si="82"/>
        <v xml:space="preserve">No pick yet                                                 </v>
      </c>
      <c r="E524" s="52">
        <f t="shared" si="83"/>
        <v>0</v>
      </c>
      <c r="F524" s="18"/>
      <c r="M524" s="18"/>
      <c r="N524" s="18"/>
      <c r="O524" s="18"/>
      <c r="P524" s="18"/>
      <c r="Q524" s="22"/>
      <c r="R524" s="21"/>
      <c r="S524" s="21"/>
      <c r="T524" s="21"/>
      <c r="AA524"/>
      <c r="AH524" t="str">
        <f t="shared" si="84"/>
        <v>k yet</v>
      </c>
    </row>
    <row r="525" spans="1:34">
      <c r="A525" s="42" t="s">
        <v>265</v>
      </c>
      <c r="B525" s="1" t="s">
        <v>20</v>
      </c>
      <c r="C525" s="40" t="str">
        <f t="shared" si="81"/>
        <v>20-&gt;</v>
      </c>
      <c r="D525" s="40" t="str">
        <f t="shared" si="82"/>
        <v xml:space="preserve">No pick yet                                                 </v>
      </c>
      <c r="E525" s="52">
        <f t="shared" si="83"/>
        <v>0</v>
      </c>
      <c r="F525" s="18"/>
      <c r="M525" s="18"/>
      <c r="N525" s="18"/>
      <c r="O525" s="18"/>
      <c r="P525" s="18"/>
      <c r="Q525" s="22"/>
      <c r="R525" s="21"/>
      <c r="S525" s="21"/>
      <c r="T525" s="21"/>
      <c r="AA525"/>
      <c r="AH525" t="str">
        <f t="shared" si="84"/>
        <v>k yet</v>
      </c>
    </row>
    <row r="526" spans="1:34">
      <c r="A526" s="42" t="s">
        <v>266</v>
      </c>
      <c r="B526" s="1" t="s">
        <v>20</v>
      </c>
      <c r="C526" s="40" t="str">
        <f t="shared" si="81"/>
        <v>21-&gt;</v>
      </c>
      <c r="D526" s="40" t="str">
        <f t="shared" si="82"/>
        <v xml:space="preserve">No pick yet                                                 </v>
      </c>
      <c r="E526" s="52">
        <f t="shared" si="83"/>
        <v>0</v>
      </c>
      <c r="F526" s="18"/>
      <c r="M526" s="18"/>
      <c r="N526" s="18"/>
      <c r="O526" s="18"/>
      <c r="P526" s="18"/>
      <c r="Q526" s="22"/>
      <c r="R526" s="21"/>
      <c r="S526" s="21"/>
      <c r="T526" s="21"/>
      <c r="AA526"/>
      <c r="AH526" t="str">
        <f t="shared" si="84"/>
        <v>k yet</v>
      </c>
    </row>
    <row r="527" spans="1:34">
      <c r="A527" s="42" t="s">
        <v>267</v>
      </c>
      <c r="B527" s="1" t="s">
        <v>20</v>
      </c>
      <c r="C527" s="40" t="str">
        <f t="shared" si="81"/>
        <v>22-&gt;</v>
      </c>
      <c r="D527" s="40" t="str">
        <f t="shared" si="82"/>
        <v xml:space="preserve">No pick yet                                                 </v>
      </c>
      <c r="E527" s="52">
        <f t="shared" si="83"/>
        <v>0</v>
      </c>
      <c r="F527" s="18"/>
      <c r="M527" s="18"/>
      <c r="N527" s="18"/>
      <c r="O527" s="18"/>
      <c r="P527" s="18"/>
      <c r="Q527" s="22"/>
      <c r="R527" s="21"/>
      <c r="S527" s="21"/>
      <c r="T527" s="21"/>
      <c r="AA527"/>
      <c r="AH527" t="str">
        <f t="shared" si="84"/>
        <v>k yet</v>
      </c>
    </row>
    <row r="528" spans="1:34">
      <c r="A528" s="42" t="s">
        <v>268</v>
      </c>
      <c r="B528" s="1" t="s">
        <v>20</v>
      </c>
      <c r="C528" s="40" t="str">
        <f t="shared" si="81"/>
        <v>23-&gt;</v>
      </c>
      <c r="D528" s="40" t="str">
        <f t="shared" si="82"/>
        <v xml:space="preserve">No pick yet                                                 </v>
      </c>
      <c r="E528" s="52">
        <f t="shared" si="83"/>
        <v>0</v>
      </c>
      <c r="F528" s="18"/>
      <c r="M528" s="18"/>
      <c r="N528" s="18"/>
      <c r="O528" s="18"/>
      <c r="P528" s="18"/>
      <c r="Q528" s="22"/>
      <c r="R528" s="21"/>
      <c r="S528" s="21"/>
      <c r="T528" s="21"/>
      <c r="AA528"/>
      <c r="AH528" t="str">
        <f t="shared" si="84"/>
        <v>k yet</v>
      </c>
    </row>
    <row r="529" spans="1:39">
      <c r="A529" s="42" t="s">
        <v>269</v>
      </c>
      <c r="B529" s="1" t="s">
        <v>20</v>
      </c>
      <c r="C529" s="40" t="str">
        <f t="shared" si="81"/>
        <v>24-&gt;</v>
      </c>
      <c r="D529" s="40" t="str">
        <f t="shared" si="82"/>
        <v xml:space="preserve">No pick yet                                                 </v>
      </c>
      <c r="E529" s="52">
        <f t="shared" si="83"/>
        <v>0</v>
      </c>
      <c r="F529" s="18"/>
      <c r="M529" s="18"/>
      <c r="N529" s="18"/>
      <c r="O529" s="18"/>
      <c r="P529" s="18"/>
      <c r="Q529" s="22"/>
      <c r="R529" s="21"/>
      <c r="S529" s="21"/>
      <c r="T529" s="21"/>
      <c r="AA529"/>
      <c r="AH529" t="str">
        <f t="shared" si="84"/>
        <v>k yet</v>
      </c>
    </row>
    <row r="530" spans="1:39">
      <c r="A530" s="42" t="s">
        <v>270</v>
      </c>
      <c r="B530" s="1" t="s">
        <v>20</v>
      </c>
      <c r="C530" s="40" t="str">
        <f t="shared" si="81"/>
        <v>25-&gt;</v>
      </c>
      <c r="D530" s="40" t="str">
        <f t="shared" si="82"/>
        <v xml:space="preserve">No pick yet                                                 </v>
      </c>
      <c r="E530" s="52">
        <f t="shared" si="83"/>
        <v>0</v>
      </c>
      <c r="F530" s="18"/>
      <c r="M530" s="18"/>
      <c r="N530" s="18"/>
      <c r="O530" s="18"/>
      <c r="P530" s="18"/>
      <c r="Q530" s="22"/>
      <c r="R530" s="21"/>
      <c r="S530" s="21"/>
      <c r="T530" s="21"/>
      <c r="AA530"/>
      <c r="AH530" t="str">
        <f t="shared" si="84"/>
        <v>k yet</v>
      </c>
    </row>
    <row r="531" spans="1:39">
      <c r="A531" s="42" t="s">
        <v>271</v>
      </c>
      <c r="B531" s="1" t="s">
        <v>20</v>
      </c>
      <c r="C531" s="40" t="str">
        <f t="shared" si="81"/>
        <v>26-&gt;</v>
      </c>
      <c r="D531" s="40" t="str">
        <f t="shared" si="82"/>
        <v xml:space="preserve">No pick yet                                                 </v>
      </c>
      <c r="E531" s="52">
        <f t="shared" si="83"/>
        <v>0</v>
      </c>
      <c r="F531" s="18"/>
      <c r="M531" s="18"/>
      <c r="N531" s="18"/>
      <c r="O531" s="18"/>
      <c r="P531" s="18"/>
      <c r="Q531" s="22"/>
      <c r="R531" s="21"/>
      <c r="S531" s="21"/>
      <c r="T531" s="21"/>
      <c r="AA531"/>
      <c r="AH531" t="str">
        <f t="shared" si="84"/>
        <v>k yet</v>
      </c>
    </row>
    <row r="532" spans="1:39">
      <c r="A532" s="38"/>
      <c r="B532" s="40"/>
      <c r="C532" s="40"/>
      <c r="D532" s="49"/>
      <c r="E532" s="41" t="s">
        <v>69</v>
      </c>
      <c r="F532" s="18"/>
      <c r="K532" s="22" t="s">
        <v>73</v>
      </c>
      <c r="L532" s="18" t="s">
        <v>74</v>
      </c>
      <c r="M532" s="22" t="s">
        <v>78</v>
      </c>
      <c r="N532" s="22" t="s">
        <v>79</v>
      </c>
      <c r="O532" s="22" t="s">
        <v>80</v>
      </c>
      <c r="P532" s="22" t="s">
        <v>81</v>
      </c>
      <c r="Q532" s="22" t="s">
        <v>82</v>
      </c>
      <c r="R532" s="22" t="s">
        <v>83</v>
      </c>
      <c r="S532" s="22" t="s">
        <v>84</v>
      </c>
      <c r="T532" s="18" t="s">
        <v>85</v>
      </c>
      <c r="U532" s="18" t="s">
        <v>86</v>
      </c>
      <c r="V532" s="18" t="s">
        <v>87</v>
      </c>
      <c r="W532" s="18" t="s">
        <v>88</v>
      </c>
      <c r="X532" s="18" t="s">
        <v>89</v>
      </c>
      <c r="Y532" s="18" t="s">
        <v>90</v>
      </c>
      <c r="Z532" s="18" t="s">
        <v>91</v>
      </c>
      <c r="AA532" s="18" t="s">
        <v>92</v>
      </c>
      <c r="AB532" s="18" t="s">
        <v>93</v>
      </c>
      <c r="AC532" s="18" t="s">
        <v>94</v>
      </c>
      <c r="AD532" s="18" t="s">
        <v>235</v>
      </c>
      <c r="AE532" s="18" t="s">
        <v>236</v>
      </c>
      <c r="AF532" s="18" t="s">
        <v>237</v>
      </c>
      <c r="AG532" s="18" t="s">
        <v>238</v>
      </c>
      <c r="AH532" s="18" t="s">
        <v>239</v>
      </c>
      <c r="AI532" s="18" t="s">
        <v>240</v>
      </c>
      <c r="AJ532" s="18" t="s">
        <v>241</v>
      </c>
      <c r="AK532" s="18" t="s">
        <v>242</v>
      </c>
      <c r="AL532" s="18" t="s">
        <v>243</v>
      </c>
      <c r="AM532" s="50" t="s">
        <v>244</v>
      </c>
    </row>
    <row r="533" spans="1:39">
      <c r="A533" s="40" t="s">
        <v>245</v>
      </c>
      <c r="B533" s="51" t="str">
        <f>D18</f>
        <v/>
      </c>
      <c r="C533" s="40" t="str">
        <f t="shared" ref="C533:C559" si="85">A533</f>
        <v>#</v>
      </c>
      <c r="D533" s="40" t="str">
        <f>"   "&amp;B533&amp;REPT(" ",$AH$70-LEN(B533)-3)</f>
        <v xml:space="preserve">                                                            </v>
      </c>
      <c r="E533" s="38" t="str">
        <f>SUM(E534:E559)&amp;" pts[/b]"</f>
        <v>0 pts[/b]</v>
      </c>
      <c r="F533" s="21">
        <f>SUM(E534:E559)</f>
        <v>0</v>
      </c>
      <c r="G533" s="22"/>
      <c r="I533" s="22"/>
      <c r="J533" s="22"/>
      <c r="K533" s="18">
        <f>COUNTIF(E534:E559,"&gt;0")</f>
        <v>0</v>
      </c>
      <c r="L533" s="21">
        <f>AM533-K533</f>
        <v>0</v>
      </c>
      <c r="M533" s="22">
        <f>MAX(E534:E559)</f>
        <v>0</v>
      </c>
      <c r="N533" s="22">
        <f>LARGE(E534:E559,2)</f>
        <v>0</v>
      </c>
      <c r="O533" s="22">
        <f>LARGE(E534:E559,3)</f>
        <v>0</v>
      </c>
      <c r="P533" s="18">
        <f>LARGE(E534:E559,4)</f>
        <v>0</v>
      </c>
      <c r="Q533" s="22">
        <f>LARGE(E534:E559,5)</f>
        <v>0</v>
      </c>
      <c r="R533" s="22">
        <f>LARGE(E534:E559,6)</f>
        <v>0</v>
      </c>
      <c r="S533" s="22">
        <f>LARGE(E534:E559,7)</f>
        <v>0</v>
      </c>
      <c r="T533" s="18">
        <f>LARGE(E534:E559,8)</f>
        <v>0</v>
      </c>
      <c r="U533" s="18">
        <f>LARGE(E534:E559,9)</f>
        <v>0</v>
      </c>
      <c r="V533" s="18">
        <f>LARGE(E534:E559,10)</f>
        <v>0</v>
      </c>
      <c r="W533" s="18">
        <f>LARGE(E534:E559,11)</f>
        <v>0</v>
      </c>
      <c r="X533" s="18">
        <f>LARGE(E534:E559,12)</f>
        <v>0</v>
      </c>
      <c r="Y533" s="18">
        <f>LARGE(E534:E559,13)</f>
        <v>0</v>
      </c>
      <c r="Z533" s="18">
        <f>LARGE(E534:E559,14)</f>
        <v>0</v>
      </c>
      <c r="AA533" s="18">
        <f>LARGE(E534:E559,15)</f>
        <v>0</v>
      </c>
      <c r="AB533" s="18">
        <f>LARGE(E534:E559,16)</f>
        <v>0</v>
      </c>
      <c r="AC533" s="18">
        <f>LARGE(E534:E559,17)</f>
        <v>0</v>
      </c>
      <c r="AD533" s="18">
        <f>LARGE(E534:E560,13)</f>
        <v>0</v>
      </c>
      <c r="AE533" s="18">
        <f>LARGE(E534:E559,19)</f>
        <v>0</v>
      </c>
      <c r="AF533" s="18">
        <f>LARGE(E534:E559,20)</f>
        <v>0</v>
      </c>
      <c r="AG533" s="18">
        <f>LARGE(E534:E559,21)</f>
        <v>0</v>
      </c>
      <c r="AH533" s="18">
        <f>LARGE(E534:E559,22)</f>
        <v>0</v>
      </c>
      <c r="AI533" s="18">
        <f>LARGE(E534:E559,23)</f>
        <v>0</v>
      </c>
      <c r="AJ533" s="18">
        <f>LARGE(E534:E559,24)</f>
        <v>0</v>
      </c>
      <c r="AK533" s="18">
        <f>LARGE(E534:E559,25)</f>
        <v>0</v>
      </c>
      <c r="AL533" s="18">
        <f>LARGE(E534:E559,26)</f>
        <v>0</v>
      </c>
      <c r="AM533" s="50">
        <f>COUNTIF(AH534:AH559,"&lt;&gt;"&amp;AH76)-(26-COUNTIF(E534:E559,"&gt;=0"))</f>
        <v>0</v>
      </c>
    </row>
    <row r="534" spans="1:39">
      <c r="A534" s="42" t="s">
        <v>246</v>
      </c>
      <c r="B534" s="1" t="s">
        <v>20</v>
      </c>
      <c r="C534" s="40" t="str">
        <f t="shared" si="85"/>
        <v>01-&gt;</v>
      </c>
      <c r="D534" s="40" t="str">
        <f t="shared" ref="D534:D559" si="86">B534&amp;REPT(" ",$AH$70-LEN(B534))</f>
        <v xml:space="preserve">No pick yet                                                 </v>
      </c>
      <c r="E534" s="52">
        <f t="shared" ref="E534:E559" si="87">VLOOKUP(RIGHT(B534,LEN(B534)-$AH$66),$H$138:$I$420,2,0)</f>
        <v>0</v>
      </c>
      <c r="F534" s="18"/>
      <c r="H534" s="21"/>
      <c r="I534" s="22"/>
      <c r="J534" s="22"/>
      <c r="M534" s="18"/>
      <c r="N534" s="18"/>
      <c r="O534" s="18"/>
      <c r="P534" s="18"/>
      <c r="Q534" s="22"/>
      <c r="R534" s="21"/>
      <c r="S534" s="21"/>
      <c r="T534" s="21"/>
      <c r="AA534"/>
      <c r="AH534" t="str">
        <f t="shared" ref="AH534:AH559" si="88">RIGHT(B534,LEN(B534)-$AH$66)</f>
        <v>k yet</v>
      </c>
    </row>
    <row r="535" spans="1:39">
      <c r="A535" s="42" t="s">
        <v>247</v>
      </c>
      <c r="B535" s="1" t="s">
        <v>20</v>
      </c>
      <c r="C535" s="40" t="str">
        <f t="shared" si="85"/>
        <v>02-&gt;</v>
      </c>
      <c r="D535" s="40" t="str">
        <f t="shared" si="86"/>
        <v xml:space="preserve">No pick yet                                                 </v>
      </c>
      <c r="E535" s="52">
        <f t="shared" si="87"/>
        <v>0</v>
      </c>
      <c r="F535" s="18"/>
      <c r="K535" s="22"/>
      <c r="N535" s="22"/>
      <c r="O535" s="22"/>
      <c r="P535" s="22"/>
      <c r="Q535" s="22"/>
      <c r="R535" s="22"/>
      <c r="S535" s="22"/>
      <c r="Z535" s="53"/>
      <c r="AA535"/>
      <c r="AH535" t="str">
        <f t="shared" si="88"/>
        <v>k yet</v>
      </c>
    </row>
    <row r="536" spans="1:39">
      <c r="A536" s="42" t="s">
        <v>248</v>
      </c>
      <c r="B536" s="1" t="s">
        <v>20</v>
      </c>
      <c r="C536" s="40" t="str">
        <f t="shared" si="85"/>
        <v>03-&gt;</v>
      </c>
      <c r="D536" s="40" t="str">
        <f t="shared" si="86"/>
        <v xml:space="preserve">No pick yet                                                 </v>
      </c>
      <c r="E536" s="52">
        <f t="shared" si="87"/>
        <v>0</v>
      </c>
      <c r="F536" s="18"/>
      <c r="L536" s="21"/>
      <c r="N536" s="22"/>
      <c r="O536" s="22"/>
      <c r="P536" s="18"/>
      <c r="Q536" s="22"/>
      <c r="R536" s="22"/>
      <c r="S536" s="22"/>
      <c r="Z536" s="53"/>
      <c r="AA536"/>
      <c r="AH536" t="str">
        <f t="shared" si="88"/>
        <v>k yet</v>
      </c>
    </row>
    <row r="537" spans="1:39">
      <c r="A537" s="42" t="s">
        <v>249</v>
      </c>
      <c r="B537" s="1" t="s">
        <v>20</v>
      </c>
      <c r="C537" s="40" t="str">
        <f t="shared" si="85"/>
        <v>04-&gt;</v>
      </c>
      <c r="D537" s="40" t="str">
        <f t="shared" si="86"/>
        <v xml:space="preserve">No pick yet                                                 </v>
      </c>
      <c r="E537" s="52">
        <f t="shared" si="87"/>
        <v>0</v>
      </c>
      <c r="F537" s="18"/>
      <c r="M537" s="18"/>
      <c r="N537" s="18"/>
      <c r="O537" s="18"/>
      <c r="P537" s="18"/>
      <c r="Q537" s="22"/>
      <c r="R537" s="21"/>
      <c r="S537" s="21"/>
      <c r="T537" s="21"/>
      <c r="AA537"/>
      <c r="AH537" t="str">
        <f t="shared" si="88"/>
        <v>k yet</v>
      </c>
    </row>
    <row r="538" spans="1:39">
      <c r="A538" s="42" t="s">
        <v>250</v>
      </c>
      <c r="B538" s="1" t="s">
        <v>20</v>
      </c>
      <c r="C538" s="40" t="str">
        <f t="shared" si="85"/>
        <v>05-&gt;</v>
      </c>
      <c r="D538" s="40" t="str">
        <f t="shared" si="86"/>
        <v xml:space="preserve">No pick yet                                                 </v>
      </c>
      <c r="E538" s="52">
        <f t="shared" si="87"/>
        <v>0</v>
      </c>
      <c r="F538" s="18"/>
      <c r="M538" s="18"/>
      <c r="N538" s="18"/>
      <c r="O538" s="18"/>
      <c r="P538" s="18"/>
      <c r="Q538" s="22"/>
      <c r="R538" s="21"/>
      <c r="S538" s="21"/>
      <c r="T538" s="21"/>
      <c r="AA538"/>
      <c r="AH538" t="str">
        <f t="shared" si="88"/>
        <v>k yet</v>
      </c>
    </row>
    <row r="539" spans="1:39">
      <c r="A539" s="42" t="s">
        <v>251</v>
      </c>
      <c r="B539" s="1" t="s">
        <v>20</v>
      </c>
      <c r="C539" s="40" t="str">
        <f t="shared" si="85"/>
        <v>06-&gt;</v>
      </c>
      <c r="D539" s="40" t="str">
        <f t="shared" si="86"/>
        <v xml:space="preserve">No pick yet                                                 </v>
      </c>
      <c r="E539" s="52">
        <f t="shared" si="87"/>
        <v>0</v>
      </c>
      <c r="F539" s="18"/>
      <c r="M539" s="18"/>
      <c r="N539" s="18"/>
      <c r="O539" s="18"/>
      <c r="P539" s="18"/>
      <c r="Q539" s="22"/>
      <c r="R539" s="21"/>
      <c r="S539" s="21"/>
      <c r="T539" s="21"/>
      <c r="AA539"/>
      <c r="AH539" t="str">
        <f t="shared" si="88"/>
        <v>k yet</v>
      </c>
    </row>
    <row r="540" spans="1:39">
      <c r="A540" s="42" t="s">
        <v>252</v>
      </c>
      <c r="B540" s="1" t="s">
        <v>20</v>
      </c>
      <c r="C540" s="40" t="str">
        <f t="shared" si="85"/>
        <v>07-&gt;</v>
      </c>
      <c r="D540" s="40" t="str">
        <f t="shared" si="86"/>
        <v xml:space="preserve">No pick yet                                                 </v>
      </c>
      <c r="E540" s="52">
        <f t="shared" si="87"/>
        <v>0</v>
      </c>
      <c r="F540" s="18"/>
      <c r="M540" s="18"/>
      <c r="N540" s="18"/>
      <c r="O540" s="18"/>
      <c r="P540" s="18"/>
      <c r="Q540" s="22"/>
      <c r="R540" s="21"/>
      <c r="S540" s="21"/>
      <c r="T540" s="21"/>
      <c r="AA540"/>
      <c r="AH540" t="str">
        <f t="shared" si="88"/>
        <v>k yet</v>
      </c>
    </row>
    <row r="541" spans="1:39">
      <c r="A541" s="42" t="s">
        <v>253</v>
      </c>
      <c r="B541" s="1" t="s">
        <v>20</v>
      </c>
      <c r="C541" s="40" t="str">
        <f t="shared" si="85"/>
        <v>08-&gt;</v>
      </c>
      <c r="D541" s="40" t="str">
        <f t="shared" si="86"/>
        <v xml:space="preserve">No pick yet                                                 </v>
      </c>
      <c r="E541" s="52">
        <f t="shared" si="87"/>
        <v>0</v>
      </c>
      <c r="F541" s="18"/>
      <c r="M541" s="18"/>
      <c r="N541" s="18"/>
      <c r="O541" s="18"/>
      <c r="P541" s="18"/>
      <c r="Q541" s="22"/>
      <c r="R541" s="21"/>
      <c r="S541" s="21"/>
      <c r="T541" s="21"/>
      <c r="AA541"/>
      <c r="AH541" t="str">
        <f t="shared" si="88"/>
        <v>k yet</v>
      </c>
    </row>
    <row r="542" spans="1:39">
      <c r="A542" s="42" t="s">
        <v>254</v>
      </c>
      <c r="B542" s="1" t="s">
        <v>20</v>
      </c>
      <c r="C542" s="40" t="str">
        <f t="shared" si="85"/>
        <v>09-&gt;</v>
      </c>
      <c r="D542" s="40" t="str">
        <f t="shared" si="86"/>
        <v xml:space="preserve">No pick yet                                                 </v>
      </c>
      <c r="E542" s="52">
        <f t="shared" si="87"/>
        <v>0</v>
      </c>
      <c r="F542" s="18"/>
      <c r="M542" s="18"/>
      <c r="N542" s="18"/>
      <c r="O542" s="18"/>
      <c r="P542" s="18"/>
      <c r="Q542" s="22"/>
      <c r="R542" s="21"/>
      <c r="S542" s="21"/>
      <c r="T542" s="21"/>
      <c r="AA542"/>
      <c r="AH542" t="str">
        <f t="shared" si="88"/>
        <v>k yet</v>
      </c>
    </row>
    <row r="543" spans="1:39">
      <c r="A543" s="42" t="s">
        <v>255</v>
      </c>
      <c r="B543" s="1" t="s">
        <v>20</v>
      </c>
      <c r="C543" s="40" t="str">
        <f t="shared" si="85"/>
        <v>10-&gt;</v>
      </c>
      <c r="D543" s="40" t="str">
        <f t="shared" si="86"/>
        <v xml:space="preserve">No pick yet                                                 </v>
      </c>
      <c r="E543" s="52">
        <f t="shared" si="87"/>
        <v>0</v>
      </c>
      <c r="F543" s="22"/>
      <c r="M543" s="18"/>
      <c r="N543" s="18"/>
      <c r="O543" s="18"/>
      <c r="P543" s="18"/>
      <c r="Q543" s="22"/>
      <c r="R543" s="21"/>
      <c r="S543" s="21"/>
      <c r="T543" s="21"/>
      <c r="AA543"/>
      <c r="AH543" t="str">
        <f t="shared" si="88"/>
        <v>k yet</v>
      </c>
    </row>
    <row r="544" spans="1:39">
      <c r="A544" s="42" t="s">
        <v>256</v>
      </c>
      <c r="B544" s="1" t="s">
        <v>20</v>
      </c>
      <c r="C544" s="40" t="str">
        <f t="shared" si="85"/>
        <v>11-&gt;</v>
      </c>
      <c r="D544" s="40" t="str">
        <f t="shared" si="86"/>
        <v xml:space="preserve">No pick yet                                                 </v>
      </c>
      <c r="E544" s="52">
        <f t="shared" si="87"/>
        <v>0</v>
      </c>
      <c r="M544" s="18"/>
      <c r="N544" s="18"/>
      <c r="O544" s="18"/>
      <c r="P544" s="18"/>
      <c r="Q544" s="22"/>
      <c r="R544" s="21"/>
      <c r="S544" s="21"/>
      <c r="T544" s="21"/>
      <c r="AA544"/>
      <c r="AH544" t="str">
        <f t="shared" si="88"/>
        <v>k yet</v>
      </c>
    </row>
    <row r="545" spans="1:39">
      <c r="A545" s="42" t="s">
        <v>257</v>
      </c>
      <c r="B545" s="1" t="s">
        <v>20</v>
      </c>
      <c r="C545" s="40" t="str">
        <f t="shared" si="85"/>
        <v>12-&gt;</v>
      </c>
      <c r="D545" s="40" t="str">
        <f t="shared" si="86"/>
        <v xml:space="preserve">No pick yet                                                 </v>
      </c>
      <c r="E545" s="52">
        <f t="shared" si="87"/>
        <v>0</v>
      </c>
      <c r="M545" s="18"/>
      <c r="N545" s="18"/>
      <c r="O545" s="18"/>
      <c r="P545" s="18"/>
      <c r="Q545" s="22"/>
      <c r="R545" s="21"/>
      <c r="S545" s="21"/>
      <c r="T545" s="21"/>
      <c r="AA545"/>
      <c r="AH545" t="str">
        <f t="shared" si="88"/>
        <v>k yet</v>
      </c>
    </row>
    <row r="546" spans="1:39">
      <c r="A546" s="42" t="s">
        <v>258</v>
      </c>
      <c r="B546" s="1" t="s">
        <v>20</v>
      </c>
      <c r="C546" s="40" t="str">
        <f t="shared" si="85"/>
        <v>13-&gt;</v>
      </c>
      <c r="D546" s="40" t="str">
        <f t="shared" si="86"/>
        <v xml:space="preserve">No pick yet                                                 </v>
      </c>
      <c r="E546" s="52">
        <f t="shared" si="87"/>
        <v>0</v>
      </c>
      <c r="M546" s="18"/>
      <c r="N546" s="18"/>
      <c r="O546" s="18"/>
      <c r="P546" s="18"/>
      <c r="Q546" s="22"/>
      <c r="R546" s="21"/>
      <c r="S546" s="21"/>
      <c r="T546" s="21"/>
      <c r="AA546"/>
      <c r="AH546" t="str">
        <f t="shared" si="88"/>
        <v>k yet</v>
      </c>
    </row>
    <row r="547" spans="1:39">
      <c r="A547" s="42" t="s">
        <v>259</v>
      </c>
      <c r="B547" s="1" t="s">
        <v>20</v>
      </c>
      <c r="C547" s="40" t="str">
        <f t="shared" si="85"/>
        <v>14-&gt;</v>
      </c>
      <c r="D547" s="40" t="str">
        <f t="shared" si="86"/>
        <v xml:space="preserve">No pick yet                                                 </v>
      </c>
      <c r="E547" s="52">
        <f t="shared" si="87"/>
        <v>0</v>
      </c>
      <c r="M547" s="18"/>
      <c r="N547" s="18"/>
      <c r="O547" s="18"/>
      <c r="P547" s="18"/>
      <c r="Q547" s="22"/>
      <c r="R547" s="21"/>
      <c r="S547" s="21"/>
      <c r="T547" s="21"/>
      <c r="AA547"/>
      <c r="AH547" t="str">
        <f t="shared" si="88"/>
        <v>k yet</v>
      </c>
    </row>
    <row r="548" spans="1:39">
      <c r="A548" s="42" t="s">
        <v>260</v>
      </c>
      <c r="B548" s="1" t="s">
        <v>20</v>
      </c>
      <c r="C548" s="40" t="str">
        <f t="shared" si="85"/>
        <v>15-&gt;</v>
      </c>
      <c r="D548" s="40" t="str">
        <f t="shared" si="86"/>
        <v xml:space="preserve">No pick yet                                                 </v>
      </c>
      <c r="E548" s="52">
        <f t="shared" si="87"/>
        <v>0</v>
      </c>
      <c r="G548" s="22"/>
      <c r="I548" s="22"/>
      <c r="J548" s="22"/>
      <c r="M548" s="18"/>
      <c r="N548" s="18"/>
      <c r="O548" s="18"/>
      <c r="P548" s="18"/>
      <c r="Q548" s="22"/>
      <c r="R548" s="21"/>
      <c r="S548" s="21"/>
      <c r="T548" s="21"/>
      <c r="AA548"/>
      <c r="AH548" t="str">
        <f t="shared" si="88"/>
        <v>k yet</v>
      </c>
    </row>
    <row r="549" spans="1:39">
      <c r="A549" s="42" t="s">
        <v>261</v>
      </c>
      <c r="B549" s="1" t="s">
        <v>20</v>
      </c>
      <c r="C549" s="40" t="str">
        <f t="shared" si="85"/>
        <v>16-&gt;</v>
      </c>
      <c r="D549" s="40" t="str">
        <f t="shared" si="86"/>
        <v xml:space="preserve">No pick yet                                                 </v>
      </c>
      <c r="E549" s="52">
        <f t="shared" si="87"/>
        <v>0</v>
      </c>
      <c r="H549" s="21"/>
      <c r="I549" s="22"/>
      <c r="J549" s="22"/>
      <c r="M549" s="18"/>
      <c r="N549" s="18"/>
      <c r="O549" s="18"/>
      <c r="P549" s="18"/>
      <c r="Q549" s="22"/>
      <c r="R549" s="21"/>
      <c r="S549" s="21"/>
      <c r="T549" s="21"/>
      <c r="AA549"/>
      <c r="AH549" t="str">
        <f t="shared" si="88"/>
        <v>k yet</v>
      </c>
    </row>
    <row r="550" spans="1:39">
      <c r="A550" s="42" t="s">
        <v>262</v>
      </c>
      <c r="B550" s="1" t="s">
        <v>20</v>
      </c>
      <c r="C550" s="40" t="str">
        <f t="shared" si="85"/>
        <v>17-&gt;</v>
      </c>
      <c r="D550" s="40" t="str">
        <f t="shared" si="86"/>
        <v xml:space="preserve">No pick yet                                                 </v>
      </c>
      <c r="E550" s="52">
        <f t="shared" si="87"/>
        <v>0</v>
      </c>
      <c r="K550" s="22"/>
      <c r="N550" s="22"/>
      <c r="O550" s="22"/>
      <c r="P550" s="22"/>
      <c r="Q550" s="22"/>
      <c r="R550" s="22"/>
      <c r="S550" s="22"/>
      <c r="Z550" s="53"/>
      <c r="AA550"/>
      <c r="AH550" t="str">
        <f t="shared" si="88"/>
        <v>k yet</v>
      </c>
    </row>
    <row r="551" spans="1:39">
      <c r="A551" s="42" t="s">
        <v>263</v>
      </c>
      <c r="B551" s="1" t="s">
        <v>20</v>
      </c>
      <c r="C551" s="40" t="str">
        <f t="shared" si="85"/>
        <v>18-&gt;</v>
      </c>
      <c r="D551" s="40" t="str">
        <f t="shared" si="86"/>
        <v xml:space="preserve">No pick yet                                                 </v>
      </c>
      <c r="E551" s="52">
        <f t="shared" si="87"/>
        <v>0</v>
      </c>
      <c r="F551" s="18"/>
      <c r="L551" s="21"/>
      <c r="N551" s="22"/>
      <c r="O551" s="22"/>
      <c r="P551" s="18"/>
      <c r="Q551" s="22"/>
      <c r="R551" s="22"/>
      <c r="S551" s="22"/>
      <c r="Z551" s="53"/>
      <c r="AA551"/>
      <c r="AH551" t="str">
        <f t="shared" si="88"/>
        <v>k yet</v>
      </c>
    </row>
    <row r="552" spans="1:39">
      <c r="A552" s="42" t="s">
        <v>264</v>
      </c>
      <c r="B552" s="1" t="s">
        <v>20</v>
      </c>
      <c r="C552" s="40" t="str">
        <f t="shared" si="85"/>
        <v>19-&gt;</v>
      </c>
      <c r="D552" s="40" t="str">
        <f t="shared" si="86"/>
        <v xml:space="preserve">No pick yet                                                 </v>
      </c>
      <c r="E552" s="52">
        <f t="shared" si="87"/>
        <v>0</v>
      </c>
      <c r="F552" s="18"/>
      <c r="M552" s="18"/>
      <c r="N552" s="18"/>
      <c r="O552" s="18"/>
      <c r="P552" s="18"/>
      <c r="Q552" s="22"/>
      <c r="R552" s="21"/>
      <c r="S552" s="21"/>
      <c r="T552" s="21"/>
      <c r="AA552"/>
      <c r="AH552" t="str">
        <f t="shared" si="88"/>
        <v>k yet</v>
      </c>
    </row>
    <row r="553" spans="1:39">
      <c r="A553" s="42" t="s">
        <v>265</v>
      </c>
      <c r="B553" s="1" t="s">
        <v>20</v>
      </c>
      <c r="C553" s="40" t="str">
        <f t="shared" si="85"/>
        <v>20-&gt;</v>
      </c>
      <c r="D553" s="40" t="str">
        <f t="shared" si="86"/>
        <v xml:space="preserve">No pick yet                                                 </v>
      </c>
      <c r="E553" s="52">
        <f t="shared" si="87"/>
        <v>0</v>
      </c>
      <c r="F553" s="18"/>
      <c r="M553" s="18"/>
      <c r="N553" s="18"/>
      <c r="O553" s="18"/>
      <c r="P553" s="18"/>
      <c r="Q553" s="22"/>
      <c r="R553" s="21"/>
      <c r="S553" s="21"/>
      <c r="T553" s="21"/>
      <c r="AA553"/>
      <c r="AH553" t="str">
        <f t="shared" si="88"/>
        <v>k yet</v>
      </c>
    </row>
    <row r="554" spans="1:39">
      <c r="A554" s="42" t="s">
        <v>266</v>
      </c>
      <c r="B554" s="1" t="s">
        <v>20</v>
      </c>
      <c r="C554" s="40" t="str">
        <f t="shared" si="85"/>
        <v>21-&gt;</v>
      </c>
      <c r="D554" s="40" t="str">
        <f t="shared" si="86"/>
        <v xml:space="preserve">No pick yet                                                 </v>
      </c>
      <c r="E554" s="52">
        <f t="shared" si="87"/>
        <v>0</v>
      </c>
      <c r="F554" s="18"/>
      <c r="M554" s="18"/>
      <c r="N554" s="18"/>
      <c r="O554" s="18"/>
      <c r="P554" s="18"/>
      <c r="Q554" s="22"/>
      <c r="R554" s="21"/>
      <c r="S554" s="21"/>
      <c r="T554" s="21"/>
      <c r="AA554"/>
      <c r="AH554" t="str">
        <f t="shared" si="88"/>
        <v>k yet</v>
      </c>
    </row>
    <row r="555" spans="1:39">
      <c r="A555" s="42" t="s">
        <v>267</v>
      </c>
      <c r="B555" s="1" t="s">
        <v>20</v>
      </c>
      <c r="C555" s="40" t="str">
        <f t="shared" si="85"/>
        <v>22-&gt;</v>
      </c>
      <c r="D555" s="40" t="str">
        <f t="shared" si="86"/>
        <v xml:space="preserve">No pick yet                                                 </v>
      </c>
      <c r="E555" s="52">
        <f t="shared" si="87"/>
        <v>0</v>
      </c>
      <c r="F555" s="18"/>
      <c r="M555" s="18"/>
      <c r="N555" s="18"/>
      <c r="O555" s="18"/>
      <c r="P555" s="18"/>
      <c r="Q555" s="22"/>
      <c r="R555" s="21"/>
      <c r="S555" s="21"/>
      <c r="T555" s="21"/>
      <c r="AA555"/>
      <c r="AH555" t="str">
        <f t="shared" si="88"/>
        <v>k yet</v>
      </c>
    </row>
    <row r="556" spans="1:39">
      <c r="A556" s="42" t="s">
        <v>268</v>
      </c>
      <c r="B556" s="1" t="s">
        <v>20</v>
      </c>
      <c r="C556" s="40" t="str">
        <f t="shared" si="85"/>
        <v>23-&gt;</v>
      </c>
      <c r="D556" s="40" t="str">
        <f t="shared" si="86"/>
        <v xml:space="preserve">No pick yet                                                 </v>
      </c>
      <c r="E556" s="52">
        <f t="shared" si="87"/>
        <v>0</v>
      </c>
      <c r="F556" s="18"/>
      <c r="M556" s="18"/>
      <c r="N556" s="18"/>
      <c r="O556" s="18"/>
      <c r="P556" s="18"/>
      <c r="Q556" s="22"/>
      <c r="R556" s="21"/>
      <c r="S556" s="21"/>
      <c r="T556" s="21"/>
      <c r="AA556"/>
      <c r="AH556" t="str">
        <f t="shared" si="88"/>
        <v>k yet</v>
      </c>
    </row>
    <row r="557" spans="1:39">
      <c r="A557" s="42" t="s">
        <v>269</v>
      </c>
      <c r="B557" s="1" t="s">
        <v>20</v>
      </c>
      <c r="C557" s="40" t="str">
        <f t="shared" si="85"/>
        <v>24-&gt;</v>
      </c>
      <c r="D557" s="40" t="str">
        <f t="shared" si="86"/>
        <v xml:space="preserve">No pick yet                                                 </v>
      </c>
      <c r="E557" s="52">
        <f t="shared" si="87"/>
        <v>0</v>
      </c>
      <c r="F557" s="18"/>
      <c r="M557" s="18"/>
      <c r="N557" s="18"/>
      <c r="O557" s="18"/>
      <c r="P557" s="18"/>
      <c r="Q557" s="22"/>
      <c r="R557" s="21"/>
      <c r="S557" s="21"/>
      <c r="T557" s="21"/>
      <c r="AA557"/>
      <c r="AH557" t="str">
        <f t="shared" si="88"/>
        <v>k yet</v>
      </c>
    </row>
    <row r="558" spans="1:39">
      <c r="A558" s="42" t="s">
        <v>270</v>
      </c>
      <c r="B558" s="1" t="s">
        <v>20</v>
      </c>
      <c r="C558" s="40" t="str">
        <f t="shared" si="85"/>
        <v>25-&gt;</v>
      </c>
      <c r="D558" s="40" t="str">
        <f t="shared" si="86"/>
        <v xml:space="preserve">No pick yet                                                 </v>
      </c>
      <c r="E558" s="52">
        <f t="shared" si="87"/>
        <v>0</v>
      </c>
      <c r="F558" s="18"/>
      <c r="M558" s="18"/>
      <c r="N558" s="18"/>
      <c r="O558" s="18"/>
      <c r="P558" s="18"/>
      <c r="Q558" s="22"/>
      <c r="R558" s="21"/>
      <c r="S558" s="21"/>
      <c r="T558" s="21"/>
      <c r="AA558"/>
      <c r="AH558" t="str">
        <f t="shared" si="88"/>
        <v>k yet</v>
      </c>
    </row>
    <row r="559" spans="1:39">
      <c r="A559" s="42" t="s">
        <v>271</v>
      </c>
      <c r="B559" s="1" t="s">
        <v>20</v>
      </c>
      <c r="C559" s="40" t="str">
        <f t="shared" si="85"/>
        <v>26-&gt;</v>
      </c>
      <c r="D559" s="40" t="str">
        <f t="shared" si="86"/>
        <v xml:space="preserve">No pick yet                                                 </v>
      </c>
      <c r="E559" s="52">
        <f t="shared" si="87"/>
        <v>0</v>
      </c>
      <c r="F559" s="18"/>
      <c r="M559" s="18"/>
      <c r="N559" s="18"/>
      <c r="O559" s="18"/>
      <c r="P559" s="18"/>
      <c r="Q559" s="22"/>
      <c r="R559" s="21"/>
      <c r="S559" s="21"/>
      <c r="T559" s="21"/>
      <c r="AA559"/>
      <c r="AH559" t="str">
        <f t="shared" si="88"/>
        <v>k yet</v>
      </c>
    </row>
    <row r="560" spans="1:39">
      <c r="A560" s="38"/>
      <c r="B560" s="40"/>
      <c r="C560" s="40"/>
      <c r="D560" s="49"/>
      <c r="E560" s="41" t="s">
        <v>69</v>
      </c>
      <c r="F560" s="18"/>
      <c r="K560" s="22" t="s">
        <v>73</v>
      </c>
      <c r="L560" s="18" t="s">
        <v>74</v>
      </c>
      <c r="M560" s="22" t="s">
        <v>78</v>
      </c>
      <c r="N560" s="22" t="s">
        <v>79</v>
      </c>
      <c r="O560" s="22" t="s">
        <v>80</v>
      </c>
      <c r="P560" s="22" t="s">
        <v>81</v>
      </c>
      <c r="Q560" s="22" t="s">
        <v>82</v>
      </c>
      <c r="R560" s="22" t="s">
        <v>83</v>
      </c>
      <c r="S560" s="22" t="s">
        <v>84</v>
      </c>
      <c r="T560" s="18" t="s">
        <v>85</v>
      </c>
      <c r="U560" s="18" t="s">
        <v>86</v>
      </c>
      <c r="V560" s="18" t="s">
        <v>87</v>
      </c>
      <c r="W560" s="18" t="s">
        <v>88</v>
      </c>
      <c r="X560" s="18" t="s">
        <v>89</v>
      </c>
      <c r="Y560" s="18" t="s">
        <v>90</v>
      </c>
      <c r="Z560" s="18" t="s">
        <v>91</v>
      </c>
      <c r="AA560" s="18" t="s">
        <v>92</v>
      </c>
      <c r="AB560" s="18" t="s">
        <v>93</v>
      </c>
      <c r="AC560" s="18" t="s">
        <v>94</v>
      </c>
      <c r="AD560" s="18" t="s">
        <v>235</v>
      </c>
      <c r="AE560" s="18" t="s">
        <v>236</v>
      </c>
      <c r="AF560" s="18" t="s">
        <v>237</v>
      </c>
      <c r="AG560" s="18" t="s">
        <v>238</v>
      </c>
      <c r="AH560" s="18" t="s">
        <v>239</v>
      </c>
      <c r="AI560" s="18" t="s">
        <v>240</v>
      </c>
      <c r="AJ560" s="18" t="s">
        <v>241</v>
      </c>
      <c r="AK560" s="18" t="s">
        <v>242</v>
      </c>
      <c r="AL560" s="18" t="s">
        <v>243</v>
      </c>
      <c r="AM560" s="50" t="s">
        <v>244</v>
      </c>
    </row>
    <row r="561" spans="1:39">
      <c r="A561" s="40" t="s">
        <v>245</v>
      </c>
      <c r="B561" s="51" t="str">
        <f>D19</f>
        <v/>
      </c>
      <c r="C561" s="40" t="str">
        <f t="shared" ref="C561:C587" si="89">A561</f>
        <v>#</v>
      </c>
      <c r="D561" s="40" t="str">
        <f>"   "&amp;B561&amp;REPT(" ",$AH$70-LEN(B561)-3)</f>
        <v xml:space="preserve">                                                            </v>
      </c>
      <c r="E561" s="38" t="str">
        <f>SUM(E562:E587)&amp;" pts[/b]"</f>
        <v>0 pts[/b]</v>
      </c>
      <c r="F561" s="21">
        <f>SUM(E562:E587)</f>
        <v>0</v>
      </c>
      <c r="K561" s="18">
        <f>COUNTIF(E562:E587,"&gt;0")</f>
        <v>0</v>
      </c>
      <c r="L561" s="21">
        <f>AM561-K561</f>
        <v>0</v>
      </c>
      <c r="M561" s="22">
        <f>MAX(E562:E587)</f>
        <v>0</v>
      </c>
      <c r="N561" s="22">
        <f>LARGE(E562:E587,2)</f>
        <v>0</v>
      </c>
      <c r="O561" s="22">
        <f>LARGE(E562:E587,3)</f>
        <v>0</v>
      </c>
      <c r="P561" s="18">
        <f>LARGE(E562:E587,4)</f>
        <v>0</v>
      </c>
      <c r="Q561" s="22">
        <f>LARGE(E562:E587,5)</f>
        <v>0</v>
      </c>
      <c r="R561" s="22">
        <f>LARGE(E562:E587,6)</f>
        <v>0</v>
      </c>
      <c r="S561" s="22">
        <f>LARGE(E562:E587,7)</f>
        <v>0</v>
      </c>
      <c r="T561" s="18">
        <f>LARGE(E562:E587,8)</f>
        <v>0</v>
      </c>
      <c r="U561" s="18">
        <f>LARGE(E562:E587,9)</f>
        <v>0</v>
      </c>
      <c r="V561" s="18">
        <f>LARGE(E562:E587,10)</f>
        <v>0</v>
      </c>
      <c r="W561" s="18">
        <f>LARGE(E562:E587,11)</f>
        <v>0</v>
      </c>
      <c r="X561" s="18">
        <f>LARGE(E562:E587,12)</f>
        <v>0</v>
      </c>
      <c r="Y561" s="18">
        <f>LARGE(E562:E587,13)</f>
        <v>0</v>
      </c>
      <c r="Z561" s="18">
        <f>LARGE(E562:E587,14)</f>
        <v>0</v>
      </c>
      <c r="AA561" s="18">
        <f>LARGE(E562:E587,15)</f>
        <v>0</v>
      </c>
      <c r="AB561" s="18">
        <f>LARGE(E562:E587,16)</f>
        <v>0</v>
      </c>
      <c r="AC561" s="18">
        <f>LARGE(E562:E587,17)</f>
        <v>0</v>
      </c>
      <c r="AD561" s="18">
        <f>LARGE(E562:E588,13)</f>
        <v>0</v>
      </c>
      <c r="AE561" s="18">
        <f>LARGE(E562:E587,19)</f>
        <v>0</v>
      </c>
      <c r="AF561" s="18">
        <f>LARGE(E562:E587,20)</f>
        <v>0</v>
      </c>
      <c r="AG561" s="18">
        <f>LARGE(E562:E587,21)</f>
        <v>0</v>
      </c>
      <c r="AH561" s="18">
        <f>LARGE(E562:E587,22)</f>
        <v>0</v>
      </c>
      <c r="AI561" s="18">
        <f>LARGE(E562:E587,23)</f>
        <v>0</v>
      </c>
      <c r="AJ561" s="18">
        <f>LARGE(E562:E587,24)</f>
        <v>0</v>
      </c>
      <c r="AK561" s="18">
        <f>LARGE(E562:E587,25)</f>
        <v>0</v>
      </c>
      <c r="AL561" s="18">
        <f>LARGE(E562:E587,26)</f>
        <v>0</v>
      </c>
      <c r="AM561" s="50">
        <f>COUNTIF(AH562:AH587,"&lt;&gt;"&amp;AH76)-(26-COUNTIF(E562:E587,"&gt;=0"))</f>
        <v>0</v>
      </c>
    </row>
    <row r="562" spans="1:39">
      <c r="A562" s="42" t="s">
        <v>246</v>
      </c>
      <c r="B562" s="1" t="s">
        <v>20</v>
      </c>
      <c r="C562" s="40" t="str">
        <f t="shared" si="89"/>
        <v>01-&gt;</v>
      </c>
      <c r="D562" s="40" t="str">
        <f t="shared" ref="D562:D587" si="90">B562&amp;REPT(" ",$AH$70-LEN(B562))</f>
        <v xml:space="preserve">No pick yet                                                 </v>
      </c>
      <c r="E562" s="52">
        <f t="shared" ref="E562:E587" si="91">VLOOKUP(RIGHT(B562,LEN(B562)-$AH$66),$H$138:$I$420,2,0)</f>
        <v>0</v>
      </c>
      <c r="F562" s="18"/>
      <c r="M562" s="18"/>
      <c r="N562" s="18"/>
      <c r="O562" s="18"/>
      <c r="P562" s="18"/>
      <c r="Q562" s="22"/>
      <c r="R562" s="21"/>
      <c r="S562" s="21"/>
      <c r="T562" s="21"/>
      <c r="AA562"/>
      <c r="AH562" t="str">
        <f t="shared" ref="AH562:AH587" si="92">RIGHT(B562,LEN(B562)-$AH$66)</f>
        <v>k yet</v>
      </c>
    </row>
    <row r="563" spans="1:39">
      <c r="A563" s="42" t="s">
        <v>247</v>
      </c>
      <c r="B563" s="1" t="s">
        <v>20</v>
      </c>
      <c r="C563" s="40" t="str">
        <f t="shared" si="89"/>
        <v>02-&gt;</v>
      </c>
      <c r="D563" s="40" t="str">
        <f t="shared" si="90"/>
        <v xml:space="preserve">No pick yet                                                 </v>
      </c>
      <c r="E563" s="52">
        <f t="shared" si="91"/>
        <v>0</v>
      </c>
      <c r="F563" s="18"/>
      <c r="G563" s="22"/>
      <c r="I563" s="22"/>
      <c r="J563" s="22"/>
      <c r="K563" s="22"/>
      <c r="N563" s="22"/>
      <c r="O563" s="22"/>
      <c r="P563" s="22"/>
      <c r="Q563" s="22"/>
      <c r="R563" s="22"/>
      <c r="S563" s="22"/>
      <c r="Z563" s="53"/>
      <c r="AA563"/>
      <c r="AH563" t="str">
        <f t="shared" si="92"/>
        <v>k yet</v>
      </c>
    </row>
    <row r="564" spans="1:39">
      <c r="A564" s="42" t="s">
        <v>248</v>
      </c>
      <c r="B564" s="1" t="s">
        <v>20</v>
      </c>
      <c r="C564" s="40" t="str">
        <f t="shared" si="89"/>
        <v>03-&gt;</v>
      </c>
      <c r="D564" s="40" t="str">
        <f t="shared" si="90"/>
        <v xml:space="preserve">No pick yet                                                 </v>
      </c>
      <c r="E564" s="52">
        <f t="shared" si="91"/>
        <v>0</v>
      </c>
      <c r="F564" s="18"/>
      <c r="H564" s="21"/>
      <c r="I564" s="22"/>
      <c r="J564" s="22"/>
      <c r="L564" s="21"/>
      <c r="N564" s="22"/>
      <c r="O564" s="22"/>
      <c r="P564" s="18"/>
      <c r="Q564" s="22"/>
      <c r="R564" s="22"/>
      <c r="S564" s="22"/>
      <c r="Z564" s="53"/>
      <c r="AA564"/>
      <c r="AH564" t="str">
        <f t="shared" si="92"/>
        <v>k yet</v>
      </c>
    </row>
    <row r="565" spans="1:39">
      <c r="A565" s="42" t="s">
        <v>249</v>
      </c>
      <c r="B565" s="1" t="s">
        <v>20</v>
      </c>
      <c r="C565" s="40" t="str">
        <f t="shared" si="89"/>
        <v>04-&gt;</v>
      </c>
      <c r="D565" s="40" t="str">
        <f t="shared" si="90"/>
        <v xml:space="preserve">No pick yet                                                 </v>
      </c>
      <c r="E565" s="52">
        <f t="shared" si="91"/>
        <v>0</v>
      </c>
      <c r="F565" s="18"/>
      <c r="M565" s="18"/>
      <c r="N565" s="18"/>
      <c r="O565" s="18"/>
      <c r="P565" s="18"/>
      <c r="Q565" s="22"/>
      <c r="R565" s="21"/>
      <c r="S565" s="21"/>
      <c r="T565" s="21"/>
      <c r="AA565"/>
      <c r="AH565" t="str">
        <f t="shared" si="92"/>
        <v>k yet</v>
      </c>
    </row>
    <row r="566" spans="1:39">
      <c r="A566" s="42" t="s">
        <v>250</v>
      </c>
      <c r="B566" s="1" t="s">
        <v>20</v>
      </c>
      <c r="C566" s="40" t="str">
        <f t="shared" si="89"/>
        <v>05-&gt;</v>
      </c>
      <c r="D566" s="40" t="str">
        <f t="shared" si="90"/>
        <v xml:space="preserve">No pick yet                                                 </v>
      </c>
      <c r="E566" s="52">
        <f t="shared" si="91"/>
        <v>0</v>
      </c>
      <c r="F566" s="18"/>
      <c r="M566" s="18"/>
      <c r="N566" s="18"/>
      <c r="O566" s="18"/>
      <c r="P566" s="18"/>
      <c r="Q566" s="22"/>
      <c r="R566" s="21"/>
      <c r="S566" s="21"/>
      <c r="T566" s="21"/>
      <c r="AA566"/>
      <c r="AH566" t="str">
        <f t="shared" si="92"/>
        <v>k yet</v>
      </c>
    </row>
    <row r="567" spans="1:39">
      <c r="A567" s="42" t="s">
        <v>251</v>
      </c>
      <c r="B567" s="1" t="s">
        <v>20</v>
      </c>
      <c r="C567" s="40" t="str">
        <f t="shared" si="89"/>
        <v>06-&gt;</v>
      </c>
      <c r="D567" s="40" t="str">
        <f t="shared" si="90"/>
        <v xml:space="preserve">No pick yet                                                 </v>
      </c>
      <c r="E567" s="52">
        <f t="shared" si="91"/>
        <v>0</v>
      </c>
      <c r="F567" s="18"/>
      <c r="M567" s="18"/>
      <c r="N567" s="18"/>
      <c r="O567" s="18"/>
      <c r="P567" s="18"/>
      <c r="Q567" s="22"/>
      <c r="R567" s="21"/>
      <c r="S567" s="21"/>
      <c r="T567" s="21"/>
      <c r="AA567"/>
      <c r="AH567" t="str">
        <f t="shared" si="92"/>
        <v>k yet</v>
      </c>
    </row>
    <row r="568" spans="1:39">
      <c r="A568" s="42" t="s">
        <v>252</v>
      </c>
      <c r="B568" s="1" t="s">
        <v>20</v>
      </c>
      <c r="C568" s="40" t="str">
        <f t="shared" si="89"/>
        <v>07-&gt;</v>
      </c>
      <c r="D568" s="40" t="str">
        <f t="shared" si="90"/>
        <v xml:space="preserve">No pick yet                                                 </v>
      </c>
      <c r="E568" s="52">
        <f t="shared" si="91"/>
        <v>0</v>
      </c>
      <c r="F568" s="18"/>
      <c r="M568" s="18"/>
      <c r="N568" s="18"/>
      <c r="O568" s="18"/>
      <c r="P568" s="18"/>
      <c r="Q568" s="22"/>
      <c r="R568" s="21"/>
      <c r="S568" s="21"/>
      <c r="T568" s="21"/>
      <c r="AA568"/>
      <c r="AH568" t="str">
        <f t="shared" si="92"/>
        <v>k yet</v>
      </c>
    </row>
    <row r="569" spans="1:39">
      <c r="A569" s="42" t="s">
        <v>253</v>
      </c>
      <c r="B569" s="1" t="s">
        <v>20</v>
      </c>
      <c r="C569" s="40" t="str">
        <f t="shared" si="89"/>
        <v>08-&gt;</v>
      </c>
      <c r="D569" s="40" t="str">
        <f t="shared" si="90"/>
        <v xml:space="preserve">No pick yet                                                 </v>
      </c>
      <c r="E569" s="52">
        <f t="shared" si="91"/>
        <v>0</v>
      </c>
      <c r="F569" s="18"/>
      <c r="M569" s="18"/>
      <c r="N569" s="18"/>
      <c r="O569" s="18"/>
      <c r="P569" s="18"/>
      <c r="Q569" s="22"/>
      <c r="R569" s="21"/>
      <c r="S569" s="21"/>
      <c r="T569" s="21"/>
      <c r="AA569"/>
      <c r="AH569" t="str">
        <f t="shared" si="92"/>
        <v>k yet</v>
      </c>
    </row>
    <row r="570" spans="1:39">
      <c r="A570" s="42" t="s">
        <v>254</v>
      </c>
      <c r="B570" s="1" t="s">
        <v>20</v>
      </c>
      <c r="C570" s="40" t="str">
        <f t="shared" si="89"/>
        <v>09-&gt;</v>
      </c>
      <c r="D570" s="40" t="str">
        <f t="shared" si="90"/>
        <v xml:space="preserve">No pick yet                                                 </v>
      </c>
      <c r="E570" s="52">
        <f t="shared" si="91"/>
        <v>0</v>
      </c>
      <c r="F570" s="18"/>
      <c r="M570" s="18"/>
      <c r="N570" s="18"/>
      <c r="O570" s="18"/>
      <c r="P570" s="18"/>
      <c r="Q570" s="22"/>
      <c r="R570" s="21"/>
      <c r="S570" s="21"/>
      <c r="T570" s="21"/>
      <c r="AA570"/>
      <c r="AH570" t="str">
        <f t="shared" si="92"/>
        <v>k yet</v>
      </c>
    </row>
    <row r="571" spans="1:39">
      <c r="A571" s="42" t="s">
        <v>255</v>
      </c>
      <c r="B571" s="1" t="s">
        <v>20</v>
      </c>
      <c r="C571" s="40" t="str">
        <f t="shared" si="89"/>
        <v>10-&gt;</v>
      </c>
      <c r="D571" s="40" t="str">
        <f t="shared" si="90"/>
        <v xml:space="preserve">No pick yet                                                 </v>
      </c>
      <c r="E571" s="52">
        <f t="shared" si="91"/>
        <v>0</v>
      </c>
      <c r="F571" s="22"/>
      <c r="M571" s="18"/>
      <c r="N571" s="18"/>
      <c r="O571" s="18"/>
      <c r="P571" s="18"/>
      <c r="Q571" s="22"/>
      <c r="R571" s="21"/>
      <c r="S571" s="21"/>
      <c r="T571" s="21"/>
      <c r="AA571"/>
      <c r="AH571" t="str">
        <f t="shared" si="92"/>
        <v>k yet</v>
      </c>
    </row>
    <row r="572" spans="1:39">
      <c r="A572" s="42" t="s">
        <v>256</v>
      </c>
      <c r="B572" s="1" t="s">
        <v>20</v>
      </c>
      <c r="C572" s="40" t="str">
        <f t="shared" si="89"/>
        <v>11-&gt;</v>
      </c>
      <c r="D572" s="40" t="str">
        <f t="shared" si="90"/>
        <v xml:space="preserve">No pick yet                                                 </v>
      </c>
      <c r="E572" s="52">
        <f t="shared" si="91"/>
        <v>0</v>
      </c>
      <c r="M572" s="18"/>
      <c r="N572" s="18"/>
      <c r="O572" s="18"/>
      <c r="P572" s="18"/>
      <c r="Q572" s="22"/>
      <c r="R572" s="21"/>
      <c r="S572" s="21"/>
      <c r="T572" s="21"/>
      <c r="AA572"/>
      <c r="AH572" t="str">
        <f t="shared" si="92"/>
        <v>k yet</v>
      </c>
    </row>
    <row r="573" spans="1:39">
      <c r="A573" s="42" t="s">
        <v>257</v>
      </c>
      <c r="B573" s="1" t="s">
        <v>20</v>
      </c>
      <c r="C573" s="40" t="str">
        <f t="shared" si="89"/>
        <v>12-&gt;</v>
      </c>
      <c r="D573" s="40" t="str">
        <f t="shared" si="90"/>
        <v xml:space="preserve">No pick yet                                                 </v>
      </c>
      <c r="E573" s="52">
        <f t="shared" si="91"/>
        <v>0</v>
      </c>
      <c r="M573" s="18"/>
      <c r="N573" s="18"/>
      <c r="O573" s="18"/>
      <c r="P573" s="18"/>
      <c r="Q573" s="22"/>
      <c r="R573" s="21"/>
      <c r="S573" s="21"/>
      <c r="T573" s="21"/>
      <c r="AA573"/>
      <c r="AH573" t="str">
        <f t="shared" si="92"/>
        <v>k yet</v>
      </c>
    </row>
    <row r="574" spans="1:39">
      <c r="A574" s="42" t="s">
        <v>258</v>
      </c>
      <c r="B574" s="1" t="s">
        <v>20</v>
      </c>
      <c r="C574" s="40" t="str">
        <f t="shared" si="89"/>
        <v>13-&gt;</v>
      </c>
      <c r="D574" s="40" t="str">
        <f t="shared" si="90"/>
        <v xml:space="preserve">No pick yet                                                 </v>
      </c>
      <c r="E574" s="52">
        <f t="shared" si="91"/>
        <v>0</v>
      </c>
      <c r="M574" s="18"/>
      <c r="N574" s="18"/>
      <c r="O574" s="18"/>
      <c r="P574" s="18"/>
      <c r="Q574" s="22"/>
      <c r="R574" s="21"/>
      <c r="S574" s="21"/>
      <c r="T574" s="21"/>
      <c r="AA574"/>
      <c r="AH574" t="str">
        <f t="shared" si="92"/>
        <v>k yet</v>
      </c>
    </row>
    <row r="575" spans="1:39">
      <c r="A575" s="42" t="s">
        <v>259</v>
      </c>
      <c r="B575" s="1" t="s">
        <v>20</v>
      </c>
      <c r="C575" s="40" t="str">
        <f t="shared" si="89"/>
        <v>14-&gt;</v>
      </c>
      <c r="D575" s="40" t="str">
        <f t="shared" si="90"/>
        <v xml:space="preserve">No pick yet                                                 </v>
      </c>
      <c r="E575" s="52">
        <f t="shared" si="91"/>
        <v>0</v>
      </c>
      <c r="M575" s="18"/>
      <c r="N575" s="18"/>
      <c r="O575" s="18"/>
      <c r="P575" s="18"/>
      <c r="Q575" s="22"/>
      <c r="R575" s="21"/>
      <c r="S575" s="21"/>
      <c r="T575" s="21"/>
      <c r="AA575"/>
      <c r="AH575" t="str">
        <f t="shared" si="92"/>
        <v>k yet</v>
      </c>
    </row>
    <row r="576" spans="1:39">
      <c r="A576" s="42" t="s">
        <v>260</v>
      </c>
      <c r="B576" s="1" t="s">
        <v>20</v>
      </c>
      <c r="C576" s="40" t="str">
        <f t="shared" si="89"/>
        <v>15-&gt;</v>
      </c>
      <c r="D576" s="40" t="str">
        <f t="shared" si="90"/>
        <v xml:space="preserve">No pick yet                                                 </v>
      </c>
      <c r="E576" s="52">
        <f t="shared" si="91"/>
        <v>0</v>
      </c>
      <c r="M576" s="18"/>
      <c r="N576" s="18"/>
      <c r="O576" s="18"/>
      <c r="P576" s="18"/>
      <c r="Q576" s="22"/>
      <c r="R576" s="21"/>
      <c r="S576" s="21"/>
      <c r="T576" s="21"/>
      <c r="AA576"/>
      <c r="AH576" t="str">
        <f t="shared" si="92"/>
        <v>k yet</v>
      </c>
    </row>
    <row r="577" spans="1:39">
      <c r="A577" s="42" t="s">
        <v>261</v>
      </c>
      <c r="B577" s="1" t="s">
        <v>20</v>
      </c>
      <c r="C577" s="40" t="str">
        <f t="shared" si="89"/>
        <v>16-&gt;</v>
      </c>
      <c r="D577" s="40" t="str">
        <f t="shared" si="90"/>
        <v xml:space="preserve">No pick yet                                                 </v>
      </c>
      <c r="E577" s="52">
        <f t="shared" si="91"/>
        <v>0</v>
      </c>
      <c r="M577" s="18"/>
      <c r="N577" s="18"/>
      <c r="O577" s="18"/>
      <c r="P577" s="18"/>
      <c r="Q577" s="22"/>
      <c r="R577" s="21"/>
      <c r="S577" s="21"/>
      <c r="T577" s="21"/>
      <c r="AA577"/>
      <c r="AH577" t="str">
        <f t="shared" si="92"/>
        <v>k yet</v>
      </c>
    </row>
    <row r="578" spans="1:39">
      <c r="A578" s="42" t="s">
        <v>262</v>
      </c>
      <c r="B578" s="1" t="s">
        <v>20</v>
      </c>
      <c r="C578" s="40" t="str">
        <f t="shared" si="89"/>
        <v>17-&gt;</v>
      </c>
      <c r="D578" s="40" t="str">
        <f t="shared" si="90"/>
        <v xml:space="preserve">No pick yet                                                 </v>
      </c>
      <c r="E578" s="52">
        <f t="shared" si="91"/>
        <v>0</v>
      </c>
      <c r="G578" s="22"/>
      <c r="I578" s="22"/>
      <c r="J578" s="22"/>
      <c r="K578" s="22"/>
      <c r="N578" s="22"/>
      <c r="O578" s="22"/>
      <c r="P578" s="22"/>
      <c r="Q578" s="22"/>
      <c r="R578" s="22"/>
      <c r="S578" s="22"/>
      <c r="Z578" s="53"/>
      <c r="AA578"/>
      <c r="AH578" t="str">
        <f t="shared" si="92"/>
        <v>k yet</v>
      </c>
    </row>
    <row r="579" spans="1:39">
      <c r="A579" s="42" t="s">
        <v>263</v>
      </c>
      <c r="B579" s="1" t="s">
        <v>20</v>
      </c>
      <c r="C579" s="40" t="str">
        <f t="shared" si="89"/>
        <v>18-&gt;</v>
      </c>
      <c r="D579" s="40" t="str">
        <f t="shared" si="90"/>
        <v xml:space="preserve">No pick yet                                                 </v>
      </c>
      <c r="E579" s="52">
        <f t="shared" si="91"/>
        <v>0</v>
      </c>
      <c r="F579" s="18"/>
      <c r="H579" s="21"/>
      <c r="I579" s="22"/>
      <c r="J579" s="22"/>
      <c r="L579" s="21"/>
      <c r="N579" s="22"/>
      <c r="O579" s="22"/>
      <c r="P579" s="18"/>
      <c r="Q579" s="22"/>
      <c r="R579" s="22"/>
      <c r="S579" s="22"/>
      <c r="Z579" s="53"/>
      <c r="AA579"/>
      <c r="AH579" t="str">
        <f t="shared" si="92"/>
        <v>k yet</v>
      </c>
    </row>
    <row r="580" spans="1:39">
      <c r="A580" s="42" t="s">
        <v>264</v>
      </c>
      <c r="B580" s="1" t="s">
        <v>20</v>
      </c>
      <c r="C580" s="40" t="str">
        <f t="shared" si="89"/>
        <v>19-&gt;</v>
      </c>
      <c r="D580" s="40" t="str">
        <f t="shared" si="90"/>
        <v xml:space="preserve">No pick yet                                                 </v>
      </c>
      <c r="E580" s="52">
        <f t="shared" si="91"/>
        <v>0</v>
      </c>
      <c r="F580" s="18"/>
      <c r="M580" s="18"/>
      <c r="N580" s="18"/>
      <c r="O580" s="18"/>
      <c r="P580" s="18"/>
      <c r="Q580" s="22"/>
      <c r="R580" s="21"/>
      <c r="S580" s="21"/>
      <c r="T580" s="21"/>
      <c r="AA580"/>
      <c r="AH580" t="str">
        <f t="shared" si="92"/>
        <v>k yet</v>
      </c>
    </row>
    <row r="581" spans="1:39">
      <c r="A581" s="42" t="s">
        <v>265</v>
      </c>
      <c r="B581" s="1" t="s">
        <v>20</v>
      </c>
      <c r="C581" s="40" t="str">
        <f t="shared" si="89"/>
        <v>20-&gt;</v>
      </c>
      <c r="D581" s="40" t="str">
        <f t="shared" si="90"/>
        <v xml:space="preserve">No pick yet                                                 </v>
      </c>
      <c r="E581" s="52">
        <f t="shared" si="91"/>
        <v>0</v>
      </c>
      <c r="F581" s="18"/>
      <c r="M581" s="18"/>
      <c r="N581" s="18"/>
      <c r="O581" s="18"/>
      <c r="P581" s="18"/>
      <c r="Q581" s="22"/>
      <c r="R581" s="21"/>
      <c r="S581" s="21"/>
      <c r="T581" s="21"/>
      <c r="AA581"/>
      <c r="AH581" t="str">
        <f t="shared" si="92"/>
        <v>k yet</v>
      </c>
    </row>
    <row r="582" spans="1:39">
      <c r="A582" s="42" t="s">
        <v>266</v>
      </c>
      <c r="B582" s="1" t="s">
        <v>20</v>
      </c>
      <c r="C582" s="40" t="str">
        <f t="shared" si="89"/>
        <v>21-&gt;</v>
      </c>
      <c r="D582" s="40" t="str">
        <f t="shared" si="90"/>
        <v xml:space="preserve">No pick yet                                                 </v>
      </c>
      <c r="E582" s="52">
        <f t="shared" si="91"/>
        <v>0</v>
      </c>
      <c r="F582" s="18"/>
      <c r="M582" s="18"/>
      <c r="N582" s="18"/>
      <c r="O582" s="18"/>
      <c r="P582" s="18"/>
      <c r="Q582" s="22"/>
      <c r="R582" s="21"/>
      <c r="S582" s="21"/>
      <c r="T582" s="21"/>
      <c r="AA582"/>
      <c r="AH582" t="str">
        <f t="shared" si="92"/>
        <v>k yet</v>
      </c>
    </row>
    <row r="583" spans="1:39">
      <c r="A583" s="42" t="s">
        <v>267</v>
      </c>
      <c r="B583" s="1" t="s">
        <v>20</v>
      </c>
      <c r="C583" s="40" t="str">
        <f t="shared" si="89"/>
        <v>22-&gt;</v>
      </c>
      <c r="D583" s="40" t="str">
        <f t="shared" si="90"/>
        <v xml:space="preserve">No pick yet                                                 </v>
      </c>
      <c r="E583" s="52">
        <f t="shared" si="91"/>
        <v>0</v>
      </c>
      <c r="F583" s="18"/>
      <c r="M583" s="18"/>
      <c r="N583" s="18"/>
      <c r="O583" s="18"/>
      <c r="P583" s="18"/>
      <c r="Q583" s="22"/>
      <c r="R583" s="21"/>
      <c r="S583" s="21"/>
      <c r="T583" s="21"/>
      <c r="AA583"/>
      <c r="AH583" t="str">
        <f t="shared" si="92"/>
        <v>k yet</v>
      </c>
    </row>
    <row r="584" spans="1:39">
      <c r="A584" s="42" t="s">
        <v>268</v>
      </c>
      <c r="B584" s="1" t="s">
        <v>20</v>
      </c>
      <c r="C584" s="40" t="str">
        <f t="shared" si="89"/>
        <v>23-&gt;</v>
      </c>
      <c r="D584" s="40" t="str">
        <f t="shared" si="90"/>
        <v xml:space="preserve">No pick yet                                                 </v>
      </c>
      <c r="E584" s="52">
        <f t="shared" si="91"/>
        <v>0</v>
      </c>
      <c r="F584" s="18"/>
      <c r="M584" s="18"/>
      <c r="N584" s="18"/>
      <c r="O584" s="18"/>
      <c r="P584" s="18"/>
      <c r="Q584" s="22"/>
      <c r="R584" s="21"/>
      <c r="S584" s="21"/>
      <c r="T584" s="21"/>
      <c r="AA584"/>
      <c r="AH584" t="str">
        <f t="shared" si="92"/>
        <v>k yet</v>
      </c>
    </row>
    <row r="585" spans="1:39">
      <c r="A585" s="42" t="s">
        <v>269</v>
      </c>
      <c r="B585" s="1" t="s">
        <v>20</v>
      </c>
      <c r="C585" s="40" t="str">
        <f t="shared" si="89"/>
        <v>24-&gt;</v>
      </c>
      <c r="D585" s="40" t="str">
        <f t="shared" si="90"/>
        <v xml:space="preserve">No pick yet                                                 </v>
      </c>
      <c r="E585" s="52">
        <f t="shared" si="91"/>
        <v>0</v>
      </c>
      <c r="F585" s="18"/>
      <c r="M585" s="18"/>
      <c r="N585" s="18"/>
      <c r="O585" s="18"/>
      <c r="P585" s="18"/>
      <c r="Q585" s="22"/>
      <c r="R585" s="21"/>
      <c r="S585" s="21"/>
      <c r="T585" s="21"/>
      <c r="AA585"/>
      <c r="AH585" t="str">
        <f t="shared" si="92"/>
        <v>k yet</v>
      </c>
    </row>
    <row r="586" spans="1:39">
      <c r="A586" s="42" t="s">
        <v>270</v>
      </c>
      <c r="B586" s="1" t="s">
        <v>20</v>
      </c>
      <c r="C586" s="40" t="str">
        <f t="shared" si="89"/>
        <v>25-&gt;</v>
      </c>
      <c r="D586" s="40" t="str">
        <f t="shared" si="90"/>
        <v xml:space="preserve">No pick yet                                                 </v>
      </c>
      <c r="E586" s="52">
        <f t="shared" si="91"/>
        <v>0</v>
      </c>
      <c r="F586" s="18"/>
      <c r="M586" s="18"/>
      <c r="N586" s="18"/>
      <c r="O586" s="18"/>
      <c r="P586" s="18"/>
      <c r="Q586" s="22"/>
      <c r="R586" s="21"/>
      <c r="S586" s="21"/>
      <c r="T586" s="21"/>
      <c r="AA586"/>
      <c r="AH586" t="str">
        <f t="shared" si="92"/>
        <v>k yet</v>
      </c>
    </row>
    <row r="587" spans="1:39">
      <c r="A587" s="42" t="s">
        <v>271</v>
      </c>
      <c r="B587" s="1" t="s">
        <v>20</v>
      </c>
      <c r="C587" s="40" t="str">
        <f t="shared" si="89"/>
        <v>26-&gt;</v>
      </c>
      <c r="D587" s="40" t="str">
        <f t="shared" si="90"/>
        <v xml:space="preserve">No pick yet                                                 </v>
      </c>
      <c r="E587" s="52">
        <f t="shared" si="91"/>
        <v>0</v>
      </c>
      <c r="F587" s="18"/>
      <c r="M587" s="18"/>
      <c r="N587" s="18"/>
      <c r="O587" s="18"/>
      <c r="P587" s="18"/>
      <c r="Q587" s="22"/>
      <c r="R587" s="21"/>
      <c r="S587" s="21"/>
      <c r="T587" s="21"/>
      <c r="AA587"/>
      <c r="AH587" t="str">
        <f t="shared" si="92"/>
        <v>k yet</v>
      </c>
    </row>
    <row r="588" spans="1:39">
      <c r="A588" s="38"/>
      <c r="B588" s="40"/>
      <c r="C588" s="40"/>
      <c r="D588" s="49"/>
      <c r="E588" s="41" t="s">
        <v>69</v>
      </c>
      <c r="F588" s="18"/>
      <c r="K588" s="22" t="s">
        <v>73</v>
      </c>
      <c r="L588" s="18" t="s">
        <v>74</v>
      </c>
      <c r="M588" s="22" t="s">
        <v>78</v>
      </c>
      <c r="N588" s="22" t="s">
        <v>79</v>
      </c>
      <c r="O588" s="22" t="s">
        <v>80</v>
      </c>
      <c r="P588" s="22" t="s">
        <v>81</v>
      </c>
      <c r="Q588" s="22" t="s">
        <v>82</v>
      </c>
      <c r="R588" s="22" t="s">
        <v>83</v>
      </c>
      <c r="S588" s="22" t="s">
        <v>84</v>
      </c>
      <c r="T588" s="18" t="s">
        <v>85</v>
      </c>
      <c r="U588" s="18" t="s">
        <v>86</v>
      </c>
      <c r="V588" s="18" t="s">
        <v>87</v>
      </c>
      <c r="W588" s="18" t="s">
        <v>88</v>
      </c>
      <c r="X588" s="18" t="s">
        <v>89</v>
      </c>
      <c r="Y588" s="18" t="s">
        <v>90</v>
      </c>
      <c r="Z588" s="18" t="s">
        <v>91</v>
      </c>
      <c r="AA588" s="18" t="s">
        <v>92</v>
      </c>
      <c r="AB588" s="18" t="s">
        <v>93</v>
      </c>
      <c r="AC588" s="18" t="s">
        <v>94</v>
      </c>
      <c r="AD588" s="18" t="s">
        <v>235</v>
      </c>
      <c r="AE588" s="18" t="s">
        <v>236</v>
      </c>
      <c r="AF588" s="18" t="s">
        <v>237</v>
      </c>
      <c r="AG588" s="18" t="s">
        <v>238</v>
      </c>
      <c r="AH588" s="18" t="s">
        <v>239</v>
      </c>
      <c r="AI588" s="18" t="s">
        <v>240</v>
      </c>
      <c r="AJ588" s="18" t="s">
        <v>241</v>
      </c>
      <c r="AK588" s="18" t="s">
        <v>242</v>
      </c>
      <c r="AL588" s="18" t="s">
        <v>243</v>
      </c>
      <c r="AM588" s="50" t="s">
        <v>244</v>
      </c>
    </row>
    <row r="589" spans="1:39">
      <c r="A589" s="40" t="s">
        <v>245</v>
      </c>
      <c r="B589" s="51" t="str">
        <f>D20</f>
        <v/>
      </c>
      <c r="C589" s="40" t="str">
        <f t="shared" ref="C589:C615" si="93">A589</f>
        <v>#</v>
      </c>
      <c r="D589" s="40" t="str">
        <f>"   "&amp;B589&amp;REPT(" ",$AH$70-LEN(B589)-3)</f>
        <v xml:space="preserve">                                                            </v>
      </c>
      <c r="E589" s="38" t="str">
        <f>SUM(E590:E615)&amp;" pts[/b]"</f>
        <v>0 pts[/b]</v>
      </c>
      <c r="F589" s="21">
        <f>SUM(E590:E615)</f>
        <v>0</v>
      </c>
      <c r="K589" s="18">
        <f>COUNTIF(E590:E615,"&gt;0")</f>
        <v>0</v>
      </c>
      <c r="L589" s="21">
        <f>AM589-K589</f>
        <v>0</v>
      </c>
      <c r="M589" s="22">
        <f>MAX(E590:E615)</f>
        <v>0</v>
      </c>
      <c r="N589" s="22">
        <f>LARGE(E590:E615,2)</f>
        <v>0</v>
      </c>
      <c r="O589" s="22">
        <f>LARGE(E590:E615,3)</f>
        <v>0</v>
      </c>
      <c r="P589" s="18">
        <f>LARGE(E590:E615,4)</f>
        <v>0</v>
      </c>
      <c r="Q589" s="22">
        <f>LARGE(E590:E615,5)</f>
        <v>0</v>
      </c>
      <c r="R589" s="22">
        <f>LARGE(E590:E615,6)</f>
        <v>0</v>
      </c>
      <c r="S589" s="22">
        <f>LARGE(E590:E615,7)</f>
        <v>0</v>
      </c>
      <c r="T589" s="18">
        <f>LARGE(E590:E615,8)</f>
        <v>0</v>
      </c>
      <c r="U589" s="18">
        <f>LARGE(E590:E615,9)</f>
        <v>0</v>
      </c>
      <c r="V589" s="18">
        <f>LARGE(E590:E615,10)</f>
        <v>0</v>
      </c>
      <c r="W589" s="18">
        <f>LARGE(E590:E615,11)</f>
        <v>0</v>
      </c>
      <c r="X589" s="18">
        <f>LARGE(E590:E615,12)</f>
        <v>0</v>
      </c>
      <c r="Y589" s="18">
        <f>LARGE(E590:E615,13)</f>
        <v>0</v>
      </c>
      <c r="Z589" s="18">
        <f>LARGE(E590:E615,14)</f>
        <v>0</v>
      </c>
      <c r="AA589" s="18">
        <f>LARGE(E590:E615,15)</f>
        <v>0</v>
      </c>
      <c r="AB589" s="18">
        <f>LARGE(E590:E615,16)</f>
        <v>0</v>
      </c>
      <c r="AC589" s="18">
        <f>LARGE(E590:E615,17)</f>
        <v>0</v>
      </c>
      <c r="AD589" s="18">
        <f>LARGE(E590:E616,13)</f>
        <v>0</v>
      </c>
      <c r="AE589" s="18">
        <f>LARGE(E590:E615,19)</f>
        <v>0</v>
      </c>
      <c r="AF589" s="18">
        <f>LARGE(E590:E615,20)</f>
        <v>0</v>
      </c>
      <c r="AG589" s="18">
        <f>LARGE(E590:E615,21)</f>
        <v>0</v>
      </c>
      <c r="AH589" s="18">
        <f>LARGE(E590:E615,22)</f>
        <v>0</v>
      </c>
      <c r="AI589" s="18">
        <f>LARGE(E590:E615,23)</f>
        <v>0</v>
      </c>
      <c r="AJ589" s="18">
        <f>LARGE(E590:E615,24)</f>
        <v>0</v>
      </c>
      <c r="AK589" s="18">
        <f>LARGE(E590:E615,25)</f>
        <v>0</v>
      </c>
      <c r="AL589" s="18">
        <f>LARGE(E590:E615,26)</f>
        <v>0</v>
      </c>
      <c r="AM589" s="50">
        <f>COUNTIF(AH590:AH615,"&lt;&gt;"&amp;AH76)-(26-COUNTIF(E590:E615,"&gt;=0"))</f>
        <v>0</v>
      </c>
    </row>
    <row r="590" spans="1:39">
      <c r="A590" s="42" t="s">
        <v>246</v>
      </c>
      <c r="B590" s="1" t="s">
        <v>20</v>
      </c>
      <c r="C590" s="40" t="str">
        <f t="shared" si="93"/>
        <v>01-&gt;</v>
      </c>
      <c r="D590" s="40" t="str">
        <f t="shared" ref="D590:D615" si="94">B590&amp;REPT(" ",$AH$70-LEN(B590))</f>
        <v xml:space="preserve">No pick yet                                                 </v>
      </c>
      <c r="E590" s="52">
        <f t="shared" ref="E590:E615" si="95">VLOOKUP(RIGHT(B590,LEN(B590)-$AH$66),$H$138:$I$420,2,0)</f>
        <v>0</v>
      </c>
      <c r="F590" s="18"/>
      <c r="M590" s="18"/>
      <c r="N590" s="18"/>
      <c r="O590" s="18"/>
      <c r="P590" s="18"/>
      <c r="Q590" s="22"/>
      <c r="R590" s="21"/>
      <c r="S590" s="21"/>
      <c r="T590" s="21"/>
      <c r="AA590"/>
      <c r="AH590" t="str">
        <f t="shared" ref="AH590:AH615" si="96">RIGHT(B590,LEN(B590)-$AH$66)</f>
        <v>k yet</v>
      </c>
    </row>
    <row r="591" spans="1:39">
      <c r="A591" s="42" t="s">
        <v>247</v>
      </c>
      <c r="B591" s="1" t="s">
        <v>20</v>
      </c>
      <c r="C591" s="40" t="str">
        <f t="shared" si="93"/>
        <v>02-&gt;</v>
      </c>
      <c r="D591" s="40" t="str">
        <f t="shared" si="94"/>
        <v xml:space="preserve">No pick yet                                                 </v>
      </c>
      <c r="E591" s="52">
        <f t="shared" si="95"/>
        <v>0</v>
      </c>
      <c r="F591" s="18"/>
      <c r="K591" s="22"/>
      <c r="N591" s="22"/>
      <c r="O591" s="22"/>
      <c r="P591" s="22"/>
      <c r="Q591" s="22"/>
      <c r="R591" s="22"/>
      <c r="S591" s="22"/>
      <c r="Z591" s="53"/>
      <c r="AA591"/>
      <c r="AH591" t="str">
        <f t="shared" si="96"/>
        <v>k yet</v>
      </c>
    </row>
    <row r="592" spans="1:39">
      <c r="A592" s="42" t="s">
        <v>248</v>
      </c>
      <c r="B592" s="1" t="s">
        <v>20</v>
      </c>
      <c r="C592" s="40" t="str">
        <f t="shared" si="93"/>
        <v>03-&gt;</v>
      </c>
      <c r="D592" s="40" t="str">
        <f t="shared" si="94"/>
        <v xml:space="preserve">No pick yet                                                 </v>
      </c>
      <c r="E592" s="52">
        <f t="shared" si="95"/>
        <v>0</v>
      </c>
      <c r="F592" s="18"/>
      <c r="L592" s="21"/>
      <c r="N592" s="22"/>
      <c r="O592" s="22"/>
      <c r="P592" s="18"/>
      <c r="Q592" s="22"/>
      <c r="R592" s="22"/>
      <c r="S592" s="22"/>
      <c r="Z592" s="53"/>
      <c r="AA592"/>
      <c r="AH592" t="str">
        <f t="shared" si="96"/>
        <v>k yet</v>
      </c>
    </row>
    <row r="593" spans="1:34">
      <c r="A593" s="42" t="s">
        <v>249</v>
      </c>
      <c r="B593" s="1" t="s">
        <v>20</v>
      </c>
      <c r="C593" s="40" t="str">
        <f t="shared" si="93"/>
        <v>04-&gt;</v>
      </c>
      <c r="D593" s="40" t="str">
        <f t="shared" si="94"/>
        <v xml:space="preserve">No pick yet                                                 </v>
      </c>
      <c r="E593" s="52">
        <f t="shared" si="95"/>
        <v>0</v>
      </c>
      <c r="F593" s="18"/>
      <c r="G593" s="22"/>
      <c r="I593" s="22"/>
      <c r="J593" s="22"/>
      <c r="M593" s="18"/>
      <c r="N593" s="18"/>
      <c r="O593" s="18"/>
      <c r="P593" s="18"/>
      <c r="Q593" s="22"/>
      <c r="R593" s="21"/>
      <c r="S593" s="21"/>
      <c r="T593" s="21"/>
      <c r="AA593"/>
      <c r="AH593" t="str">
        <f t="shared" si="96"/>
        <v>k yet</v>
      </c>
    </row>
    <row r="594" spans="1:34">
      <c r="A594" s="42" t="s">
        <v>250</v>
      </c>
      <c r="B594" s="1" t="s">
        <v>20</v>
      </c>
      <c r="C594" s="40" t="str">
        <f t="shared" si="93"/>
        <v>05-&gt;</v>
      </c>
      <c r="D594" s="40" t="str">
        <f t="shared" si="94"/>
        <v xml:space="preserve">No pick yet                                                 </v>
      </c>
      <c r="E594" s="52">
        <f t="shared" si="95"/>
        <v>0</v>
      </c>
      <c r="F594" s="18"/>
      <c r="H594" s="21"/>
      <c r="I594" s="22"/>
      <c r="J594" s="22"/>
      <c r="M594" s="18"/>
      <c r="N594" s="18"/>
      <c r="O594" s="18"/>
      <c r="P594" s="18"/>
      <c r="Q594" s="22"/>
      <c r="R594" s="21"/>
      <c r="S594" s="21"/>
      <c r="T594" s="21"/>
      <c r="AA594"/>
      <c r="AH594" t="str">
        <f t="shared" si="96"/>
        <v>k yet</v>
      </c>
    </row>
    <row r="595" spans="1:34">
      <c r="A595" s="42" t="s">
        <v>251</v>
      </c>
      <c r="B595" s="1" t="s">
        <v>20</v>
      </c>
      <c r="C595" s="40" t="str">
        <f t="shared" si="93"/>
        <v>06-&gt;</v>
      </c>
      <c r="D595" s="40" t="str">
        <f t="shared" si="94"/>
        <v xml:space="preserve">No pick yet                                                 </v>
      </c>
      <c r="E595" s="52">
        <f t="shared" si="95"/>
        <v>0</v>
      </c>
      <c r="F595" s="18"/>
      <c r="M595" s="18"/>
      <c r="N595" s="18"/>
      <c r="O595" s="18"/>
      <c r="P595" s="18"/>
      <c r="Q595" s="22"/>
      <c r="R595" s="21"/>
      <c r="S595" s="21"/>
      <c r="T595" s="21"/>
      <c r="AA595"/>
      <c r="AH595" t="str">
        <f t="shared" si="96"/>
        <v>k yet</v>
      </c>
    </row>
    <row r="596" spans="1:34">
      <c r="A596" s="42" t="s">
        <v>252</v>
      </c>
      <c r="B596" s="1" t="s">
        <v>20</v>
      </c>
      <c r="C596" s="40" t="str">
        <f t="shared" si="93"/>
        <v>07-&gt;</v>
      </c>
      <c r="D596" s="40" t="str">
        <f t="shared" si="94"/>
        <v xml:space="preserve">No pick yet                                                 </v>
      </c>
      <c r="E596" s="52">
        <f t="shared" si="95"/>
        <v>0</v>
      </c>
      <c r="F596" s="18"/>
      <c r="M596" s="18"/>
      <c r="N596" s="18"/>
      <c r="O596" s="18"/>
      <c r="P596" s="18"/>
      <c r="Q596" s="22"/>
      <c r="R596" s="21"/>
      <c r="S596" s="21"/>
      <c r="T596" s="21"/>
      <c r="AA596"/>
      <c r="AH596" t="str">
        <f t="shared" si="96"/>
        <v>k yet</v>
      </c>
    </row>
    <row r="597" spans="1:34">
      <c r="A597" s="42" t="s">
        <v>253</v>
      </c>
      <c r="B597" s="1" t="s">
        <v>20</v>
      </c>
      <c r="C597" s="40" t="str">
        <f t="shared" si="93"/>
        <v>08-&gt;</v>
      </c>
      <c r="D597" s="40" t="str">
        <f t="shared" si="94"/>
        <v xml:space="preserve">No pick yet                                                 </v>
      </c>
      <c r="E597" s="52">
        <f t="shared" si="95"/>
        <v>0</v>
      </c>
      <c r="F597" s="18"/>
      <c r="M597" s="18"/>
      <c r="N597" s="18"/>
      <c r="O597" s="18"/>
      <c r="P597" s="18"/>
      <c r="Q597" s="22"/>
      <c r="R597" s="21"/>
      <c r="S597" s="21"/>
      <c r="T597" s="21"/>
      <c r="AA597"/>
      <c r="AH597" t="str">
        <f t="shared" si="96"/>
        <v>k yet</v>
      </c>
    </row>
    <row r="598" spans="1:34">
      <c r="A598" s="42" t="s">
        <v>254</v>
      </c>
      <c r="B598" s="1" t="s">
        <v>20</v>
      </c>
      <c r="C598" s="40" t="str">
        <f t="shared" si="93"/>
        <v>09-&gt;</v>
      </c>
      <c r="D598" s="40" t="str">
        <f t="shared" si="94"/>
        <v xml:space="preserve">No pick yet                                                 </v>
      </c>
      <c r="E598" s="52">
        <f t="shared" si="95"/>
        <v>0</v>
      </c>
      <c r="F598" s="18"/>
      <c r="M598" s="18"/>
      <c r="N598" s="18"/>
      <c r="O598" s="18"/>
      <c r="P598" s="18"/>
      <c r="Q598" s="22"/>
      <c r="R598" s="21"/>
      <c r="S598" s="21"/>
      <c r="T598" s="21"/>
      <c r="AA598"/>
      <c r="AH598" t="str">
        <f t="shared" si="96"/>
        <v>k yet</v>
      </c>
    </row>
    <row r="599" spans="1:34">
      <c r="A599" s="42" t="s">
        <v>255</v>
      </c>
      <c r="B599" s="1" t="s">
        <v>20</v>
      </c>
      <c r="C599" s="40" t="str">
        <f t="shared" si="93"/>
        <v>10-&gt;</v>
      </c>
      <c r="D599" s="40" t="str">
        <f t="shared" si="94"/>
        <v xml:space="preserve">No pick yet                                                 </v>
      </c>
      <c r="E599" s="52">
        <f t="shared" si="95"/>
        <v>0</v>
      </c>
      <c r="F599" s="22"/>
      <c r="M599" s="18"/>
      <c r="N599" s="18"/>
      <c r="O599" s="18"/>
      <c r="P599" s="18"/>
      <c r="Q599" s="22"/>
      <c r="R599" s="21"/>
      <c r="S599" s="21"/>
      <c r="T599" s="21"/>
      <c r="AA599"/>
      <c r="AH599" t="str">
        <f t="shared" si="96"/>
        <v>k yet</v>
      </c>
    </row>
    <row r="600" spans="1:34">
      <c r="A600" s="42" t="s">
        <v>256</v>
      </c>
      <c r="B600" s="1" t="s">
        <v>20</v>
      </c>
      <c r="C600" s="40" t="str">
        <f t="shared" si="93"/>
        <v>11-&gt;</v>
      </c>
      <c r="D600" s="40" t="str">
        <f t="shared" si="94"/>
        <v xml:space="preserve">No pick yet                                                 </v>
      </c>
      <c r="E600" s="52">
        <f t="shared" si="95"/>
        <v>0</v>
      </c>
      <c r="M600" s="18"/>
      <c r="N600" s="18"/>
      <c r="O600" s="18"/>
      <c r="P600" s="18"/>
      <c r="Q600" s="22"/>
      <c r="R600" s="21"/>
      <c r="S600" s="21"/>
      <c r="T600" s="21"/>
      <c r="AA600"/>
      <c r="AH600" t="str">
        <f t="shared" si="96"/>
        <v>k yet</v>
      </c>
    </row>
    <row r="601" spans="1:34">
      <c r="A601" s="42" t="s">
        <v>257</v>
      </c>
      <c r="B601" s="1" t="s">
        <v>20</v>
      </c>
      <c r="C601" s="40" t="str">
        <f t="shared" si="93"/>
        <v>12-&gt;</v>
      </c>
      <c r="D601" s="40" t="str">
        <f t="shared" si="94"/>
        <v xml:space="preserve">No pick yet                                                 </v>
      </c>
      <c r="E601" s="52">
        <f t="shared" si="95"/>
        <v>0</v>
      </c>
      <c r="M601" s="18"/>
      <c r="N601" s="18"/>
      <c r="O601" s="18"/>
      <c r="P601" s="18"/>
      <c r="Q601" s="22"/>
      <c r="R601" s="21"/>
      <c r="S601" s="21"/>
      <c r="T601" s="21"/>
      <c r="AA601"/>
      <c r="AH601" t="str">
        <f t="shared" si="96"/>
        <v>k yet</v>
      </c>
    </row>
    <row r="602" spans="1:34">
      <c r="A602" s="42" t="s">
        <v>258</v>
      </c>
      <c r="B602" s="1" t="s">
        <v>20</v>
      </c>
      <c r="C602" s="40" t="str">
        <f t="shared" si="93"/>
        <v>13-&gt;</v>
      </c>
      <c r="D602" s="40" t="str">
        <f t="shared" si="94"/>
        <v xml:space="preserve">No pick yet                                                 </v>
      </c>
      <c r="E602" s="52">
        <f t="shared" si="95"/>
        <v>0</v>
      </c>
      <c r="M602" s="18"/>
      <c r="N602" s="18"/>
      <c r="O602" s="18"/>
      <c r="P602" s="18"/>
      <c r="Q602" s="22"/>
      <c r="R602" s="21"/>
      <c r="S602" s="21"/>
      <c r="T602" s="21"/>
      <c r="AA602"/>
      <c r="AH602" t="str">
        <f t="shared" si="96"/>
        <v>k yet</v>
      </c>
    </row>
    <row r="603" spans="1:34">
      <c r="A603" s="42" t="s">
        <v>259</v>
      </c>
      <c r="B603" s="1" t="s">
        <v>20</v>
      </c>
      <c r="C603" s="40" t="str">
        <f t="shared" si="93"/>
        <v>14-&gt;</v>
      </c>
      <c r="D603" s="40" t="str">
        <f t="shared" si="94"/>
        <v xml:space="preserve">No pick yet                                                 </v>
      </c>
      <c r="E603" s="52">
        <f t="shared" si="95"/>
        <v>0</v>
      </c>
      <c r="M603" s="18"/>
      <c r="N603" s="18"/>
      <c r="O603" s="18"/>
      <c r="P603" s="18"/>
      <c r="Q603" s="22"/>
      <c r="R603" s="21"/>
      <c r="S603" s="21"/>
      <c r="T603" s="21"/>
      <c r="AA603"/>
      <c r="AH603" t="str">
        <f t="shared" si="96"/>
        <v>k yet</v>
      </c>
    </row>
    <row r="604" spans="1:34">
      <c r="A604" s="42" t="s">
        <v>260</v>
      </c>
      <c r="B604" s="1" t="s">
        <v>20</v>
      </c>
      <c r="C604" s="40" t="str">
        <f t="shared" si="93"/>
        <v>15-&gt;</v>
      </c>
      <c r="D604" s="40" t="str">
        <f t="shared" si="94"/>
        <v xml:space="preserve">No pick yet                                                 </v>
      </c>
      <c r="E604" s="52">
        <f t="shared" si="95"/>
        <v>0</v>
      </c>
      <c r="M604" s="18"/>
      <c r="N604" s="18"/>
      <c r="O604" s="18"/>
      <c r="P604" s="18"/>
      <c r="Q604" s="22"/>
      <c r="R604" s="21"/>
      <c r="S604" s="21"/>
      <c r="T604" s="21"/>
      <c r="AA604"/>
      <c r="AH604" t="str">
        <f t="shared" si="96"/>
        <v>k yet</v>
      </c>
    </row>
    <row r="605" spans="1:34">
      <c r="A605" s="42" t="s">
        <v>261</v>
      </c>
      <c r="B605" s="1" t="s">
        <v>20</v>
      </c>
      <c r="C605" s="40" t="str">
        <f t="shared" si="93"/>
        <v>16-&gt;</v>
      </c>
      <c r="D605" s="40" t="str">
        <f t="shared" si="94"/>
        <v xml:space="preserve">No pick yet                                                 </v>
      </c>
      <c r="E605" s="52">
        <f t="shared" si="95"/>
        <v>0</v>
      </c>
      <c r="M605" s="18"/>
      <c r="N605" s="18"/>
      <c r="O605" s="18"/>
      <c r="P605" s="18"/>
      <c r="Q605" s="22"/>
      <c r="R605" s="21"/>
      <c r="S605" s="21"/>
      <c r="T605" s="21"/>
      <c r="AA605"/>
      <c r="AH605" t="str">
        <f t="shared" si="96"/>
        <v>k yet</v>
      </c>
    </row>
    <row r="606" spans="1:34">
      <c r="A606" s="42" t="s">
        <v>262</v>
      </c>
      <c r="B606" s="1" t="s">
        <v>20</v>
      </c>
      <c r="C606" s="40" t="str">
        <f t="shared" si="93"/>
        <v>17-&gt;</v>
      </c>
      <c r="D606" s="40" t="str">
        <f t="shared" si="94"/>
        <v xml:space="preserve">No pick yet                                                 </v>
      </c>
      <c r="E606" s="52">
        <f t="shared" si="95"/>
        <v>0</v>
      </c>
      <c r="K606" s="22"/>
      <c r="N606" s="22"/>
      <c r="O606" s="22"/>
      <c r="P606" s="22"/>
      <c r="Q606" s="22"/>
      <c r="R606" s="22"/>
      <c r="S606" s="22"/>
      <c r="Z606" s="53"/>
      <c r="AA606"/>
      <c r="AH606" t="str">
        <f t="shared" si="96"/>
        <v>k yet</v>
      </c>
    </row>
    <row r="607" spans="1:34">
      <c r="A607" s="42" t="s">
        <v>263</v>
      </c>
      <c r="B607" s="1" t="s">
        <v>20</v>
      </c>
      <c r="C607" s="40" t="str">
        <f t="shared" si="93"/>
        <v>18-&gt;</v>
      </c>
      <c r="D607" s="40" t="str">
        <f t="shared" si="94"/>
        <v xml:space="preserve">No pick yet                                                 </v>
      </c>
      <c r="E607" s="52">
        <f t="shared" si="95"/>
        <v>0</v>
      </c>
      <c r="F607" s="18"/>
      <c r="L607" s="21"/>
      <c r="N607" s="22"/>
      <c r="O607" s="22"/>
      <c r="P607" s="18"/>
      <c r="Q607" s="22"/>
      <c r="R607" s="22"/>
      <c r="S607" s="22"/>
      <c r="Z607" s="53"/>
      <c r="AA607"/>
      <c r="AH607" t="str">
        <f t="shared" si="96"/>
        <v>k yet</v>
      </c>
    </row>
    <row r="608" spans="1:34">
      <c r="A608" s="42" t="s">
        <v>264</v>
      </c>
      <c r="B608" s="1" t="s">
        <v>20</v>
      </c>
      <c r="C608" s="40" t="str">
        <f t="shared" si="93"/>
        <v>19-&gt;</v>
      </c>
      <c r="D608" s="40" t="str">
        <f t="shared" si="94"/>
        <v xml:space="preserve">No pick yet                                                 </v>
      </c>
      <c r="E608" s="52">
        <f t="shared" si="95"/>
        <v>0</v>
      </c>
      <c r="F608" s="18"/>
      <c r="G608" s="22"/>
      <c r="I608" s="22"/>
      <c r="J608" s="22"/>
      <c r="M608" s="18"/>
      <c r="N608" s="18"/>
      <c r="O608" s="18"/>
      <c r="P608" s="18"/>
      <c r="Q608" s="22"/>
      <c r="R608" s="21"/>
      <c r="S608" s="21"/>
      <c r="T608" s="21"/>
      <c r="AA608"/>
      <c r="AH608" t="str">
        <f t="shared" si="96"/>
        <v>k yet</v>
      </c>
    </row>
    <row r="609" spans="1:39">
      <c r="A609" s="42" t="s">
        <v>265</v>
      </c>
      <c r="B609" s="1" t="s">
        <v>20</v>
      </c>
      <c r="C609" s="40" t="str">
        <f t="shared" si="93"/>
        <v>20-&gt;</v>
      </c>
      <c r="D609" s="40" t="str">
        <f t="shared" si="94"/>
        <v xml:space="preserve">No pick yet                                                 </v>
      </c>
      <c r="E609" s="52">
        <f t="shared" si="95"/>
        <v>0</v>
      </c>
      <c r="F609" s="18"/>
      <c r="H609" s="21"/>
      <c r="I609" s="22"/>
      <c r="J609" s="22"/>
      <c r="M609" s="18"/>
      <c r="N609" s="18"/>
      <c r="O609" s="18"/>
      <c r="P609" s="18"/>
      <c r="Q609" s="22"/>
      <c r="R609" s="21"/>
      <c r="S609" s="21"/>
      <c r="T609" s="21"/>
      <c r="AA609"/>
      <c r="AH609" t="str">
        <f t="shared" si="96"/>
        <v>k yet</v>
      </c>
    </row>
    <row r="610" spans="1:39">
      <c r="A610" s="42" t="s">
        <v>266</v>
      </c>
      <c r="B610" s="1" t="s">
        <v>20</v>
      </c>
      <c r="C610" s="40" t="str">
        <f t="shared" si="93"/>
        <v>21-&gt;</v>
      </c>
      <c r="D610" s="40" t="str">
        <f t="shared" si="94"/>
        <v xml:space="preserve">No pick yet                                                 </v>
      </c>
      <c r="E610" s="52">
        <f t="shared" si="95"/>
        <v>0</v>
      </c>
      <c r="F610" s="18"/>
      <c r="M610" s="18"/>
      <c r="N610" s="18"/>
      <c r="O610" s="18"/>
      <c r="P610" s="18"/>
      <c r="Q610" s="22"/>
      <c r="R610" s="21"/>
      <c r="S610" s="21"/>
      <c r="T610" s="21"/>
      <c r="AA610"/>
      <c r="AH610" t="str">
        <f t="shared" si="96"/>
        <v>k yet</v>
      </c>
    </row>
    <row r="611" spans="1:39">
      <c r="A611" s="42" t="s">
        <v>267</v>
      </c>
      <c r="B611" s="1" t="s">
        <v>20</v>
      </c>
      <c r="C611" s="40" t="str">
        <f t="shared" si="93"/>
        <v>22-&gt;</v>
      </c>
      <c r="D611" s="40" t="str">
        <f t="shared" si="94"/>
        <v xml:space="preserve">No pick yet                                                 </v>
      </c>
      <c r="E611" s="52">
        <f t="shared" si="95"/>
        <v>0</v>
      </c>
      <c r="F611" s="18"/>
      <c r="M611" s="18"/>
      <c r="N611" s="18"/>
      <c r="O611" s="18"/>
      <c r="P611" s="18"/>
      <c r="Q611" s="22"/>
      <c r="R611" s="21"/>
      <c r="S611" s="21"/>
      <c r="T611" s="21"/>
      <c r="AA611"/>
      <c r="AH611" t="str">
        <f t="shared" si="96"/>
        <v>k yet</v>
      </c>
    </row>
    <row r="612" spans="1:39">
      <c r="A612" s="42" t="s">
        <v>268</v>
      </c>
      <c r="B612" s="1" t="s">
        <v>20</v>
      </c>
      <c r="C612" s="40" t="str">
        <f t="shared" si="93"/>
        <v>23-&gt;</v>
      </c>
      <c r="D612" s="40" t="str">
        <f t="shared" si="94"/>
        <v xml:space="preserve">No pick yet                                                 </v>
      </c>
      <c r="E612" s="52">
        <f t="shared" si="95"/>
        <v>0</v>
      </c>
      <c r="F612" s="18"/>
      <c r="M612" s="18"/>
      <c r="N612" s="18"/>
      <c r="O612" s="18"/>
      <c r="P612" s="18"/>
      <c r="Q612" s="22"/>
      <c r="R612" s="21"/>
      <c r="S612" s="21"/>
      <c r="T612" s="21"/>
      <c r="AA612"/>
      <c r="AH612" t="str">
        <f t="shared" si="96"/>
        <v>k yet</v>
      </c>
    </row>
    <row r="613" spans="1:39">
      <c r="A613" s="42" t="s">
        <v>269</v>
      </c>
      <c r="B613" s="1" t="s">
        <v>20</v>
      </c>
      <c r="C613" s="40" t="str">
        <f t="shared" si="93"/>
        <v>24-&gt;</v>
      </c>
      <c r="D613" s="40" t="str">
        <f t="shared" si="94"/>
        <v xml:space="preserve">No pick yet                                                 </v>
      </c>
      <c r="E613" s="52">
        <f t="shared" si="95"/>
        <v>0</v>
      </c>
      <c r="F613" s="18"/>
      <c r="M613" s="18"/>
      <c r="N613" s="18"/>
      <c r="O613" s="18"/>
      <c r="P613" s="18"/>
      <c r="Q613" s="22"/>
      <c r="R613" s="21"/>
      <c r="S613" s="21"/>
      <c r="T613" s="21"/>
      <c r="AA613"/>
      <c r="AH613" t="str">
        <f t="shared" si="96"/>
        <v>k yet</v>
      </c>
    </row>
    <row r="614" spans="1:39">
      <c r="A614" s="42" t="s">
        <v>270</v>
      </c>
      <c r="B614" s="1" t="s">
        <v>20</v>
      </c>
      <c r="C614" s="40" t="str">
        <f t="shared" si="93"/>
        <v>25-&gt;</v>
      </c>
      <c r="D614" s="40" t="str">
        <f t="shared" si="94"/>
        <v xml:space="preserve">No pick yet                                                 </v>
      </c>
      <c r="E614" s="52">
        <f t="shared" si="95"/>
        <v>0</v>
      </c>
      <c r="F614" s="18"/>
      <c r="M614" s="18"/>
      <c r="N614" s="18"/>
      <c r="O614" s="18"/>
      <c r="P614" s="18"/>
      <c r="Q614" s="22"/>
      <c r="R614" s="21"/>
      <c r="S614" s="21"/>
      <c r="T614" s="21"/>
      <c r="AA614"/>
      <c r="AH614" t="str">
        <f t="shared" si="96"/>
        <v>k yet</v>
      </c>
    </row>
    <row r="615" spans="1:39">
      <c r="A615" s="42" t="s">
        <v>271</v>
      </c>
      <c r="B615" s="1" t="s">
        <v>20</v>
      </c>
      <c r="C615" s="40" t="str">
        <f t="shared" si="93"/>
        <v>26-&gt;</v>
      </c>
      <c r="D615" s="40" t="str">
        <f t="shared" si="94"/>
        <v xml:space="preserve">No pick yet                                                 </v>
      </c>
      <c r="E615" s="52">
        <f t="shared" si="95"/>
        <v>0</v>
      </c>
      <c r="F615" s="18"/>
      <c r="M615" s="18"/>
      <c r="N615" s="18"/>
      <c r="O615" s="18"/>
      <c r="P615" s="18"/>
      <c r="Q615" s="22"/>
      <c r="R615" s="21"/>
      <c r="S615" s="21"/>
      <c r="T615" s="21"/>
      <c r="AA615"/>
      <c r="AH615" t="str">
        <f t="shared" si="96"/>
        <v>k yet</v>
      </c>
    </row>
    <row r="616" spans="1:39">
      <c r="A616" s="38"/>
      <c r="B616" s="40"/>
      <c r="C616" s="40"/>
      <c r="D616" s="49"/>
      <c r="E616" s="41" t="s">
        <v>69</v>
      </c>
      <c r="F616" s="18"/>
      <c r="K616" s="22" t="s">
        <v>73</v>
      </c>
      <c r="L616" s="18" t="s">
        <v>74</v>
      </c>
      <c r="M616" s="22" t="s">
        <v>78</v>
      </c>
      <c r="N616" s="22" t="s">
        <v>79</v>
      </c>
      <c r="O616" s="22" t="s">
        <v>80</v>
      </c>
      <c r="P616" s="22" t="s">
        <v>81</v>
      </c>
      <c r="Q616" s="22" t="s">
        <v>82</v>
      </c>
      <c r="R616" s="22" t="s">
        <v>83</v>
      </c>
      <c r="S616" s="22" t="s">
        <v>84</v>
      </c>
      <c r="T616" s="18" t="s">
        <v>85</v>
      </c>
      <c r="U616" s="18" t="s">
        <v>86</v>
      </c>
      <c r="V616" s="18" t="s">
        <v>87</v>
      </c>
      <c r="W616" s="18" t="s">
        <v>88</v>
      </c>
      <c r="X616" s="18" t="s">
        <v>89</v>
      </c>
      <c r="Y616" s="18" t="s">
        <v>90</v>
      </c>
      <c r="Z616" s="18" t="s">
        <v>91</v>
      </c>
      <c r="AA616" s="18" t="s">
        <v>92</v>
      </c>
      <c r="AB616" s="18" t="s">
        <v>93</v>
      </c>
      <c r="AC616" s="18" t="s">
        <v>94</v>
      </c>
      <c r="AD616" s="18" t="s">
        <v>235</v>
      </c>
      <c r="AE616" s="18" t="s">
        <v>236</v>
      </c>
      <c r="AF616" s="18" t="s">
        <v>237</v>
      </c>
      <c r="AG616" s="18" t="s">
        <v>238</v>
      </c>
      <c r="AH616" s="18" t="s">
        <v>239</v>
      </c>
      <c r="AI616" s="18" t="s">
        <v>240</v>
      </c>
      <c r="AJ616" s="18" t="s">
        <v>241</v>
      </c>
      <c r="AK616" s="18" t="s">
        <v>242</v>
      </c>
      <c r="AL616" s="18" t="s">
        <v>243</v>
      </c>
      <c r="AM616" s="50" t="s">
        <v>244</v>
      </c>
    </row>
    <row r="617" spans="1:39">
      <c r="A617" s="40" t="s">
        <v>245</v>
      </c>
      <c r="B617" s="51" t="str">
        <f>D21</f>
        <v/>
      </c>
      <c r="C617" s="40" t="str">
        <f t="shared" ref="C617:C643" si="97">A617</f>
        <v>#</v>
      </c>
      <c r="D617" s="40" t="str">
        <f>"   "&amp;B617&amp;REPT(" ",$AH$70-LEN(B617)-3)</f>
        <v xml:space="preserve">                                                            </v>
      </c>
      <c r="E617" s="38" t="str">
        <f>SUM(E618:E643)&amp;" pts[/b]"</f>
        <v>0 pts[/b]</v>
      </c>
      <c r="F617" s="21">
        <f>SUM(E618:E643)</f>
        <v>0</v>
      </c>
      <c r="K617" s="18">
        <f>COUNTIF(E618:E643,"&gt;0")</f>
        <v>0</v>
      </c>
      <c r="L617" s="21">
        <f>AM617-K617</f>
        <v>0</v>
      </c>
      <c r="M617" s="22">
        <f>MAX(E618:E643)</f>
        <v>0</v>
      </c>
      <c r="N617" s="22">
        <f>LARGE(E618:E643,2)</f>
        <v>0</v>
      </c>
      <c r="O617" s="22">
        <f>LARGE(E618:E643,3)</f>
        <v>0</v>
      </c>
      <c r="P617" s="18">
        <f>LARGE(E618:E643,4)</f>
        <v>0</v>
      </c>
      <c r="Q617" s="22">
        <f>LARGE(E618:E643,5)</f>
        <v>0</v>
      </c>
      <c r="R617" s="22">
        <f>LARGE(E618:E643,6)</f>
        <v>0</v>
      </c>
      <c r="S617" s="22">
        <f>LARGE(E618:E643,7)</f>
        <v>0</v>
      </c>
      <c r="T617" s="18">
        <f>LARGE(E618:E643,8)</f>
        <v>0</v>
      </c>
      <c r="U617" s="18">
        <f>LARGE(E618:E643,9)</f>
        <v>0</v>
      </c>
      <c r="V617" s="18">
        <f>LARGE(E618:E643,10)</f>
        <v>0</v>
      </c>
      <c r="W617" s="18">
        <f>LARGE(E618:E643,11)</f>
        <v>0</v>
      </c>
      <c r="X617" s="18">
        <f>LARGE(E618:E643,12)</f>
        <v>0</v>
      </c>
      <c r="Y617" s="18">
        <f>LARGE(E618:E643,13)</f>
        <v>0</v>
      </c>
      <c r="Z617" s="18">
        <f>LARGE(E618:E643,14)</f>
        <v>0</v>
      </c>
      <c r="AA617" s="18">
        <f>LARGE(E618:E643,15)</f>
        <v>0</v>
      </c>
      <c r="AB617" s="18">
        <f>LARGE(E618:E643,16)</f>
        <v>0</v>
      </c>
      <c r="AC617" s="18">
        <f>LARGE(E618:E643,17)</f>
        <v>0</v>
      </c>
      <c r="AD617" s="18">
        <f>LARGE(E618:E644,13)</f>
        <v>0</v>
      </c>
      <c r="AE617" s="18">
        <f>LARGE(E618:E643,19)</f>
        <v>0</v>
      </c>
      <c r="AF617" s="18">
        <f>LARGE(E618:E643,20)</f>
        <v>0</v>
      </c>
      <c r="AG617" s="18">
        <f>LARGE(E618:E643,21)</f>
        <v>0</v>
      </c>
      <c r="AH617" s="18">
        <f>LARGE(E618:E643,22)</f>
        <v>0</v>
      </c>
      <c r="AI617" s="18">
        <f>LARGE(E618:E643,23)</f>
        <v>0</v>
      </c>
      <c r="AJ617" s="18">
        <f>LARGE(E618:E643,24)</f>
        <v>0</v>
      </c>
      <c r="AK617" s="18">
        <f>LARGE(E618:E643,25)</f>
        <v>0</v>
      </c>
      <c r="AL617" s="18">
        <f>LARGE(E618:E643,26)</f>
        <v>0</v>
      </c>
      <c r="AM617" s="50">
        <f>COUNTIF(AH618:AH643,"&lt;&gt;"&amp;AH76)-(26-COUNTIF(E618:E643,"&gt;=0"))</f>
        <v>0</v>
      </c>
    </row>
    <row r="618" spans="1:39">
      <c r="A618" s="42" t="s">
        <v>246</v>
      </c>
      <c r="B618" s="1" t="s">
        <v>20</v>
      </c>
      <c r="C618" s="40" t="str">
        <f t="shared" si="97"/>
        <v>01-&gt;</v>
      </c>
      <c r="D618" s="40" t="str">
        <f t="shared" ref="D618:D643" si="98">B618&amp;REPT(" ",$AH$70-LEN(B618))</f>
        <v xml:space="preserve">No pick yet                                                 </v>
      </c>
      <c r="E618" s="52">
        <f t="shared" ref="E618:E643" si="99">VLOOKUP(RIGHT(B618,LEN(B618)-$AH$66),$H$138:$I$420,2,0)</f>
        <v>0</v>
      </c>
      <c r="F618" s="18"/>
      <c r="M618" s="18"/>
      <c r="N618" s="18"/>
      <c r="O618" s="18"/>
      <c r="P618" s="18"/>
      <c r="Q618" s="22"/>
      <c r="R618" s="21"/>
      <c r="S618" s="21"/>
      <c r="T618" s="21"/>
      <c r="AA618"/>
      <c r="AH618" t="str">
        <f t="shared" ref="AH618:AH643" si="100">RIGHT(B618,LEN(B618)-$AH$66)</f>
        <v>k yet</v>
      </c>
    </row>
    <row r="619" spans="1:39">
      <c r="A619" s="42" t="s">
        <v>247</v>
      </c>
      <c r="B619" s="1" t="s">
        <v>20</v>
      </c>
      <c r="C619" s="40" t="str">
        <f t="shared" si="97"/>
        <v>02-&gt;</v>
      </c>
      <c r="D619" s="40" t="str">
        <f t="shared" si="98"/>
        <v xml:space="preserve">No pick yet                                                 </v>
      </c>
      <c r="E619" s="52">
        <f t="shared" si="99"/>
        <v>0</v>
      </c>
      <c r="F619" s="18"/>
      <c r="K619" s="22"/>
      <c r="N619" s="22"/>
      <c r="O619" s="22"/>
      <c r="P619" s="22"/>
      <c r="Q619" s="22"/>
      <c r="R619" s="22"/>
      <c r="S619" s="22"/>
      <c r="Z619" s="53"/>
      <c r="AA619"/>
      <c r="AH619" t="str">
        <f t="shared" si="100"/>
        <v>k yet</v>
      </c>
    </row>
    <row r="620" spans="1:39">
      <c r="A620" s="42" t="s">
        <v>248</v>
      </c>
      <c r="B620" s="1" t="s">
        <v>20</v>
      </c>
      <c r="C620" s="40" t="str">
        <f t="shared" si="97"/>
        <v>03-&gt;</v>
      </c>
      <c r="D620" s="40" t="str">
        <f t="shared" si="98"/>
        <v xml:space="preserve">No pick yet                                                 </v>
      </c>
      <c r="E620" s="52">
        <f t="shared" si="99"/>
        <v>0</v>
      </c>
      <c r="F620" s="18"/>
      <c r="L620" s="21"/>
      <c r="N620" s="22"/>
      <c r="O620" s="22"/>
      <c r="P620" s="18"/>
      <c r="Q620" s="22"/>
      <c r="R620" s="22"/>
      <c r="S620" s="22"/>
      <c r="Z620" s="53"/>
      <c r="AA620"/>
      <c r="AH620" t="str">
        <f t="shared" si="100"/>
        <v>k yet</v>
      </c>
    </row>
    <row r="621" spans="1:39">
      <c r="A621" s="42" t="s">
        <v>249</v>
      </c>
      <c r="B621" s="1" t="s">
        <v>20</v>
      </c>
      <c r="C621" s="40" t="str">
        <f t="shared" si="97"/>
        <v>04-&gt;</v>
      </c>
      <c r="D621" s="40" t="str">
        <f t="shared" si="98"/>
        <v xml:space="preserve">No pick yet                                                 </v>
      </c>
      <c r="E621" s="52">
        <f t="shared" si="99"/>
        <v>0</v>
      </c>
      <c r="F621" s="18"/>
      <c r="M621" s="18"/>
      <c r="N621" s="18"/>
      <c r="O621" s="18"/>
      <c r="P621" s="18"/>
      <c r="Q621" s="22"/>
      <c r="R621" s="21"/>
      <c r="S621" s="21"/>
      <c r="T621" s="21"/>
      <c r="AA621"/>
      <c r="AH621" t="str">
        <f t="shared" si="100"/>
        <v>k yet</v>
      </c>
    </row>
    <row r="622" spans="1:39">
      <c r="A622" s="42" t="s">
        <v>250</v>
      </c>
      <c r="B622" s="1" t="s">
        <v>20</v>
      </c>
      <c r="C622" s="40" t="str">
        <f t="shared" si="97"/>
        <v>05-&gt;</v>
      </c>
      <c r="D622" s="40" t="str">
        <f t="shared" si="98"/>
        <v xml:space="preserve">No pick yet                                                 </v>
      </c>
      <c r="E622" s="52">
        <f t="shared" si="99"/>
        <v>0</v>
      </c>
      <c r="F622" s="18"/>
      <c r="M622" s="18"/>
      <c r="N622" s="18"/>
      <c r="O622" s="18"/>
      <c r="P622" s="18"/>
      <c r="Q622" s="22"/>
      <c r="R622" s="21"/>
      <c r="S622" s="21"/>
      <c r="T622" s="21"/>
      <c r="AA622"/>
      <c r="AH622" t="str">
        <f t="shared" si="100"/>
        <v>k yet</v>
      </c>
    </row>
    <row r="623" spans="1:39">
      <c r="A623" s="42" t="s">
        <v>251</v>
      </c>
      <c r="B623" s="1" t="s">
        <v>20</v>
      </c>
      <c r="C623" s="40" t="str">
        <f t="shared" si="97"/>
        <v>06-&gt;</v>
      </c>
      <c r="D623" s="40" t="str">
        <f t="shared" si="98"/>
        <v xml:space="preserve">No pick yet                                                 </v>
      </c>
      <c r="E623" s="52">
        <f t="shared" si="99"/>
        <v>0</v>
      </c>
      <c r="F623" s="18"/>
      <c r="G623" s="22"/>
      <c r="I623" s="22"/>
      <c r="J623" s="22"/>
      <c r="M623" s="18"/>
      <c r="N623" s="18"/>
      <c r="O623" s="18"/>
      <c r="P623" s="18"/>
      <c r="Q623" s="22"/>
      <c r="R623" s="21"/>
      <c r="S623" s="21"/>
      <c r="T623" s="21"/>
      <c r="AA623"/>
      <c r="AH623" t="str">
        <f t="shared" si="100"/>
        <v>k yet</v>
      </c>
    </row>
    <row r="624" spans="1:39">
      <c r="A624" s="42" t="s">
        <v>252</v>
      </c>
      <c r="B624" s="1" t="s">
        <v>20</v>
      </c>
      <c r="C624" s="40" t="str">
        <f t="shared" si="97"/>
        <v>07-&gt;</v>
      </c>
      <c r="D624" s="40" t="str">
        <f t="shared" si="98"/>
        <v xml:space="preserve">No pick yet                                                 </v>
      </c>
      <c r="E624" s="52">
        <f t="shared" si="99"/>
        <v>0</v>
      </c>
      <c r="F624" s="18"/>
      <c r="H624" s="21"/>
      <c r="I624" s="22"/>
      <c r="J624" s="22"/>
      <c r="M624" s="18"/>
      <c r="N624" s="18"/>
      <c r="O624" s="18"/>
      <c r="P624" s="18"/>
      <c r="Q624" s="22"/>
      <c r="R624" s="21"/>
      <c r="S624" s="21"/>
      <c r="T624" s="21"/>
      <c r="AA624"/>
      <c r="AH624" t="str">
        <f t="shared" si="100"/>
        <v>k yet</v>
      </c>
    </row>
    <row r="625" spans="1:34">
      <c r="A625" s="42" t="s">
        <v>253</v>
      </c>
      <c r="B625" s="1" t="s">
        <v>20</v>
      </c>
      <c r="C625" s="40" t="str">
        <f t="shared" si="97"/>
        <v>08-&gt;</v>
      </c>
      <c r="D625" s="40" t="str">
        <f t="shared" si="98"/>
        <v xml:space="preserve">No pick yet                                                 </v>
      </c>
      <c r="E625" s="52">
        <f t="shared" si="99"/>
        <v>0</v>
      </c>
      <c r="F625" s="18"/>
      <c r="M625" s="18"/>
      <c r="N625" s="18"/>
      <c r="O625" s="18"/>
      <c r="P625" s="18"/>
      <c r="Q625" s="22"/>
      <c r="R625" s="21"/>
      <c r="S625" s="21"/>
      <c r="T625" s="21"/>
      <c r="AA625"/>
      <c r="AH625" t="str">
        <f t="shared" si="100"/>
        <v>k yet</v>
      </c>
    </row>
    <row r="626" spans="1:34">
      <c r="A626" s="42" t="s">
        <v>254</v>
      </c>
      <c r="B626" s="1" t="s">
        <v>20</v>
      </c>
      <c r="C626" s="40" t="str">
        <f t="shared" si="97"/>
        <v>09-&gt;</v>
      </c>
      <c r="D626" s="40" t="str">
        <f t="shared" si="98"/>
        <v xml:space="preserve">No pick yet                                                 </v>
      </c>
      <c r="E626" s="52">
        <f t="shared" si="99"/>
        <v>0</v>
      </c>
      <c r="F626" s="18"/>
      <c r="M626" s="18"/>
      <c r="N626" s="18"/>
      <c r="O626" s="18"/>
      <c r="P626" s="18"/>
      <c r="Q626" s="22"/>
      <c r="R626" s="21"/>
      <c r="S626" s="21"/>
      <c r="T626" s="21"/>
      <c r="AA626"/>
      <c r="AH626" t="str">
        <f t="shared" si="100"/>
        <v>k yet</v>
      </c>
    </row>
    <row r="627" spans="1:34">
      <c r="A627" s="42" t="s">
        <v>255</v>
      </c>
      <c r="B627" s="1" t="s">
        <v>20</v>
      </c>
      <c r="C627" s="40" t="str">
        <f t="shared" si="97"/>
        <v>10-&gt;</v>
      </c>
      <c r="D627" s="40" t="str">
        <f t="shared" si="98"/>
        <v xml:space="preserve">No pick yet                                                 </v>
      </c>
      <c r="E627" s="52">
        <f t="shared" si="99"/>
        <v>0</v>
      </c>
      <c r="F627" s="22"/>
      <c r="M627" s="18"/>
      <c r="N627" s="18"/>
      <c r="O627" s="18"/>
      <c r="P627" s="18"/>
      <c r="Q627" s="22"/>
      <c r="R627" s="21"/>
      <c r="S627" s="21"/>
      <c r="T627" s="21"/>
      <c r="AA627"/>
      <c r="AH627" t="str">
        <f t="shared" si="100"/>
        <v>k yet</v>
      </c>
    </row>
    <row r="628" spans="1:34">
      <c r="A628" s="42" t="s">
        <v>256</v>
      </c>
      <c r="B628" s="1" t="s">
        <v>20</v>
      </c>
      <c r="C628" s="40" t="str">
        <f t="shared" si="97"/>
        <v>11-&gt;</v>
      </c>
      <c r="D628" s="40" t="str">
        <f t="shared" si="98"/>
        <v xml:space="preserve">No pick yet                                                 </v>
      </c>
      <c r="E628" s="52">
        <f t="shared" si="99"/>
        <v>0</v>
      </c>
      <c r="M628" s="18"/>
      <c r="N628" s="18"/>
      <c r="O628" s="18"/>
      <c r="P628" s="18"/>
      <c r="Q628" s="22"/>
      <c r="R628" s="21"/>
      <c r="S628" s="21"/>
      <c r="T628" s="21"/>
      <c r="AA628"/>
      <c r="AH628" t="str">
        <f t="shared" si="100"/>
        <v>k yet</v>
      </c>
    </row>
    <row r="629" spans="1:34">
      <c r="A629" s="42" t="s">
        <v>257</v>
      </c>
      <c r="B629" s="1" t="s">
        <v>20</v>
      </c>
      <c r="C629" s="40" t="str">
        <f t="shared" si="97"/>
        <v>12-&gt;</v>
      </c>
      <c r="D629" s="40" t="str">
        <f t="shared" si="98"/>
        <v xml:space="preserve">No pick yet                                                 </v>
      </c>
      <c r="E629" s="52">
        <f t="shared" si="99"/>
        <v>0</v>
      </c>
      <c r="M629" s="18"/>
      <c r="N629" s="18"/>
      <c r="O629" s="18"/>
      <c r="P629" s="18"/>
      <c r="Q629" s="22"/>
      <c r="R629" s="21"/>
      <c r="S629" s="21"/>
      <c r="T629" s="21"/>
      <c r="AA629"/>
      <c r="AH629" t="str">
        <f t="shared" si="100"/>
        <v>k yet</v>
      </c>
    </row>
    <row r="630" spans="1:34">
      <c r="A630" s="42" t="s">
        <v>258</v>
      </c>
      <c r="B630" s="1" t="s">
        <v>20</v>
      </c>
      <c r="C630" s="40" t="str">
        <f t="shared" si="97"/>
        <v>13-&gt;</v>
      </c>
      <c r="D630" s="40" t="str">
        <f t="shared" si="98"/>
        <v xml:space="preserve">No pick yet                                                 </v>
      </c>
      <c r="E630" s="52">
        <f t="shared" si="99"/>
        <v>0</v>
      </c>
      <c r="M630" s="18"/>
      <c r="N630" s="18"/>
      <c r="O630" s="18"/>
      <c r="P630" s="18"/>
      <c r="Q630" s="22"/>
      <c r="R630" s="21"/>
      <c r="S630" s="21"/>
      <c r="T630" s="21"/>
      <c r="AA630"/>
      <c r="AH630" t="str">
        <f t="shared" si="100"/>
        <v>k yet</v>
      </c>
    </row>
    <row r="631" spans="1:34">
      <c r="A631" s="42" t="s">
        <v>259</v>
      </c>
      <c r="B631" s="1" t="s">
        <v>20</v>
      </c>
      <c r="C631" s="40" t="str">
        <f t="shared" si="97"/>
        <v>14-&gt;</v>
      </c>
      <c r="D631" s="40" t="str">
        <f t="shared" si="98"/>
        <v xml:space="preserve">No pick yet                                                 </v>
      </c>
      <c r="E631" s="52">
        <f t="shared" si="99"/>
        <v>0</v>
      </c>
      <c r="M631" s="18"/>
      <c r="N631" s="18"/>
      <c r="O631" s="18"/>
      <c r="P631" s="18"/>
      <c r="Q631" s="22"/>
      <c r="R631" s="21"/>
      <c r="S631" s="21"/>
      <c r="T631" s="21"/>
      <c r="AA631"/>
      <c r="AH631" t="str">
        <f t="shared" si="100"/>
        <v>k yet</v>
      </c>
    </row>
    <row r="632" spans="1:34">
      <c r="A632" s="42" t="s">
        <v>260</v>
      </c>
      <c r="B632" s="1" t="s">
        <v>20</v>
      </c>
      <c r="C632" s="40" t="str">
        <f t="shared" si="97"/>
        <v>15-&gt;</v>
      </c>
      <c r="D632" s="40" t="str">
        <f t="shared" si="98"/>
        <v xml:space="preserve">No pick yet                                                 </v>
      </c>
      <c r="E632" s="52">
        <f t="shared" si="99"/>
        <v>0</v>
      </c>
      <c r="M632" s="18"/>
      <c r="N632" s="18"/>
      <c r="O632" s="18"/>
      <c r="P632" s="18"/>
      <c r="Q632" s="22"/>
      <c r="R632" s="21"/>
      <c r="S632" s="21"/>
      <c r="T632" s="21"/>
      <c r="AA632"/>
      <c r="AH632" t="str">
        <f t="shared" si="100"/>
        <v>k yet</v>
      </c>
    </row>
    <row r="633" spans="1:34">
      <c r="A633" s="42" t="s">
        <v>261</v>
      </c>
      <c r="B633" s="1" t="s">
        <v>20</v>
      </c>
      <c r="C633" s="40" t="str">
        <f t="shared" si="97"/>
        <v>16-&gt;</v>
      </c>
      <c r="D633" s="40" t="str">
        <f t="shared" si="98"/>
        <v xml:space="preserve">No pick yet                                                 </v>
      </c>
      <c r="E633" s="52">
        <f t="shared" si="99"/>
        <v>0</v>
      </c>
      <c r="M633" s="18"/>
      <c r="N633" s="18"/>
      <c r="O633" s="18"/>
      <c r="P633" s="18"/>
      <c r="Q633" s="22"/>
      <c r="R633" s="21"/>
      <c r="S633" s="21"/>
      <c r="T633" s="21"/>
      <c r="AA633"/>
      <c r="AH633" t="str">
        <f t="shared" si="100"/>
        <v>k yet</v>
      </c>
    </row>
    <row r="634" spans="1:34">
      <c r="A634" s="42" t="s">
        <v>262</v>
      </c>
      <c r="B634" s="1" t="s">
        <v>20</v>
      </c>
      <c r="C634" s="40" t="str">
        <f t="shared" si="97"/>
        <v>17-&gt;</v>
      </c>
      <c r="D634" s="40" t="str">
        <f t="shared" si="98"/>
        <v xml:space="preserve">No pick yet                                                 </v>
      </c>
      <c r="E634" s="52">
        <f t="shared" si="99"/>
        <v>0</v>
      </c>
      <c r="K634" s="22"/>
      <c r="N634" s="22"/>
      <c r="O634" s="22"/>
      <c r="P634" s="22"/>
      <c r="Q634" s="22"/>
      <c r="R634" s="22"/>
      <c r="S634" s="22"/>
      <c r="Z634" s="53"/>
      <c r="AA634"/>
      <c r="AH634" t="str">
        <f t="shared" si="100"/>
        <v>k yet</v>
      </c>
    </row>
    <row r="635" spans="1:34">
      <c r="A635" s="42" t="s">
        <v>263</v>
      </c>
      <c r="B635" s="1" t="s">
        <v>20</v>
      </c>
      <c r="C635" s="40" t="str">
        <f t="shared" si="97"/>
        <v>18-&gt;</v>
      </c>
      <c r="D635" s="40" t="str">
        <f t="shared" si="98"/>
        <v xml:space="preserve">No pick yet                                                 </v>
      </c>
      <c r="E635" s="52">
        <f t="shared" si="99"/>
        <v>0</v>
      </c>
      <c r="F635" s="18"/>
      <c r="L635" s="21"/>
      <c r="N635" s="22"/>
      <c r="O635" s="22"/>
      <c r="P635" s="18"/>
      <c r="Q635" s="22"/>
      <c r="R635" s="22"/>
      <c r="S635" s="22"/>
      <c r="Z635" s="53"/>
      <c r="AA635"/>
      <c r="AH635" t="str">
        <f t="shared" si="100"/>
        <v>k yet</v>
      </c>
    </row>
    <row r="636" spans="1:34">
      <c r="A636" s="42" t="s">
        <v>264</v>
      </c>
      <c r="B636" s="1" t="s">
        <v>20</v>
      </c>
      <c r="C636" s="40" t="str">
        <f t="shared" si="97"/>
        <v>19-&gt;</v>
      </c>
      <c r="D636" s="40" t="str">
        <f t="shared" si="98"/>
        <v xml:space="preserve">No pick yet                                                 </v>
      </c>
      <c r="E636" s="52">
        <f t="shared" si="99"/>
        <v>0</v>
      </c>
      <c r="F636" s="18"/>
      <c r="M636" s="18"/>
      <c r="N636" s="18"/>
      <c r="O636" s="18"/>
      <c r="P636" s="18"/>
      <c r="Q636" s="22"/>
      <c r="R636" s="21"/>
      <c r="S636" s="21"/>
      <c r="T636" s="21"/>
      <c r="AA636"/>
      <c r="AH636" t="str">
        <f t="shared" si="100"/>
        <v>k yet</v>
      </c>
    </row>
    <row r="637" spans="1:34">
      <c r="A637" s="42" t="s">
        <v>265</v>
      </c>
      <c r="B637" s="1" t="s">
        <v>20</v>
      </c>
      <c r="C637" s="40" t="str">
        <f t="shared" si="97"/>
        <v>20-&gt;</v>
      </c>
      <c r="D637" s="40" t="str">
        <f t="shared" si="98"/>
        <v xml:space="preserve">No pick yet                                                 </v>
      </c>
      <c r="E637" s="52">
        <f t="shared" si="99"/>
        <v>0</v>
      </c>
      <c r="F637" s="18"/>
      <c r="M637" s="18"/>
      <c r="N637" s="18"/>
      <c r="O637" s="18"/>
      <c r="P637" s="18"/>
      <c r="Q637" s="22"/>
      <c r="R637" s="21"/>
      <c r="S637" s="21"/>
      <c r="T637" s="21"/>
      <c r="AA637"/>
      <c r="AH637" t="str">
        <f t="shared" si="100"/>
        <v>k yet</v>
      </c>
    </row>
    <row r="638" spans="1:34">
      <c r="A638" s="42" t="s">
        <v>266</v>
      </c>
      <c r="B638" s="1" t="s">
        <v>20</v>
      </c>
      <c r="C638" s="40" t="str">
        <f t="shared" si="97"/>
        <v>21-&gt;</v>
      </c>
      <c r="D638" s="40" t="str">
        <f t="shared" si="98"/>
        <v xml:space="preserve">No pick yet                                                 </v>
      </c>
      <c r="E638" s="52">
        <f t="shared" si="99"/>
        <v>0</v>
      </c>
      <c r="F638" s="18"/>
      <c r="G638" s="22"/>
      <c r="I638" s="22"/>
      <c r="J638" s="22"/>
      <c r="M638" s="18"/>
      <c r="N638" s="18"/>
      <c r="O638" s="18"/>
      <c r="P638" s="18"/>
      <c r="Q638" s="22"/>
      <c r="R638" s="21"/>
      <c r="S638" s="21"/>
      <c r="T638" s="21"/>
      <c r="AA638"/>
      <c r="AH638" t="str">
        <f t="shared" si="100"/>
        <v>k yet</v>
      </c>
    </row>
    <row r="639" spans="1:34">
      <c r="A639" s="42" t="s">
        <v>267</v>
      </c>
      <c r="B639" s="1" t="s">
        <v>20</v>
      </c>
      <c r="C639" s="40" t="str">
        <f t="shared" si="97"/>
        <v>22-&gt;</v>
      </c>
      <c r="D639" s="40" t="str">
        <f t="shared" si="98"/>
        <v xml:space="preserve">No pick yet                                                 </v>
      </c>
      <c r="E639" s="52">
        <f t="shared" si="99"/>
        <v>0</v>
      </c>
      <c r="F639" s="18"/>
      <c r="H639" s="21"/>
      <c r="I639" s="22"/>
      <c r="J639" s="22"/>
      <c r="M639" s="18"/>
      <c r="N639" s="18"/>
      <c r="O639" s="18"/>
      <c r="P639" s="18"/>
      <c r="Q639" s="22"/>
      <c r="R639" s="21"/>
      <c r="S639" s="21"/>
      <c r="T639" s="21"/>
      <c r="AA639"/>
      <c r="AH639" t="str">
        <f t="shared" si="100"/>
        <v>k yet</v>
      </c>
    </row>
    <row r="640" spans="1:34">
      <c r="A640" s="42" t="s">
        <v>268</v>
      </c>
      <c r="B640" s="1" t="s">
        <v>20</v>
      </c>
      <c r="C640" s="40" t="str">
        <f t="shared" si="97"/>
        <v>23-&gt;</v>
      </c>
      <c r="D640" s="40" t="str">
        <f t="shared" si="98"/>
        <v xml:space="preserve">No pick yet                                                 </v>
      </c>
      <c r="E640" s="52">
        <f t="shared" si="99"/>
        <v>0</v>
      </c>
      <c r="F640" s="18"/>
      <c r="M640" s="18"/>
      <c r="N640" s="18"/>
      <c r="O640" s="18"/>
      <c r="P640" s="18"/>
      <c r="Q640" s="22"/>
      <c r="R640" s="21"/>
      <c r="S640" s="21"/>
      <c r="T640" s="21"/>
      <c r="AA640"/>
      <c r="AH640" t="str">
        <f t="shared" si="100"/>
        <v>k yet</v>
      </c>
    </row>
    <row r="641" spans="1:39">
      <c r="A641" s="42" t="s">
        <v>269</v>
      </c>
      <c r="B641" s="1" t="s">
        <v>20</v>
      </c>
      <c r="C641" s="40" t="str">
        <f t="shared" si="97"/>
        <v>24-&gt;</v>
      </c>
      <c r="D641" s="40" t="str">
        <f t="shared" si="98"/>
        <v xml:space="preserve">No pick yet                                                 </v>
      </c>
      <c r="E641" s="52">
        <f t="shared" si="99"/>
        <v>0</v>
      </c>
      <c r="F641" s="18"/>
      <c r="M641" s="18"/>
      <c r="N641" s="18"/>
      <c r="O641" s="18"/>
      <c r="P641" s="18"/>
      <c r="Q641" s="22"/>
      <c r="R641" s="21"/>
      <c r="S641" s="21"/>
      <c r="T641" s="21"/>
      <c r="AA641"/>
      <c r="AH641" t="str">
        <f t="shared" si="100"/>
        <v>k yet</v>
      </c>
    </row>
    <row r="642" spans="1:39">
      <c r="A642" s="42" t="s">
        <v>270</v>
      </c>
      <c r="B642" s="1" t="s">
        <v>20</v>
      </c>
      <c r="C642" s="40" t="str">
        <f t="shared" si="97"/>
        <v>25-&gt;</v>
      </c>
      <c r="D642" s="40" t="str">
        <f t="shared" si="98"/>
        <v xml:space="preserve">No pick yet                                                 </v>
      </c>
      <c r="E642" s="52">
        <f t="shared" si="99"/>
        <v>0</v>
      </c>
      <c r="F642" s="18"/>
      <c r="M642" s="18"/>
      <c r="N642" s="18"/>
      <c r="O642" s="18"/>
      <c r="P642" s="18"/>
      <c r="Q642" s="22"/>
      <c r="R642" s="21"/>
      <c r="S642" s="21"/>
      <c r="T642" s="21"/>
      <c r="AA642"/>
      <c r="AH642" t="str">
        <f t="shared" si="100"/>
        <v>k yet</v>
      </c>
    </row>
    <row r="643" spans="1:39">
      <c r="A643" s="42" t="s">
        <v>271</v>
      </c>
      <c r="B643" s="1" t="s">
        <v>20</v>
      </c>
      <c r="C643" s="40" t="str">
        <f t="shared" si="97"/>
        <v>26-&gt;</v>
      </c>
      <c r="D643" s="40" t="str">
        <f t="shared" si="98"/>
        <v xml:space="preserve">No pick yet                                                 </v>
      </c>
      <c r="E643" s="52">
        <f t="shared" si="99"/>
        <v>0</v>
      </c>
      <c r="F643" s="18"/>
      <c r="M643" s="18"/>
      <c r="N643" s="18"/>
      <c r="O643" s="18"/>
      <c r="P643" s="18"/>
      <c r="Q643" s="22"/>
      <c r="R643" s="21"/>
      <c r="S643" s="21"/>
      <c r="T643" s="21"/>
      <c r="AA643"/>
      <c r="AH643" t="str">
        <f t="shared" si="100"/>
        <v>k yet</v>
      </c>
    </row>
    <row r="644" spans="1:39">
      <c r="A644" s="38"/>
      <c r="B644" s="40"/>
      <c r="C644" s="40"/>
      <c r="D644" s="49"/>
      <c r="E644" s="41" t="s">
        <v>69</v>
      </c>
      <c r="F644" s="18"/>
      <c r="K644" s="22" t="s">
        <v>73</v>
      </c>
      <c r="L644" s="18" t="s">
        <v>74</v>
      </c>
      <c r="M644" s="22" t="s">
        <v>78</v>
      </c>
      <c r="N644" s="22" t="s">
        <v>79</v>
      </c>
      <c r="O644" s="22" t="s">
        <v>80</v>
      </c>
      <c r="P644" s="22" t="s">
        <v>81</v>
      </c>
      <c r="Q644" s="22" t="s">
        <v>82</v>
      </c>
      <c r="R644" s="22" t="s">
        <v>83</v>
      </c>
      <c r="S644" s="22" t="s">
        <v>84</v>
      </c>
      <c r="T644" s="18" t="s">
        <v>85</v>
      </c>
      <c r="U644" s="18" t="s">
        <v>86</v>
      </c>
      <c r="V644" s="18" t="s">
        <v>87</v>
      </c>
      <c r="W644" s="18" t="s">
        <v>88</v>
      </c>
      <c r="X644" s="18" t="s">
        <v>89</v>
      </c>
      <c r="Y644" s="18" t="s">
        <v>90</v>
      </c>
      <c r="Z644" s="18" t="s">
        <v>91</v>
      </c>
      <c r="AA644" s="18" t="s">
        <v>92</v>
      </c>
      <c r="AB644" s="18" t="s">
        <v>93</v>
      </c>
      <c r="AC644" s="18" t="s">
        <v>94</v>
      </c>
      <c r="AD644" s="18" t="s">
        <v>235</v>
      </c>
      <c r="AE644" s="18" t="s">
        <v>236</v>
      </c>
      <c r="AF644" s="18" t="s">
        <v>237</v>
      </c>
      <c r="AG644" s="18" t="s">
        <v>238</v>
      </c>
      <c r="AH644" s="18" t="s">
        <v>239</v>
      </c>
      <c r="AI644" s="18" t="s">
        <v>240</v>
      </c>
      <c r="AJ644" s="18" t="s">
        <v>241</v>
      </c>
      <c r="AK644" s="18" t="s">
        <v>242</v>
      </c>
      <c r="AL644" s="18" t="s">
        <v>243</v>
      </c>
      <c r="AM644" s="50" t="s">
        <v>244</v>
      </c>
    </row>
    <row r="645" spans="1:39">
      <c r="A645" s="40" t="s">
        <v>245</v>
      </c>
      <c r="B645" s="51" t="str">
        <f>D22</f>
        <v/>
      </c>
      <c r="C645" s="40" t="str">
        <f t="shared" ref="C645:C671" si="101">A645</f>
        <v>#</v>
      </c>
      <c r="D645" s="40" t="str">
        <f>"   "&amp;B645&amp;REPT(" ",$AH$70-LEN(B645)-3)</f>
        <v xml:space="preserve">                                                            </v>
      </c>
      <c r="E645" s="38" t="str">
        <f>SUM(E646:E671)&amp;" pts[/b]"</f>
        <v>0 pts[/b]</v>
      </c>
      <c r="F645" s="21">
        <f>SUM(E646:E671)</f>
        <v>0</v>
      </c>
      <c r="K645" s="18">
        <f>COUNTIF(E646:E671,"&gt;0")</f>
        <v>0</v>
      </c>
      <c r="L645" s="21">
        <f>AM645-K645</f>
        <v>0</v>
      </c>
      <c r="M645" s="22">
        <f>MAX(E646:E671)</f>
        <v>0</v>
      </c>
      <c r="N645" s="22">
        <f>LARGE(E646:E671,2)</f>
        <v>0</v>
      </c>
      <c r="O645" s="22">
        <f>LARGE(E646:E671,3)</f>
        <v>0</v>
      </c>
      <c r="P645" s="18">
        <f>LARGE(E646:E671,4)</f>
        <v>0</v>
      </c>
      <c r="Q645" s="22">
        <f>LARGE(E646:E671,5)</f>
        <v>0</v>
      </c>
      <c r="R645" s="22">
        <f>LARGE(E646:E671,6)</f>
        <v>0</v>
      </c>
      <c r="S645" s="22">
        <f>LARGE(E646:E671,7)</f>
        <v>0</v>
      </c>
      <c r="T645" s="18">
        <f>LARGE(E646:E671,8)</f>
        <v>0</v>
      </c>
      <c r="U645" s="18">
        <f>LARGE(E646:E671,9)</f>
        <v>0</v>
      </c>
      <c r="V645" s="18">
        <f>LARGE(E646:E671,10)</f>
        <v>0</v>
      </c>
      <c r="W645" s="18">
        <f>LARGE(E646:E671,11)</f>
        <v>0</v>
      </c>
      <c r="X645" s="18">
        <f>LARGE(E646:E671,12)</f>
        <v>0</v>
      </c>
      <c r="Y645" s="18">
        <f>LARGE(E646:E671,13)</f>
        <v>0</v>
      </c>
      <c r="Z645" s="18">
        <f>LARGE(E646:E671,14)</f>
        <v>0</v>
      </c>
      <c r="AA645" s="18">
        <f>LARGE(E646:E671,15)</f>
        <v>0</v>
      </c>
      <c r="AB645" s="18">
        <f>LARGE(E646:E671,16)</f>
        <v>0</v>
      </c>
      <c r="AC645" s="18">
        <f>LARGE(E646:E671,17)</f>
        <v>0</v>
      </c>
      <c r="AD645" s="18">
        <f>LARGE(E646:E672,13)</f>
        <v>0</v>
      </c>
      <c r="AE645" s="18">
        <f>LARGE(E646:E671,19)</f>
        <v>0</v>
      </c>
      <c r="AF645" s="18">
        <f>LARGE(E646:E671,20)</f>
        <v>0</v>
      </c>
      <c r="AG645" s="18">
        <f>LARGE(E646:E671,21)</f>
        <v>0</v>
      </c>
      <c r="AH645" s="18">
        <f>LARGE(E646:E671,22)</f>
        <v>0</v>
      </c>
      <c r="AI645" s="18">
        <f>LARGE(E646:E671,23)</f>
        <v>0</v>
      </c>
      <c r="AJ645" s="18">
        <f>LARGE(E646:E671,24)</f>
        <v>0</v>
      </c>
      <c r="AK645" s="18">
        <f>LARGE(E646:E671,25)</f>
        <v>0</v>
      </c>
      <c r="AL645" s="18">
        <f>LARGE(E646:E671,26)</f>
        <v>0</v>
      </c>
      <c r="AM645" s="50">
        <f>COUNTIF(AH646:AH671,"&lt;&gt;"&amp;AH76)-(26-COUNTIF(E646:E671,"&gt;=0"))</f>
        <v>0</v>
      </c>
    </row>
    <row r="646" spans="1:39">
      <c r="A646" s="42" t="s">
        <v>246</v>
      </c>
      <c r="B646" s="1" t="s">
        <v>20</v>
      </c>
      <c r="C646" s="40" t="str">
        <f t="shared" si="101"/>
        <v>01-&gt;</v>
      </c>
      <c r="D646" s="40" t="str">
        <f t="shared" ref="D646:D671" si="102">B646&amp;REPT(" ",$AH$70-LEN(B646))</f>
        <v xml:space="preserve">No pick yet                                                 </v>
      </c>
      <c r="E646" s="52">
        <f t="shared" ref="E646:E671" si="103">VLOOKUP(RIGHT(B646,LEN(B646)-$AH$66),$H$138:$I$420,2,0)</f>
        <v>0</v>
      </c>
      <c r="F646" s="18"/>
      <c r="M646" s="18"/>
      <c r="N646" s="18"/>
      <c r="O646" s="18"/>
      <c r="P646" s="18"/>
      <c r="Q646" s="22"/>
      <c r="R646" s="21"/>
      <c r="S646" s="21"/>
      <c r="T646" s="21"/>
      <c r="AA646"/>
      <c r="AH646" t="str">
        <f t="shared" ref="AH646:AH671" si="104">RIGHT(B646,LEN(B646)-$AH$66)</f>
        <v>k yet</v>
      </c>
    </row>
    <row r="647" spans="1:39">
      <c r="A647" s="42" t="s">
        <v>247</v>
      </c>
      <c r="B647" s="1" t="s">
        <v>20</v>
      </c>
      <c r="C647" s="40" t="str">
        <f t="shared" si="101"/>
        <v>02-&gt;</v>
      </c>
      <c r="D647" s="40" t="str">
        <f t="shared" si="102"/>
        <v xml:space="preserve">No pick yet                                                 </v>
      </c>
      <c r="E647" s="52">
        <f t="shared" si="103"/>
        <v>0</v>
      </c>
      <c r="F647" s="18"/>
      <c r="K647" s="22"/>
      <c r="N647" s="22"/>
      <c r="O647" s="22"/>
      <c r="P647" s="22"/>
      <c r="Q647" s="22"/>
      <c r="R647" s="22"/>
      <c r="S647" s="22"/>
      <c r="Z647" s="53"/>
      <c r="AA647"/>
      <c r="AH647" t="str">
        <f t="shared" si="104"/>
        <v>k yet</v>
      </c>
    </row>
    <row r="648" spans="1:39">
      <c r="A648" s="42" t="s">
        <v>248</v>
      </c>
      <c r="B648" s="1" t="s">
        <v>20</v>
      </c>
      <c r="C648" s="40" t="str">
        <f t="shared" si="101"/>
        <v>03-&gt;</v>
      </c>
      <c r="D648" s="40" t="str">
        <f t="shared" si="102"/>
        <v xml:space="preserve">No pick yet                                                 </v>
      </c>
      <c r="E648" s="52">
        <f t="shared" si="103"/>
        <v>0</v>
      </c>
      <c r="F648" s="18"/>
      <c r="L648" s="21"/>
      <c r="N648" s="22"/>
      <c r="O648" s="22"/>
      <c r="P648" s="18"/>
      <c r="Q648" s="22"/>
      <c r="R648" s="22"/>
      <c r="S648" s="22"/>
      <c r="Z648" s="53"/>
      <c r="AA648"/>
      <c r="AH648" t="str">
        <f t="shared" si="104"/>
        <v>k yet</v>
      </c>
    </row>
    <row r="649" spans="1:39">
      <c r="A649" s="42" t="s">
        <v>249</v>
      </c>
      <c r="B649" s="1" t="s">
        <v>20</v>
      </c>
      <c r="C649" s="40" t="str">
        <f t="shared" si="101"/>
        <v>04-&gt;</v>
      </c>
      <c r="D649" s="40" t="str">
        <f t="shared" si="102"/>
        <v xml:space="preserve">No pick yet                                                 </v>
      </c>
      <c r="E649" s="52">
        <f t="shared" si="103"/>
        <v>0</v>
      </c>
      <c r="F649" s="18"/>
      <c r="M649" s="18"/>
      <c r="N649" s="18"/>
      <c r="O649" s="18"/>
      <c r="P649" s="18"/>
      <c r="Q649" s="22"/>
      <c r="R649" s="21"/>
      <c r="S649" s="21"/>
      <c r="T649" s="21"/>
      <c r="AA649"/>
      <c r="AH649" t="str">
        <f t="shared" si="104"/>
        <v>k yet</v>
      </c>
    </row>
    <row r="650" spans="1:39">
      <c r="A650" s="42" t="s">
        <v>250</v>
      </c>
      <c r="B650" s="1" t="s">
        <v>20</v>
      </c>
      <c r="C650" s="40" t="str">
        <f t="shared" si="101"/>
        <v>05-&gt;</v>
      </c>
      <c r="D650" s="40" t="str">
        <f t="shared" si="102"/>
        <v xml:space="preserve">No pick yet                                                 </v>
      </c>
      <c r="E650" s="52">
        <f t="shared" si="103"/>
        <v>0</v>
      </c>
      <c r="F650" s="18"/>
      <c r="M650" s="18"/>
      <c r="N650" s="18"/>
      <c r="O650" s="18"/>
      <c r="P650" s="18"/>
      <c r="Q650" s="22"/>
      <c r="R650" s="21"/>
      <c r="S650" s="21"/>
      <c r="T650" s="21"/>
      <c r="AA650"/>
      <c r="AH650" t="str">
        <f t="shared" si="104"/>
        <v>k yet</v>
      </c>
    </row>
    <row r="651" spans="1:39">
      <c r="A651" s="42" t="s">
        <v>251</v>
      </c>
      <c r="B651" s="1" t="s">
        <v>20</v>
      </c>
      <c r="C651" s="40" t="str">
        <f t="shared" si="101"/>
        <v>06-&gt;</v>
      </c>
      <c r="D651" s="40" t="str">
        <f t="shared" si="102"/>
        <v xml:space="preserve">No pick yet                                                 </v>
      </c>
      <c r="E651" s="52">
        <f t="shared" si="103"/>
        <v>0</v>
      </c>
      <c r="F651" s="18"/>
      <c r="M651" s="18"/>
      <c r="N651" s="18"/>
      <c r="O651" s="18"/>
      <c r="P651" s="18"/>
      <c r="Q651" s="22"/>
      <c r="R651" s="21"/>
      <c r="S651" s="21"/>
      <c r="T651" s="21"/>
      <c r="AA651"/>
      <c r="AH651" t="str">
        <f t="shared" si="104"/>
        <v>k yet</v>
      </c>
    </row>
    <row r="652" spans="1:39">
      <c r="A652" s="42" t="s">
        <v>252</v>
      </c>
      <c r="B652" s="1" t="s">
        <v>20</v>
      </c>
      <c r="C652" s="40" t="str">
        <f t="shared" si="101"/>
        <v>07-&gt;</v>
      </c>
      <c r="D652" s="40" t="str">
        <f t="shared" si="102"/>
        <v xml:space="preserve">No pick yet                                                 </v>
      </c>
      <c r="E652" s="52">
        <f t="shared" si="103"/>
        <v>0</v>
      </c>
      <c r="F652" s="18"/>
      <c r="M652" s="18"/>
      <c r="N652" s="18"/>
      <c r="O652" s="18"/>
      <c r="P652" s="18"/>
      <c r="Q652" s="22"/>
      <c r="R652" s="21"/>
      <c r="S652" s="21"/>
      <c r="T652" s="21"/>
      <c r="AA652"/>
      <c r="AH652" t="str">
        <f t="shared" si="104"/>
        <v>k yet</v>
      </c>
    </row>
    <row r="653" spans="1:39">
      <c r="A653" s="42" t="s">
        <v>253</v>
      </c>
      <c r="B653" s="1" t="s">
        <v>20</v>
      </c>
      <c r="C653" s="40" t="str">
        <f t="shared" si="101"/>
        <v>08-&gt;</v>
      </c>
      <c r="D653" s="40" t="str">
        <f t="shared" si="102"/>
        <v xml:space="preserve">No pick yet                                                 </v>
      </c>
      <c r="E653" s="52">
        <f t="shared" si="103"/>
        <v>0</v>
      </c>
      <c r="F653" s="18"/>
      <c r="G653" s="22"/>
      <c r="I653" s="22"/>
      <c r="J653" s="22"/>
      <c r="M653" s="18"/>
      <c r="N653" s="18"/>
      <c r="O653" s="18"/>
      <c r="P653" s="18"/>
      <c r="Q653" s="22"/>
      <c r="R653" s="21"/>
      <c r="S653" s="21"/>
      <c r="T653" s="21"/>
      <c r="AA653"/>
      <c r="AH653" t="str">
        <f t="shared" si="104"/>
        <v>k yet</v>
      </c>
    </row>
    <row r="654" spans="1:39">
      <c r="A654" s="42" t="s">
        <v>254</v>
      </c>
      <c r="B654" s="1" t="s">
        <v>20</v>
      </c>
      <c r="C654" s="40" t="str">
        <f t="shared" si="101"/>
        <v>09-&gt;</v>
      </c>
      <c r="D654" s="40" t="str">
        <f t="shared" si="102"/>
        <v xml:space="preserve">No pick yet                                                 </v>
      </c>
      <c r="E654" s="52">
        <f t="shared" si="103"/>
        <v>0</v>
      </c>
      <c r="F654" s="18"/>
      <c r="H654" s="21"/>
      <c r="I654" s="22"/>
      <c r="J654" s="22"/>
      <c r="M654" s="18"/>
      <c r="N654" s="18"/>
      <c r="O654" s="18"/>
      <c r="P654" s="18"/>
      <c r="Q654" s="22"/>
      <c r="R654" s="21"/>
      <c r="S654" s="21"/>
      <c r="T654" s="21"/>
      <c r="AA654"/>
      <c r="AH654" t="str">
        <f t="shared" si="104"/>
        <v>k yet</v>
      </c>
    </row>
    <row r="655" spans="1:39">
      <c r="A655" s="42" t="s">
        <v>255</v>
      </c>
      <c r="B655" s="1" t="s">
        <v>20</v>
      </c>
      <c r="C655" s="40" t="str">
        <f t="shared" si="101"/>
        <v>10-&gt;</v>
      </c>
      <c r="D655" s="40" t="str">
        <f t="shared" si="102"/>
        <v xml:space="preserve">No pick yet                                                 </v>
      </c>
      <c r="E655" s="52">
        <f t="shared" si="103"/>
        <v>0</v>
      </c>
      <c r="F655" s="22"/>
      <c r="M655" s="18"/>
      <c r="N655" s="18"/>
      <c r="O655" s="18"/>
      <c r="P655" s="18"/>
      <c r="Q655" s="22"/>
      <c r="R655" s="21"/>
      <c r="S655" s="21"/>
      <c r="T655" s="21"/>
      <c r="AA655"/>
      <c r="AH655" t="str">
        <f t="shared" si="104"/>
        <v>k yet</v>
      </c>
    </row>
    <row r="656" spans="1:39">
      <c r="A656" s="42" t="s">
        <v>256</v>
      </c>
      <c r="B656" s="1" t="s">
        <v>20</v>
      </c>
      <c r="C656" s="40" t="str">
        <f t="shared" si="101"/>
        <v>11-&gt;</v>
      </c>
      <c r="D656" s="40" t="str">
        <f t="shared" si="102"/>
        <v xml:space="preserve">No pick yet                                                 </v>
      </c>
      <c r="E656" s="52">
        <f t="shared" si="103"/>
        <v>0</v>
      </c>
      <c r="M656" s="18"/>
      <c r="N656" s="18"/>
      <c r="O656" s="18"/>
      <c r="P656" s="18"/>
      <c r="Q656" s="22"/>
      <c r="R656" s="21"/>
      <c r="S656" s="21"/>
      <c r="T656" s="21"/>
      <c r="AA656"/>
      <c r="AH656" t="str">
        <f t="shared" si="104"/>
        <v>k yet</v>
      </c>
    </row>
    <row r="657" spans="1:39">
      <c r="A657" s="42" t="s">
        <v>257</v>
      </c>
      <c r="B657" s="1" t="s">
        <v>20</v>
      </c>
      <c r="C657" s="40" t="str">
        <f t="shared" si="101"/>
        <v>12-&gt;</v>
      </c>
      <c r="D657" s="40" t="str">
        <f t="shared" si="102"/>
        <v xml:space="preserve">No pick yet                                                 </v>
      </c>
      <c r="E657" s="52">
        <f t="shared" si="103"/>
        <v>0</v>
      </c>
      <c r="M657" s="18"/>
      <c r="N657" s="18"/>
      <c r="O657" s="18"/>
      <c r="P657" s="18"/>
      <c r="Q657" s="22"/>
      <c r="R657" s="21"/>
      <c r="S657" s="21"/>
      <c r="T657" s="21"/>
      <c r="AA657"/>
      <c r="AH657" t="str">
        <f t="shared" si="104"/>
        <v>k yet</v>
      </c>
    </row>
    <row r="658" spans="1:39">
      <c r="A658" s="42" t="s">
        <v>258</v>
      </c>
      <c r="B658" s="1" t="s">
        <v>20</v>
      </c>
      <c r="C658" s="40" t="str">
        <f t="shared" si="101"/>
        <v>13-&gt;</v>
      </c>
      <c r="D658" s="40" t="str">
        <f t="shared" si="102"/>
        <v xml:space="preserve">No pick yet                                                 </v>
      </c>
      <c r="E658" s="52">
        <f t="shared" si="103"/>
        <v>0</v>
      </c>
      <c r="M658" s="18"/>
      <c r="N658" s="18"/>
      <c r="O658" s="18"/>
      <c r="P658" s="18"/>
      <c r="Q658" s="22"/>
      <c r="R658" s="21"/>
      <c r="S658" s="21"/>
      <c r="T658" s="21"/>
      <c r="AA658"/>
      <c r="AH658" t="str">
        <f t="shared" si="104"/>
        <v>k yet</v>
      </c>
    </row>
    <row r="659" spans="1:39">
      <c r="A659" s="42" t="s">
        <v>259</v>
      </c>
      <c r="B659" s="1" t="s">
        <v>20</v>
      </c>
      <c r="C659" s="40" t="str">
        <f t="shared" si="101"/>
        <v>14-&gt;</v>
      </c>
      <c r="D659" s="40" t="str">
        <f t="shared" si="102"/>
        <v xml:space="preserve">No pick yet                                                 </v>
      </c>
      <c r="E659" s="52">
        <f t="shared" si="103"/>
        <v>0</v>
      </c>
      <c r="M659" s="18"/>
      <c r="N659" s="18"/>
      <c r="O659" s="18"/>
      <c r="P659" s="18"/>
      <c r="Q659" s="22"/>
      <c r="R659" s="21"/>
      <c r="S659" s="21"/>
      <c r="T659" s="21"/>
      <c r="AA659"/>
      <c r="AH659" t="str">
        <f t="shared" si="104"/>
        <v>k yet</v>
      </c>
    </row>
    <row r="660" spans="1:39">
      <c r="A660" s="42" t="s">
        <v>260</v>
      </c>
      <c r="B660" s="1" t="s">
        <v>20</v>
      </c>
      <c r="C660" s="40" t="str">
        <f t="shared" si="101"/>
        <v>15-&gt;</v>
      </c>
      <c r="D660" s="40" t="str">
        <f t="shared" si="102"/>
        <v xml:space="preserve">No pick yet                                                 </v>
      </c>
      <c r="E660" s="52">
        <f t="shared" si="103"/>
        <v>0</v>
      </c>
      <c r="M660" s="18"/>
      <c r="N660" s="18"/>
      <c r="O660" s="18"/>
      <c r="P660" s="18"/>
      <c r="Q660" s="22"/>
      <c r="R660" s="21"/>
      <c r="S660" s="21"/>
      <c r="T660" s="21"/>
      <c r="AA660"/>
      <c r="AH660" t="str">
        <f t="shared" si="104"/>
        <v>k yet</v>
      </c>
    </row>
    <row r="661" spans="1:39">
      <c r="A661" s="42" t="s">
        <v>261</v>
      </c>
      <c r="B661" s="1" t="s">
        <v>20</v>
      </c>
      <c r="C661" s="40" t="str">
        <f t="shared" si="101"/>
        <v>16-&gt;</v>
      </c>
      <c r="D661" s="40" t="str">
        <f t="shared" si="102"/>
        <v xml:space="preserve">No pick yet                                                 </v>
      </c>
      <c r="E661" s="52">
        <f t="shared" si="103"/>
        <v>0</v>
      </c>
      <c r="M661" s="18"/>
      <c r="N661" s="18"/>
      <c r="O661" s="18"/>
      <c r="P661" s="18"/>
      <c r="Q661" s="22"/>
      <c r="R661" s="21"/>
      <c r="S661" s="21"/>
      <c r="T661" s="21"/>
      <c r="AA661"/>
      <c r="AH661" t="str">
        <f t="shared" si="104"/>
        <v>k yet</v>
      </c>
    </row>
    <row r="662" spans="1:39">
      <c r="A662" s="42" t="s">
        <v>262</v>
      </c>
      <c r="B662" s="1" t="s">
        <v>20</v>
      </c>
      <c r="C662" s="40" t="str">
        <f t="shared" si="101"/>
        <v>17-&gt;</v>
      </c>
      <c r="D662" s="40" t="str">
        <f t="shared" si="102"/>
        <v xml:space="preserve">No pick yet                                                 </v>
      </c>
      <c r="E662" s="52">
        <f t="shared" si="103"/>
        <v>0</v>
      </c>
      <c r="K662" s="22"/>
      <c r="N662" s="22"/>
      <c r="O662" s="22"/>
      <c r="P662" s="22"/>
      <c r="Q662" s="22"/>
      <c r="R662" s="22"/>
      <c r="S662" s="22"/>
      <c r="Z662" s="53"/>
      <c r="AA662"/>
      <c r="AH662" t="str">
        <f t="shared" si="104"/>
        <v>k yet</v>
      </c>
    </row>
    <row r="663" spans="1:39">
      <c r="A663" s="42" t="s">
        <v>263</v>
      </c>
      <c r="B663" s="1" t="s">
        <v>20</v>
      </c>
      <c r="C663" s="40" t="str">
        <f t="shared" si="101"/>
        <v>18-&gt;</v>
      </c>
      <c r="D663" s="40" t="str">
        <f t="shared" si="102"/>
        <v xml:space="preserve">No pick yet                                                 </v>
      </c>
      <c r="E663" s="52">
        <f t="shared" si="103"/>
        <v>0</v>
      </c>
      <c r="F663" s="18"/>
      <c r="L663" s="21"/>
      <c r="N663" s="22"/>
      <c r="O663" s="22"/>
      <c r="P663" s="18"/>
      <c r="Q663" s="22"/>
      <c r="R663" s="22"/>
      <c r="S663" s="22"/>
      <c r="Z663" s="53"/>
      <c r="AA663"/>
      <c r="AH663" t="str">
        <f t="shared" si="104"/>
        <v>k yet</v>
      </c>
    </row>
    <row r="664" spans="1:39">
      <c r="A664" s="42" t="s">
        <v>264</v>
      </c>
      <c r="B664" s="1" t="s">
        <v>20</v>
      </c>
      <c r="C664" s="40" t="str">
        <f t="shared" si="101"/>
        <v>19-&gt;</v>
      </c>
      <c r="D664" s="40" t="str">
        <f t="shared" si="102"/>
        <v xml:space="preserve">No pick yet                                                 </v>
      </c>
      <c r="E664" s="52">
        <f t="shared" si="103"/>
        <v>0</v>
      </c>
      <c r="F664" s="18"/>
      <c r="M664" s="18"/>
      <c r="N664" s="18"/>
      <c r="O664" s="18"/>
      <c r="P664" s="18"/>
      <c r="Q664" s="22"/>
      <c r="R664" s="21"/>
      <c r="S664" s="21"/>
      <c r="T664" s="21"/>
      <c r="AA664"/>
      <c r="AH664" t="str">
        <f t="shared" si="104"/>
        <v>k yet</v>
      </c>
    </row>
    <row r="665" spans="1:39">
      <c r="A665" s="42" t="s">
        <v>265</v>
      </c>
      <c r="B665" s="1" t="s">
        <v>20</v>
      </c>
      <c r="C665" s="40" t="str">
        <f t="shared" si="101"/>
        <v>20-&gt;</v>
      </c>
      <c r="D665" s="40" t="str">
        <f t="shared" si="102"/>
        <v xml:space="preserve">No pick yet                                                 </v>
      </c>
      <c r="E665" s="52">
        <f t="shared" si="103"/>
        <v>0</v>
      </c>
      <c r="F665" s="18"/>
      <c r="M665" s="18"/>
      <c r="N665" s="18"/>
      <c r="O665" s="18"/>
      <c r="P665" s="18"/>
      <c r="Q665" s="22"/>
      <c r="R665" s="21"/>
      <c r="S665" s="21"/>
      <c r="T665" s="21"/>
      <c r="AA665"/>
      <c r="AH665" t="str">
        <f t="shared" si="104"/>
        <v>k yet</v>
      </c>
    </row>
    <row r="666" spans="1:39">
      <c r="A666" s="42" t="s">
        <v>266</v>
      </c>
      <c r="B666" s="1" t="s">
        <v>20</v>
      </c>
      <c r="C666" s="40" t="str">
        <f t="shared" si="101"/>
        <v>21-&gt;</v>
      </c>
      <c r="D666" s="40" t="str">
        <f t="shared" si="102"/>
        <v xml:space="preserve">No pick yet                                                 </v>
      </c>
      <c r="E666" s="52">
        <f t="shared" si="103"/>
        <v>0</v>
      </c>
      <c r="F666" s="18"/>
      <c r="M666" s="18"/>
      <c r="N666" s="18"/>
      <c r="O666" s="18"/>
      <c r="P666" s="18"/>
      <c r="Q666" s="22"/>
      <c r="R666" s="21"/>
      <c r="S666" s="21"/>
      <c r="T666" s="21"/>
      <c r="AA666"/>
      <c r="AH666" t="str">
        <f t="shared" si="104"/>
        <v>k yet</v>
      </c>
    </row>
    <row r="667" spans="1:39">
      <c r="A667" s="42" t="s">
        <v>267</v>
      </c>
      <c r="B667" s="1" t="s">
        <v>20</v>
      </c>
      <c r="C667" s="40" t="str">
        <f t="shared" si="101"/>
        <v>22-&gt;</v>
      </c>
      <c r="D667" s="40" t="str">
        <f t="shared" si="102"/>
        <v xml:space="preserve">No pick yet                                                 </v>
      </c>
      <c r="E667" s="52">
        <f t="shared" si="103"/>
        <v>0</v>
      </c>
      <c r="F667" s="18"/>
      <c r="M667" s="18"/>
      <c r="N667" s="18"/>
      <c r="O667" s="18"/>
      <c r="P667" s="18"/>
      <c r="Q667" s="22"/>
      <c r="R667" s="21"/>
      <c r="S667" s="21"/>
      <c r="T667" s="21"/>
      <c r="AA667"/>
      <c r="AH667" t="str">
        <f t="shared" si="104"/>
        <v>k yet</v>
      </c>
    </row>
    <row r="668" spans="1:39">
      <c r="A668" s="42" t="s">
        <v>268</v>
      </c>
      <c r="B668" s="1" t="s">
        <v>20</v>
      </c>
      <c r="C668" s="40" t="str">
        <f t="shared" si="101"/>
        <v>23-&gt;</v>
      </c>
      <c r="D668" s="40" t="str">
        <f t="shared" si="102"/>
        <v xml:space="preserve">No pick yet                                                 </v>
      </c>
      <c r="E668" s="52">
        <f t="shared" si="103"/>
        <v>0</v>
      </c>
      <c r="F668" s="18"/>
      <c r="G668" s="22"/>
      <c r="I668" s="22"/>
      <c r="J668" s="22"/>
      <c r="M668" s="18"/>
      <c r="N668" s="18"/>
      <c r="O668" s="18"/>
      <c r="P668" s="18"/>
      <c r="Q668" s="22"/>
      <c r="R668" s="21"/>
      <c r="S668" s="21"/>
      <c r="T668" s="21"/>
      <c r="AA668"/>
      <c r="AH668" t="str">
        <f t="shared" si="104"/>
        <v>k yet</v>
      </c>
    </row>
    <row r="669" spans="1:39">
      <c r="A669" s="42" t="s">
        <v>269</v>
      </c>
      <c r="B669" s="1" t="s">
        <v>20</v>
      </c>
      <c r="C669" s="40" t="str">
        <f t="shared" si="101"/>
        <v>24-&gt;</v>
      </c>
      <c r="D669" s="40" t="str">
        <f t="shared" si="102"/>
        <v xml:space="preserve">No pick yet                                                 </v>
      </c>
      <c r="E669" s="52">
        <f t="shared" si="103"/>
        <v>0</v>
      </c>
      <c r="F669" s="18"/>
      <c r="H669" s="21"/>
      <c r="I669" s="22"/>
      <c r="J669" s="22"/>
      <c r="M669" s="18"/>
      <c r="N669" s="18"/>
      <c r="O669" s="18"/>
      <c r="P669" s="18"/>
      <c r="Q669" s="22"/>
      <c r="R669" s="21"/>
      <c r="S669" s="21"/>
      <c r="T669" s="21"/>
      <c r="AA669"/>
      <c r="AH669" t="str">
        <f t="shared" si="104"/>
        <v>k yet</v>
      </c>
    </row>
    <row r="670" spans="1:39">
      <c r="A670" s="42" t="s">
        <v>270</v>
      </c>
      <c r="B670" s="1" t="s">
        <v>20</v>
      </c>
      <c r="C670" s="40" t="str">
        <f t="shared" si="101"/>
        <v>25-&gt;</v>
      </c>
      <c r="D670" s="40" t="str">
        <f t="shared" si="102"/>
        <v xml:space="preserve">No pick yet                                                 </v>
      </c>
      <c r="E670" s="52">
        <f t="shared" si="103"/>
        <v>0</v>
      </c>
      <c r="F670" s="18"/>
      <c r="M670" s="18"/>
      <c r="N670" s="18"/>
      <c r="O670" s="18"/>
      <c r="P670" s="18"/>
      <c r="Q670" s="22"/>
      <c r="R670" s="21"/>
      <c r="S670" s="21"/>
      <c r="T670" s="21"/>
      <c r="AA670"/>
      <c r="AH670" t="str">
        <f t="shared" si="104"/>
        <v>k yet</v>
      </c>
    </row>
    <row r="671" spans="1:39">
      <c r="A671" s="42" t="s">
        <v>271</v>
      </c>
      <c r="B671" s="1" t="s">
        <v>20</v>
      </c>
      <c r="C671" s="40" t="str">
        <f t="shared" si="101"/>
        <v>26-&gt;</v>
      </c>
      <c r="D671" s="40" t="str">
        <f t="shared" si="102"/>
        <v xml:space="preserve">No pick yet                                                 </v>
      </c>
      <c r="E671" s="52">
        <f t="shared" si="103"/>
        <v>0</v>
      </c>
      <c r="F671" s="18"/>
      <c r="M671" s="18"/>
      <c r="N671" s="18"/>
      <c r="O671" s="18"/>
      <c r="P671" s="18"/>
      <c r="Q671" s="22"/>
      <c r="R671" s="21"/>
      <c r="S671" s="21"/>
      <c r="T671" s="21"/>
      <c r="AA671"/>
      <c r="AH671" t="str">
        <f t="shared" si="104"/>
        <v>k yet</v>
      </c>
    </row>
    <row r="672" spans="1:39">
      <c r="A672" s="38"/>
      <c r="B672" s="40"/>
      <c r="C672" s="40"/>
      <c r="D672" s="49"/>
      <c r="E672" s="41" t="s">
        <v>69</v>
      </c>
      <c r="F672" s="18"/>
      <c r="K672" s="22" t="s">
        <v>73</v>
      </c>
      <c r="L672" s="18" t="s">
        <v>74</v>
      </c>
      <c r="M672" s="22" t="s">
        <v>78</v>
      </c>
      <c r="N672" s="22" t="s">
        <v>79</v>
      </c>
      <c r="O672" s="22" t="s">
        <v>80</v>
      </c>
      <c r="P672" s="22" t="s">
        <v>81</v>
      </c>
      <c r="Q672" s="22" t="s">
        <v>82</v>
      </c>
      <c r="R672" s="22" t="s">
        <v>83</v>
      </c>
      <c r="S672" s="22" t="s">
        <v>84</v>
      </c>
      <c r="T672" s="18" t="s">
        <v>85</v>
      </c>
      <c r="U672" s="18" t="s">
        <v>86</v>
      </c>
      <c r="V672" s="18" t="s">
        <v>87</v>
      </c>
      <c r="W672" s="18" t="s">
        <v>88</v>
      </c>
      <c r="X672" s="18" t="s">
        <v>89</v>
      </c>
      <c r="Y672" s="18" t="s">
        <v>90</v>
      </c>
      <c r="Z672" s="18" t="s">
        <v>91</v>
      </c>
      <c r="AA672" s="18" t="s">
        <v>92</v>
      </c>
      <c r="AB672" s="18" t="s">
        <v>93</v>
      </c>
      <c r="AC672" s="18" t="s">
        <v>94</v>
      </c>
      <c r="AD672" s="18" t="s">
        <v>235</v>
      </c>
      <c r="AE672" s="18" t="s">
        <v>236</v>
      </c>
      <c r="AF672" s="18" t="s">
        <v>237</v>
      </c>
      <c r="AG672" s="18" t="s">
        <v>238</v>
      </c>
      <c r="AH672" s="18" t="s">
        <v>239</v>
      </c>
      <c r="AI672" s="18" t="s">
        <v>240</v>
      </c>
      <c r="AJ672" s="18" t="s">
        <v>241</v>
      </c>
      <c r="AK672" s="18" t="s">
        <v>242</v>
      </c>
      <c r="AL672" s="18" t="s">
        <v>243</v>
      </c>
      <c r="AM672" s="50" t="s">
        <v>244</v>
      </c>
    </row>
    <row r="673" spans="1:39">
      <c r="A673" s="40" t="s">
        <v>245</v>
      </c>
      <c r="B673" s="51" t="str">
        <f>D23</f>
        <v/>
      </c>
      <c r="C673" s="40" t="str">
        <f t="shared" ref="C673:C699" si="105">A673</f>
        <v>#</v>
      </c>
      <c r="D673" s="40" t="str">
        <f>"   "&amp;B673&amp;REPT(" ",$AH$70-LEN(B673)-3)</f>
        <v xml:space="preserve">                                                            </v>
      </c>
      <c r="E673" s="38" t="str">
        <f>SUM(E674:E699)&amp;" pts[/b]"</f>
        <v>0 pts[/b]</v>
      </c>
      <c r="F673" s="21">
        <f>SUM(E674:E699)</f>
        <v>0</v>
      </c>
      <c r="K673" s="18">
        <f>COUNTIF(E674:E699,"&gt;0")</f>
        <v>0</v>
      </c>
      <c r="L673" s="21">
        <f>AM673-K673</f>
        <v>0</v>
      </c>
      <c r="M673" s="22">
        <f>MAX(E674:E699)</f>
        <v>0</v>
      </c>
      <c r="N673" s="22">
        <f>LARGE(E674:E699,2)</f>
        <v>0</v>
      </c>
      <c r="O673" s="22">
        <f>LARGE(E674:E699,3)</f>
        <v>0</v>
      </c>
      <c r="P673" s="18">
        <f>LARGE(E674:E699,4)</f>
        <v>0</v>
      </c>
      <c r="Q673" s="22">
        <f>LARGE(E674:E699,5)</f>
        <v>0</v>
      </c>
      <c r="R673" s="22">
        <f>LARGE(E674:E699,6)</f>
        <v>0</v>
      </c>
      <c r="S673" s="22">
        <f>LARGE(E674:E699,7)</f>
        <v>0</v>
      </c>
      <c r="T673" s="18">
        <f>LARGE(E674:E699,8)</f>
        <v>0</v>
      </c>
      <c r="U673" s="18">
        <f>LARGE(E674:E699,9)</f>
        <v>0</v>
      </c>
      <c r="V673" s="18">
        <f>LARGE(E674:E699,10)</f>
        <v>0</v>
      </c>
      <c r="W673" s="18">
        <f>LARGE(E674:E699,11)</f>
        <v>0</v>
      </c>
      <c r="X673" s="18">
        <f>LARGE(E674:E699,12)</f>
        <v>0</v>
      </c>
      <c r="Y673" s="18">
        <f>LARGE(E674:E699,13)</f>
        <v>0</v>
      </c>
      <c r="Z673" s="18">
        <f>LARGE(E674:E699,14)</f>
        <v>0</v>
      </c>
      <c r="AA673" s="18">
        <f>LARGE(E674:E699,15)</f>
        <v>0</v>
      </c>
      <c r="AB673" s="18">
        <f>LARGE(E674:E699,16)</f>
        <v>0</v>
      </c>
      <c r="AC673" s="18">
        <f>LARGE(E674:E699,17)</f>
        <v>0</v>
      </c>
      <c r="AD673" s="18">
        <f>LARGE(E674:E700,13)</f>
        <v>0</v>
      </c>
      <c r="AE673" s="18">
        <f>LARGE(E674:E699,19)</f>
        <v>0</v>
      </c>
      <c r="AF673" s="18">
        <f>LARGE(E674:E699,20)</f>
        <v>0</v>
      </c>
      <c r="AG673" s="18">
        <f>LARGE(E674:E699,21)</f>
        <v>0</v>
      </c>
      <c r="AH673" s="18">
        <f>LARGE(E674:E699,22)</f>
        <v>0</v>
      </c>
      <c r="AI673" s="18">
        <f>LARGE(E674:E699,23)</f>
        <v>0</v>
      </c>
      <c r="AJ673" s="18">
        <f>LARGE(E674:E699,24)</f>
        <v>0</v>
      </c>
      <c r="AK673" s="18">
        <f>LARGE(E674:E699,25)</f>
        <v>0</v>
      </c>
      <c r="AL673" s="18">
        <f>LARGE(E674:E699,26)</f>
        <v>0</v>
      </c>
      <c r="AM673" s="50">
        <f>COUNTIF(AH674:AH699,"&lt;&gt;"&amp;AH76)-(26-COUNTIF(E674:E699,"&gt;=0"))</f>
        <v>0</v>
      </c>
    </row>
    <row r="674" spans="1:39">
      <c r="A674" s="42" t="s">
        <v>246</v>
      </c>
      <c r="B674" s="1" t="s">
        <v>20</v>
      </c>
      <c r="C674" s="40" t="str">
        <f t="shared" si="105"/>
        <v>01-&gt;</v>
      </c>
      <c r="D674" s="40" t="str">
        <f t="shared" ref="D674:D699" si="106">B674&amp;REPT(" ",$AH$70-LEN(B674))</f>
        <v xml:space="preserve">No pick yet                                                 </v>
      </c>
      <c r="E674" s="52">
        <f t="shared" ref="E674:E699" si="107">VLOOKUP(RIGHT(B674,LEN(B674)-$AH$66),$H$138:$I$420,2,0)</f>
        <v>0</v>
      </c>
      <c r="F674" s="18"/>
      <c r="M674" s="18"/>
      <c r="N674" s="18"/>
      <c r="O674" s="18"/>
      <c r="P674" s="18"/>
      <c r="Q674" s="22"/>
      <c r="R674" s="21"/>
      <c r="S674" s="21"/>
      <c r="T674" s="21"/>
      <c r="AA674"/>
      <c r="AH674" t="str">
        <f t="shared" ref="AH674:AH699" si="108">RIGHT(B674,LEN(B674)-$AH$66)</f>
        <v>k yet</v>
      </c>
    </row>
    <row r="675" spans="1:39">
      <c r="A675" s="42" t="s">
        <v>247</v>
      </c>
      <c r="B675" s="1" t="s">
        <v>20</v>
      </c>
      <c r="C675" s="40" t="str">
        <f t="shared" si="105"/>
        <v>02-&gt;</v>
      </c>
      <c r="D675" s="40" t="str">
        <f t="shared" si="106"/>
        <v xml:space="preserve">No pick yet                                                 </v>
      </c>
      <c r="E675" s="52">
        <f t="shared" si="107"/>
        <v>0</v>
      </c>
      <c r="F675" s="18"/>
      <c r="K675" s="22"/>
      <c r="N675" s="22"/>
      <c r="O675" s="22"/>
      <c r="P675" s="22"/>
      <c r="Q675" s="22"/>
      <c r="R675" s="22"/>
      <c r="S675" s="22"/>
      <c r="Z675" s="53"/>
      <c r="AA675"/>
      <c r="AH675" t="str">
        <f t="shared" si="108"/>
        <v>k yet</v>
      </c>
    </row>
    <row r="676" spans="1:39">
      <c r="A676" s="42" t="s">
        <v>248</v>
      </c>
      <c r="B676" s="1" t="s">
        <v>20</v>
      </c>
      <c r="C676" s="40" t="str">
        <f t="shared" si="105"/>
        <v>03-&gt;</v>
      </c>
      <c r="D676" s="40" t="str">
        <f t="shared" si="106"/>
        <v xml:space="preserve">No pick yet                                                 </v>
      </c>
      <c r="E676" s="52">
        <f t="shared" si="107"/>
        <v>0</v>
      </c>
      <c r="F676" s="18"/>
      <c r="L676" s="21"/>
      <c r="N676" s="22"/>
      <c r="O676" s="22"/>
      <c r="P676" s="18"/>
      <c r="Q676" s="22"/>
      <c r="R676" s="22"/>
      <c r="S676" s="22"/>
      <c r="Z676" s="53"/>
      <c r="AA676"/>
      <c r="AH676" t="str">
        <f t="shared" si="108"/>
        <v>k yet</v>
      </c>
    </row>
    <row r="677" spans="1:39">
      <c r="A677" s="42" t="s">
        <v>249</v>
      </c>
      <c r="B677" s="1" t="s">
        <v>20</v>
      </c>
      <c r="C677" s="40" t="str">
        <f t="shared" si="105"/>
        <v>04-&gt;</v>
      </c>
      <c r="D677" s="40" t="str">
        <f t="shared" si="106"/>
        <v xml:space="preserve">No pick yet                                                 </v>
      </c>
      <c r="E677" s="52">
        <f t="shared" si="107"/>
        <v>0</v>
      </c>
      <c r="F677" s="18"/>
      <c r="M677" s="18"/>
      <c r="N677" s="18"/>
      <c r="O677" s="18"/>
      <c r="P677" s="18"/>
      <c r="Q677" s="22"/>
      <c r="R677" s="21"/>
      <c r="S677" s="21"/>
      <c r="T677" s="21"/>
      <c r="AA677"/>
      <c r="AH677" t="str">
        <f t="shared" si="108"/>
        <v>k yet</v>
      </c>
    </row>
    <row r="678" spans="1:39">
      <c r="A678" s="42" t="s">
        <v>250</v>
      </c>
      <c r="B678" s="1" t="s">
        <v>20</v>
      </c>
      <c r="C678" s="40" t="str">
        <f t="shared" si="105"/>
        <v>05-&gt;</v>
      </c>
      <c r="D678" s="40" t="str">
        <f t="shared" si="106"/>
        <v xml:space="preserve">No pick yet                                                 </v>
      </c>
      <c r="E678" s="52">
        <f t="shared" si="107"/>
        <v>0</v>
      </c>
      <c r="F678" s="18"/>
      <c r="M678" s="18"/>
      <c r="N678" s="18"/>
      <c r="O678" s="18"/>
      <c r="P678" s="18"/>
      <c r="Q678" s="22"/>
      <c r="R678" s="21"/>
      <c r="S678" s="21"/>
      <c r="T678" s="21"/>
      <c r="AA678"/>
      <c r="AH678" t="str">
        <f t="shared" si="108"/>
        <v>k yet</v>
      </c>
    </row>
    <row r="679" spans="1:39">
      <c r="A679" s="42" t="s">
        <v>251</v>
      </c>
      <c r="B679" s="1" t="s">
        <v>20</v>
      </c>
      <c r="C679" s="40" t="str">
        <f t="shared" si="105"/>
        <v>06-&gt;</v>
      </c>
      <c r="D679" s="40" t="str">
        <f t="shared" si="106"/>
        <v xml:space="preserve">No pick yet                                                 </v>
      </c>
      <c r="E679" s="52">
        <f t="shared" si="107"/>
        <v>0</v>
      </c>
      <c r="F679" s="18"/>
      <c r="M679" s="18"/>
      <c r="N679" s="18"/>
      <c r="O679" s="18"/>
      <c r="P679" s="18"/>
      <c r="Q679" s="22"/>
      <c r="R679" s="21"/>
      <c r="S679" s="21"/>
      <c r="T679" s="21"/>
      <c r="AA679"/>
      <c r="AH679" t="str">
        <f t="shared" si="108"/>
        <v>k yet</v>
      </c>
    </row>
    <row r="680" spans="1:39">
      <c r="A680" s="42" t="s">
        <v>252</v>
      </c>
      <c r="B680" s="1" t="s">
        <v>20</v>
      </c>
      <c r="C680" s="40" t="str">
        <f t="shared" si="105"/>
        <v>07-&gt;</v>
      </c>
      <c r="D680" s="40" t="str">
        <f t="shared" si="106"/>
        <v xml:space="preserve">No pick yet                                                 </v>
      </c>
      <c r="E680" s="52">
        <f t="shared" si="107"/>
        <v>0</v>
      </c>
      <c r="F680" s="18"/>
      <c r="M680" s="18"/>
      <c r="N680" s="18"/>
      <c r="O680" s="18"/>
      <c r="P680" s="18"/>
      <c r="Q680" s="22"/>
      <c r="R680" s="21"/>
      <c r="S680" s="21"/>
      <c r="T680" s="21"/>
      <c r="AA680"/>
      <c r="AH680" t="str">
        <f t="shared" si="108"/>
        <v>k yet</v>
      </c>
    </row>
    <row r="681" spans="1:39">
      <c r="A681" s="42" t="s">
        <v>253</v>
      </c>
      <c r="B681" s="1" t="s">
        <v>20</v>
      </c>
      <c r="C681" s="40" t="str">
        <f t="shared" si="105"/>
        <v>08-&gt;</v>
      </c>
      <c r="D681" s="40" t="str">
        <f t="shared" si="106"/>
        <v xml:space="preserve">No pick yet                                                 </v>
      </c>
      <c r="E681" s="52">
        <f t="shared" si="107"/>
        <v>0</v>
      </c>
      <c r="F681" s="18"/>
      <c r="M681" s="18"/>
      <c r="N681" s="18"/>
      <c r="O681" s="18"/>
      <c r="P681" s="18"/>
      <c r="Q681" s="22"/>
      <c r="R681" s="21"/>
      <c r="S681" s="21"/>
      <c r="T681" s="21"/>
      <c r="AA681"/>
      <c r="AH681" t="str">
        <f t="shared" si="108"/>
        <v>k yet</v>
      </c>
    </row>
    <row r="682" spans="1:39">
      <c r="A682" s="42" t="s">
        <v>254</v>
      </c>
      <c r="B682" s="1" t="s">
        <v>20</v>
      </c>
      <c r="C682" s="40" t="str">
        <f t="shared" si="105"/>
        <v>09-&gt;</v>
      </c>
      <c r="D682" s="40" t="str">
        <f t="shared" si="106"/>
        <v xml:space="preserve">No pick yet                                                 </v>
      </c>
      <c r="E682" s="52">
        <f t="shared" si="107"/>
        <v>0</v>
      </c>
      <c r="F682" s="18"/>
      <c r="M682" s="18"/>
      <c r="N682" s="18"/>
      <c r="O682" s="18"/>
      <c r="P682" s="18"/>
      <c r="Q682" s="22"/>
      <c r="R682" s="21"/>
      <c r="S682" s="21"/>
      <c r="T682" s="21"/>
      <c r="AA682"/>
      <c r="AH682" t="str">
        <f t="shared" si="108"/>
        <v>k yet</v>
      </c>
    </row>
    <row r="683" spans="1:39">
      <c r="A683" s="42" t="s">
        <v>255</v>
      </c>
      <c r="B683" s="1" t="s">
        <v>20</v>
      </c>
      <c r="C683" s="40" t="str">
        <f t="shared" si="105"/>
        <v>10-&gt;</v>
      </c>
      <c r="D683" s="40" t="str">
        <f t="shared" si="106"/>
        <v xml:space="preserve">No pick yet                                                 </v>
      </c>
      <c r="E683" s="52">
        <f t="shared" si="107"/>
        <v>0</v>
      </c>
      <c r="F683" s="22"/>
      <c r="G683" s="22"/>
      <c r="I683" s="22"/>
      <c r="J683" s="22"/>
      <c r="M683" s="18"/>
      <c r="N683" s="18"/>
      <c r="O683" s="18"/>
      <c r="P683" s="18"/>
      <c r="Q683" s="22"/>
      <c r="R683" s="21"/>
      <c r="S683" s="21"/>
      <c r="T683" s="21"/>
      <c r="AA683"/>
      <c r="AH683" t="str">
        <f t="shared" si="108"/>
        <v>k yet</v>
      </c>
    </row>
    <row r="684" spans="1:39">
      <c r="A684" s="42" t="s">
        <v>256</v>
      </c>
      <c r="B684" s="1" t="s">
        <v>20</v>
      </c>
      <c r="C684" s="40" t="str">
        <f t="shared" si="105"/>
        <v>11-&gt;</v>
      </c>
      <c r="D684" s="40" t="str">
        <f t="shared" si="106"/>
        <v xml:space="preserve">No pick yet                                                 </v>
      </c>
      <c r="E684" s="52">
        <f t="shared" si="107"/>
        <v>0</v>
      </c>
      <c r="H684" s="21"/>
      <c r="I684" s="22"/>
      <c r="J684" s="22"/>
      <c r="M684" s="18"/>
      <c r="N684" s="18"/>
      <c r="O684" s="18"/>
      <c r="P684" s="18"/>
      <c r="Q684" s="22"/>
      <c r="R684" s="21"/>
      <c r="S684" s="21"/>
      <c r="T684" s="21"/>
      <c r="AA684"/>
      <c r="AH684" t="str">
        <f t="shared" si="108"/>
        <v>k yet</v>
      </c>
    </row>
    <row r="685" spans="1:39">
      <c r="A685" s="42" t="s">
        <v>257</v>
      </c>
      <c r="B685" s="1" t="s">
        <v>20</v>
      </c>
      <c r="C685" s="40" t="str">
        <f t="shared" si="105"/>
        <v>12-&gt;</v>
      </c>
      <c r="D685" s="40" t="str">
        <f t="shared" si="106"/>
        <v xml:space="preserve">No pick yet                                                 </v>
      </c>
      <c r="E685" s="52">
        <f t="shared" si="107"/>
        <v>0</v>
      </c>
      <c r="M685" s="18"/>
      <c r="N685" s="18"/>
      <c r="O685" s="18"/>
      <c r="P685" s="18"/>
      <c r="Q685" s="22"/>
      <c r="R685" s="21"/>
      <c r="S685" s="21"/>
      <c r="T685" s="21"/>
      <c r="AA685"/>
      <c r="AH685" t="str">
        <f t="shared" si="108"/>
        <v>k yet</v>
      </c>
    </row>
    <row r="686" spans="1:39">
      <c r="A686" s="42" t="s">
        <v>258</v>
      </c>
      <c r="B686" s="1" t="s">
        <v>20</v>
      </c>
      <c r="C686" s="40" t="str">
        <f t="shared" si="105"/>
        <v>13-&gt;</v>
      </c>
      <c r="D686" s="40" t="str">
        <f t="shared" si="106"/>
        <v xml:space="preserve">No pick yet                                                 </v>
      </c>
      <c r="E686" s="52">
        <f t="shared" si="107"/>
        <v>0</v>
      </c>
      <c r="M686" s="18"/>
      <c r="N686" s="18"/>
      <c r="O686" s="18"/>
      <c r="P686" s="18"/>
      <c r="Q686" s="22"/>
      <c r="R686" s="21"/>
      <c r="S686" s="21"/>
      <c r="T686" s="21"/>
      <c r="AA686"/>
      <c r="AH686" t="str">
        <f t="shared" si="108"/>
        <v>k yet</v>
      </c>
    </row>
    <row r="687" spans="1:39">
      <c r="A687" s="42" t="s">
        <v>259</v>
      </c>
      <c r="B687" s="1" t="s">
        <v>20</v>
      </c>
      <c r="C687" s="40" t="str">
        <f t="shared" si="105"/>
        <v>14-&gt;</v>
      </c>
      <c r="D687" s="40" t="str">
        <f t="shared" si="106"/>
        <v xml:space="preserve">No pick yet                                                 </v>
      </c>
      <c r="E687" s="52">
        <f t="shared" si="107"/>
        <v>0</v>
      </c>
      <c r="M687" s="18"/>
      <c r="N687" s="18"/>
      <c r="O687" s="18"/>
      <c r="P687" s="18"/>
      <c r="Q687" s="22"/>
      <c r="R687" s="21"/>
      <c r="S687" s="21"/>
      <c r="T687" s="21"/>
      <c r="AA687"/>
      <c r="AH687" t="str">
        <f t="shared" si="108"/>
        <v>k yet</v>
      </c>
    </row>
    <row r="688" spans="1:39">
      <c r="A688" s="42" t="s">
        <v>260</v>
      </c>
      <c r="B688" s="1" t="s">
        <v>20</v>
      </c>
      <c r="C688" s="40" t="str">
        <f t="shared" si="105"/>
        <v>15-&gt;</v>
      </c>
      <c r="D688" s="40" t="str">
        <f t="shared" si="106"/>
        <v xml:space="preserve">No pick yet                                                 </v>
      </c>
      <c r="E688" s="52">
        <f t="shared" si="107"/>
        <v>0</v>
      </c>
      <c r="M688" s="18"/>
      <c r="N688" s="18"/>
      <c r="O688" s="18"/>
      <c r="P688" s="18"/>
      <c r="Q688" s="22"/>
      <c r="R688" s="21"/>
      <c r="S688" s="21"/>
      <c r="T688" s="21"/>
      <c r="AA688"/>
      <c r="AH688" t="str">
        <f t="shared" si="108"/>
        <v>k yet</v>
      </c>
    </row>
    <row r="689" spans="1:39">
      <c r="A689" s="42" t="s">
        <v>261</v>
      </c>
      <c r="B689" s="1" t="s">
        <v>20</v>
      </c>
      <c r="C689" s="40" t="str">
        <f t="shared" si="105"/>
        <v>16-&gt;</v>
      </c>
      <c r="D689" s="40" t="str">
        <f t="shared" si="106"/>
        <v xml:space="preserve">No pick yet                                                 </v>
      </c>
      <c r="E689" s="52">
        <f t="shared" si="107"/>
        <v>0</v>
      </c>
      <c r="M689" s="18"/>
      <c r="N689" s="18"/>
      <c r="O689" s="18"/>
      <c r="P689" s="18"/>
      <c r="Q689" s="22"/>
      <c r="R689" s="21"/>
      <c r="S689" s="21"/>
      <c r="T689" s="21"/>
      <c r="AA689"/>
      <c r="AH689" t="str">
        <f t="shared" si="108"/>
        <v>k yet</v>
      </c>
    </row>
    <row r="690" spans="1:39">
      <c r="A690" s="42" t="s">
        <v>262</v>
      </c>
      <c r="B690" s="1" t="s">
        <v>20</v>
      </c>
      <c r="C690" s="40" t="str">
        <f t="shared" si="105"/>
        <v>17-&gt;</v>
      </c>
      <c r="D690" s="40" t="str">
        <f t="shared" si="106"/>
        <v xml:space="preserve">No pick yet                                                 </v>
      </c>
      <c r="E690" s="52">
        <f t="shared" si="107"/>
        <v>0</v>
      </c>
      <c r="K690" s="22"/>
      <c r="N690" s="22"/>
      <c r="O690" s="22"/>
      <c r="P690" s="22"/>
      <c r="Q690" s="22"/>
      <c r="R690" s="22"/>
      <c r="S690" s="22"/>
      <c r="Z690" s="53"/>
      <c r="AA690"/>
      <c r="AH690" t="str">
        <f t="shared" si="108"/>
        <v>k yet</v>
      </c>
    </row>
    <row r="691" spans="1:39">
      <c r="A691" s="42" t="s">
        <v>263</v>
      </c>
      <c r="B691" s="1" t="s">
        <v>20</v>
      </c>
      <c r="C691" s="40" t="str">
        <f t="shared" si="105"/>
        <v>18-&gt;</v>
      </c>
      <c r="D691" s="40" t="str">
        <f t="shared" si="106"/>
        <v xml:space="preserve">No pick yet                                                 </v>
      </c>
      <c r="E691" s="52">
        <f t="shared" si="107"/>
        <v>0</v>
      </c>
      <c r="F691" s="18"/>
      <c r="L691" s="21"/>
      <c r="N691" s="22"/>
      <c r="O691" s="22"/>
      <c r="P691" s="18"/>
      <c r="Q691" s="22"/>
      <c r="R691" s="22"/>
      <c r="S691" s="22"/>
      <c r="Z691" s="53"/>
      <c r="AA691"/>
      <c r="AH691" t="str">
        <f t="shared" si="108"/>
        <v>k yet</v>
      </c>
    </row>
    <row r="692" spans="1:39">
      <c r="A692" s="42" t="s">
        <v>264</v>
      </c>
      <c r="B692" s="1" t="s">
        <v>20</v>
      </c>
      <c r="C692" s="40" t="str">
        <f t="shared" si="105"/>
        <v>19-&gt;</v>
      </c>
      <c r="D692" s="40" t="str">
        <f t="shared" si="106"/>
        <v xml:space="preserve">No pick yet                                                 </v>
      </c>
      <c r="E692" s="52">
        <f t="shared" si="107"/>
        <v>0</v>
      </c>
      <c r="F692" s="18"/>
      <c r="M692" s="18"/>
      <c r="N692" s="18"/>
      <c r="O692" s="18"/>
      <c r="P692" s="18"/>
      <c r="Q692" s="22"/>
      <c r="R692" s="21"/>
      <c r="S692" s="21"/>
      <c r="T692" s="21"/>
      <c r="AA692"/>
      <c r="AH692" t="str">
        <f t="shared" si="108"/>
        <v>k yet</v>
      </c>
    </row>
    <row r="693" spans="1:39">
      <c r="A693" s="42" t="s">
        <v>265</v>
      </c>
      <c r="B693" s="1" t="s">
        <v>20</v>
      </c>
      <c r="C693" s="40" t="str">
        <f t="shared" si="105"/>
        <v>20-&gt;</v>
      </c>
      <c r="D693" s="40" t="str">
        <f t="shared" si="106"/>
        <v xml:space="preserve">No pick yet                                                 </v>
      </c>
      <c r="E693" s="52">
        <f t="shared" si="107"/>
        <v>0</v>
      </c>
      <c r="F693" s="18"/>
      <c r="M693" s="18"/>
      <c r="N693" s="18"/>
      <c r="O693" s="18"/>
      <c r="P693" s="18"/>
      <c r="Q693" s="22"/>
      <c r="R693" s="21"/>
      <c r="S693" s="21"/>
      <c r="T693" s="21"/>
      <c r="AA693"/>
      <c r="AH693" t="str">
        <f t="shared" si="108"/>
        <v>k yet</v>
      </c>
    </row>
    <row r="694" spans="1:39">
      <c r="A694" s="42" t="s">
        <v>266</v>
      </c>
      <c r="B694" s="1" t="s">
        <v>20</v>
      </c>
      <c r="C694" s="40" t="str">
        <f t="shared" si="105"/>
        <v>21-&gt;</v>
      </c>
      <c r="D694" s="40" t="str">
        <f t="shared" si="106"/>
        <v xml:space="preserve">No pick yet                                                 </v>
      </c>
      <c r="E694" s="52">
        <f t="shared" si="107"/>
        <v>0</v>
      </c>
      <c r="F694" s="18"/>
      <c r="M694" s="18"/>
      <c r="N694" s="18"/>
      <c r="O694" s="18"/>
      <c r="P694" s="18"/>
      <c r="Q694" s="22"/>
      <c r="R694" s="21"/>
      <c r="S694" s="21"/>
      <c r="T694" s="21"/>
      <c r="AA694"/>
      <c r="AH694" t="str">
        <f t="shared" si="108"/>
        <v>k yet</v>
      </c>
    </row>
    <row r="695" spans="1:39">
      <c r="A695" s="42" t="s">
        <v>267</v>
      </c>
      <c r="B695" s="1" t="s">
        <v>20</v>
      </c>
      <c r="C695" s="40" t="str">
        <f t="shared" si="105"/>
        <v>22-&gt;</v>
      </c>
      <c r="D695" s="40" t="str">
        <f t="shared" si="106"/>
        <v xml:space="preserve">No pick yet                                                 </v>
      </c>
      <c r="E695" s="52">
        <f t="shared" si="107"/>
        <v>0</v>
      </c>
      <c r="F695" s="18"/>
      <c r="M695" s="18"/>
      <c r="N695" s="18"/>
      <c r="O695" s="18"/>
      <c r="P695" s="18"/>
      <c r="Q695" s="22"/>
      <c r="R695" s="21"/>
      <c r="S695" s="21"/>
      <c r="T695" s="21"/>
      <c r="AA695"/>
      <c r="AH695" t="str">
        <f t="shared" si="108"/>
        <v>k yet</v>
      </c>
    </row>
    <row r="696" spans="1:39">
      <c r="A696" s="42" t="s">
        <v>268</v>
      </c>
      <c r="B696" s="1" t="s">
        <v>20</v>
      </c>
      <c r="C696" s="40" t="str">
        <f t="shared" si="105"/>
        <v>23-&gt;</v>
      </c>
      <c r="D696" s="40" t="str">
        <f t="shared" si="106"/>
        <v xml:space="preserve">No pick yet                                                 </v>
      </c>
      <c r="E696" s="52">
        <f t="shared" si="107"/>
        <v>0</v>
      </c>
      <c r="F696" s="18"/>
      <c r="M696" s="18"/>
      <c r="N696" s="18"/>
      <c r="O696" s="18"/>
      <c r="P696" s="18"/>
      <c r="Q696" s="22"/>
      <c r="R696" s="21"/>
      <c r="S696" s="21"/>
      <c r="T696" s="21"/>
      <c r="AA696"/>
      <c r="AH696" t="str">
        <f t="shared" si="108"/>
        <v>k yet</v>
      </c>
    </row>
    <row r="697" spans="1:39">
      <c r="A697" s="42" t="s">
        <v>269</v>
      </c>
      <c r="B697" s="1" t="s">
        <v>20</v>
      </c>
      <c r="C697" s="40" t="str">
        <f t="shared" si="105"/>
        <v>24-&gt;</v>
      </c>
      <c r="D697" s="40" t="str">
        <f t="shared" si="106"/>
        <v xml:space="preserve">No pick yet                                                 </v>
      </c>
      <c r="E697" s="52">
        <f t="shared" si="107"/>
        <v>0</v>
      </c>
      <c r="F697" s="18"/>
      <c r="M697" s="18"/>
      <c r="N697" s="18"/>
      <c r="O697" s="18"/>
      <c r="P697" s="18"/>
      <c r="Q697" s="22"/>
      <c r="R697" s="21"/>
      <c r="S697" s="21"/>
      <c r="T697" s="21"/>
      <c r="AA697"/>
      <c r="AH697" t="str">
        <f t="shared" si="108"/>
        <v>k yet</v>
      </c>
    </row>
    <row r="698" spans="1:39">
      <c r="A698" s="42" t="s">
        <v>270</v>
      </c>
      <c r="B698" s="1" t="s">
        <v>20</v>
      </c>
      <c r="C698" s="40" t="str">
        <f t="shared" si="105"/>
        <v>25-&gt;</v>
      </c>
      <c r="D698" s="40" t="str">
        <f t="shared" si="106"/>
        <v xml:space="preserve">No pick yet                                                 </v>
      </c>
      <c r="E698" s="52">
        <f t="shared" si="107"/>
        <v>0</v>
      </c>
      <c r="F698" s="18"/>
      <c r="G698" s="22"/>
      <c r="I698" s="22"/>
      <c r="J698" s="22"/>
      <c r="M698" s="18"/>
      <c r="N698" s="18"/>
      <c r="O698" s="18"/>
      <c r="P698" s="18"/>
      <c r="Q698" s="22"/>
      <c r="R698" s="21"/>
      <c r="S698" s="21"/>
      <c r="T698" s="21"/>
      <c r="AA698"/>
      <c r="AH698" t="str">
        <f t="shared" si="108"/>
        <v>k yet</v>
      </c>
    </row>
    <row r="699" spans="1:39">
      <c r="A699" s="42" t="s">
        <v>271</v>
      </c>
      <c r="B699" s="1" t="s">
        <v>20</v>
      </c>
      <c r="C699" s="40" t="str">
        <f t="shared" si="105"/>
        <v>26-&gt;</v>
      </c>
      <c r="D699" s="40" t="str">
        <f t="shared" si="106"/>
        <v xml:space="preserve">No pick yet                                                 </v>
      </c>
      <c r="E699" s="52">
        <f t="shared" si="107"/>
        <v>0</v>
      </c>
      <c r="F699" s="18"/>
      <c r="H699" s="21"/>
      <c r="I699" s="22"/>
      <c r="J699" s="22"/>
      <c r="M699" s="18"/>
      <c r="N699" s="18"/>
      <c r="O699" s="18"/>
      <c r="P699" s="18"/>
      <c r="Q699" s="22"/>
      <c r="R699" s="21"/>
      <c r="S699" s="21"/>
      <c r="T699" s="21"/>
      <c r="AA699"/>
      <c r="AH699" t="str">
        <f t="shared" si="108"/>
        <v>k yet</v>
      </c>
    </row>
    <row r="700" spans="1:39">
      <c r="A700" s="38"/>
      <c r="B700" s="40"/>
      <c r="C700" s="40"/>
      <c r="D700" s="49"/>
      <c r="E700" s="41" t="s">
        <v>69</v>
      </c>
      <c r="F700" s="18"/>
      <c r="K700" s="22" t="s">
        <v>73</v>
      </c>
      <c r="L700" s="18" t="s">
        <v>74</v>
      </c>
      <c r="M700" s="22" t="s">
        <v>78</v>
      </c>
      <c r="N700" s="22" t="s">
        <v>79</v>
      </c>
      <c r="O700" s="22" t="s">
        <v>80</v>
      </c>
      <c r="P700" s="22" t="s">
        <v>81</v>
      </c>
      <c r="Q700" s="22" t="s">
        <v>82</v>
      </c>
      <c r="R700" s="22" t="s">
        <v>83</v>
      </c>
      <c r="S700" s="22" t="s">
        <v>84</v>
      </c>
      <c r="T700" s="18" t="s">
        <v>85</v>
      </c>
      <c r="U700" s="18" t="s">
        <v>86</v>
      </c>
      <c r="V700" s="18" t="s">
        <v>87</v>
      </c>
      <c r="W700" s="18" t="s">
        <v>88</v>
      </c>
      <c r="X700" s="18" t="s">
        <v>89</v>
      </c>
      <c r="Y700" s="18" t="s">
        <v>90</v>
      </c>
      <c r="Z700" s="18" t="s">
        <v>91</v>
      </c>
      <c r="AA700" s="18" t="s">
        <v>92</v>
      </c>
      <c r="AB700" s="18" t="s">
        <v>93</v>
      </c>
      <c r="AC700" s="18" t="s">
        <v>94</v>
      </c>
      <c r="AD700" s="18" t="s">
        <v>235</v>
      </c>
      <c r="AE700" s="18" t="s">
        <v>236</v>
      </c>
      <c r="AF700" s="18" t="s">
        <v>237</v>
      </c>
      <c r="AG700" s="18" t="s">
        <v>238</v>
      </c>
      <c r="AH700" s="18" t="s">
        <v>239</v>
      </c>
      <c r="AI700" s="18" t="s">
        <v>240</v>
      </c>
      <c r="AJ700" s="18" t="s">
        <v>241</v>
      </c>
      <c r="AK700" s="18" t="s">
        <v>242</v>
      </c>
      <c r="AL700" s="18" t="s">
        <v>243</v>
      </c>
      <c r="AM700" s="50" t="s">
        <v>244</v>
      </c>
    </row>
    <row r="701" spans="1:39">
      <c r="A701" s="40" t="s">
        <v>245</v>
      </c>
      <c r="B701" s="51" t="str">
        <f>D24</f>
        <v/>
      </c>
      <c r="C701" s="40" t="str">
        <f t="shared" ref="C701:C727" si="109">A701</f>
        <v>#</v>
      </c>
      <c r="D701" s="40" t="str">
        <f>"   "&amp;B701&amp;REPT(" ",$AH$70-LEN(B701)-3)</f>
        <v xml:space="preserve">                                                            </v>
      </c>
      <c r="E701" s="38" t="str">
        <f>SUM(E702:E727)&amp;" pts[/b]"</f>
        <v>0 pts[/b]</v>
      </c>
      <c r="F701" s="21">
        <f>SUM(E702:E727)</f>
        <v>0</v>
      </c>
      <c r="K701" s="18">
        <f>COUNTIF(E702:E727,"&gt;0")</f>
        <v>0</v>
      </c>
      <c r="L701" s="21">
        <f>AM701-K701</f>
        <v>0</v>
      </c>
      <c r="M701" s="22">
        <f>MAX(E702:E727)</f>
        <v>0</v>
      </c>
      <c r="N701" s="22">
        <f>LARGE(E702:E727,2)</f>
        <v>0</v>
      </c>
      <c r="O701" s="22">
        <f>LARGE(E702:E727,3)</f>
        <v>0</v>
      </c>
      <c r="P701" s="18">
        <f>LARGE(E702:E727,4)</f>
        <v>0</v>
      </c>
      <c r="Q701" s="22">
        <f>LARGE(E702:E727,5)</f>
        <v>0</v>
      </c>
      <c r="R701" s="22">
        <f>LARGE(E702:E727,6)</f>
        <v>0</v>
      </c>
      <c r="S701" s="22">
        <f>LARGE(E702:E727,7)</f>
        <v>0</v>
      </c>
      <c r="T701" s="18">
        <f>LARGE(E702:E727,8)</f>
        <v>0</v>
      </c>
      <c r="U701" s="18">
        <f>LARGE(E702:E727,9)</f>
        <v>0</v>
      </c>
      <c r="V701" s="18">
        <f>LARGE(E702:E727,10)</f>
        <v>0</v>
      </c>
      <c r="W701" s="18">
        <f>LARGE(E702:E727,11)</f>
        <v>0</v>
      </c>
      <c r="X701" s="18">
        <f>LARGE(E702:E727,12)</f>
        <v>0</v>
      </c>
      <c r="Y701" s="18">
        <f>LARGE(E702:E727,13)</f>
        <v>0</v>
      </c>
      <c r="Z701" s="18">
        <f>LARGE(E702:E727,14)</f>
        <v>0</v>
      </c>
      <c r="AA701" s="18">
        <f>LARGE(E702:E727,15)</f>
        <v>0</v>
      </c>
      <c r="AB701" s="18">
        <f>LARGE(E702:E727,16)</f>
        <v>0</v>
      </c>
      <c r="AC701" s="18">
        <f>LARGE(E702:E727,17)</f>
        <v>0</v>
      </c>
      <c r="AD701" s="18">
        <f>LARGE(E702:E728,13)</f>
        <v>0</v>
      </c>
      <c r="AE701" s="18">
        <f>LARGE(E702:E727,19)</f>
        <v>0</v>
      </c>
      <c r="AF701" s="18">
        <f>LARGE(E702:E727,20)</f>
        <v>0</v>
      </c>
      <c r="AG701" s="18">
        <f>LARGE(E702:E727,21)</f>
        <v>0</v>
      </c>
      <c r="AH701" s="18">
        <f>LARGE(E702:E727,22)</f>
        <v>0</v>
      </c>
      <c r="AI701" s="18">
        <f>LARGE(E702:E727,23)</f>
        <v>0</v>
      </c>
      <c r="AJ701" s="18">
        <f>LARGE(E702:E727,24)</f>
        <v>0</v>
      </c>
      <c r="AK701" s="18">
        <f>LARGE(E702:E727,25)</f>
        <v>0</v>
      </c>
      <c r="AL701" s="18">
        <f>LARGE(E702:E727,26)</f>
        <v>0</v>
      </c>
      <c r="AM701" s="50">
        <f>COUNTIF(AH702:AH727,"&lt;&gt;"&amp;AH76)-(26-COUNTIF(E702:E727,"&gt;=0"))</f>
        <v>0</v>
      </c>
    </row>
    <row r="702" spans="1:39">
      <c r="A702" s="42" t="s">
        <v>246</v>
      </c>
      <c r="B702" s="1" t="s">
        <v>20</v>
      </c>
      <c r="C702" s="40" t="str">
        <f t="shared" si="109"/>
        <v>01-&gt;</v>
      </c>
      <c r="D702" s="40" t="str">
        <f t="shared" ref="D702:D727" si="110">B702&amp;REPT(" ",$AH$70-LEN(B702))</f>
        <v xml:space="preserve">No pick yet                                                 </v>
      </c>
      <c r="E702" s="52">
        <f>VLOOKUP(RIGHT(B702,LEN(B702)-$AH$66),$H$138:$I$420,2,0)</f>
        <v>0</v>
      </c>
      <c r="F702" s="18"/>
      <c r="M702" s="18"/>
      <c r="N702" s="18"/>
      <c r="O702" s="18"/>
      <c r="P702" s="18"/>
      <c r="Q702" s="22"/>
      <c r="R702" s="21"/>
      <c r="S702" s="21"/>
      <c r="T702" s="21"/>
      <c r="AA702"/>
      <c r="AH702" t="str">
        <f t="shared" ref="AH702:AH727" si="111">RIGHT(B702,LEN(B702)-$AH$66)</f>
        <v>k yet</v>
      </c>
    </row>
    <row r="703" spans="1:39">
      <c r="A703" s="42" t="s">
        <v>247</v>
      </c>
      <c r="B703" s="1" t="s">
        <v>20</v>
      </c>
      <c r="C703" s="40" t="str">
        <f t="shared" si="109"/>
        <v>02-&gt;</v>
      </c>
      <c r="D703" s="40" t="str">
        <f t="shared" si="110"/>
        <v xml:space="preserve">No pick yet                                                 </v>
      </c>
      <c r="E703" s="52">
        <f>VLOOKUP(RIGHT(B703,LEN(B703)-$AH$66),$H$138:$I$420,2,0)</f>
        <v>0</v>
      </c>
      <c r="F703" s="18"/>
      <c r="K703" s="22"/>
      <c r="N703" s="22"/>
      <c r="O703" s="22"/>
      <c r="P703" s="22"/>
      <c r="Q703" s="22"/>
      <c r="R703" s="22"/>
      <c r="S703" s="22"/>
      <c r="Z703" s="53"/>
      <c r="AA703"/>
      <c r="AH703" t="str">
        <f t="shared" si="111"/>
        <v>k yet</v>
      </c>
    </row>
    <row r="704" spans="1:39">
      <c r="A704" s="42" t="s">
        <v>248</v>
      </c>
      <c r="B704" s="1" t="s">
        <v>20</v>
      </c>
      <c r="C704" s="40" t="str">
        <f t="shared" si="109"/>
        <v>03-&gt;</v>
      </c>
      <c r="D704" s="40" t="str">
        <f t="shared" si="110"/>
        <v xml:space="preserve">No pick yet                                                 </v>
      </c>
      <c r="E704" s="52">
        <f t="shared" ref="E704:E727" si="112">VLOOKUP(RIGHT(B704,LEN(B704)-$AH$66),$H$138:$I$420,2,0)</f>
        <v>0</v>
      </c>
      <c r="F704" s="18"/>
      <c r="L704" s="21"/>
      <c r="N704" s="22"/>
      <c r="O704" s="22"/>
      <c r="P704" s="18"/>
      <c r="Q704" s="22"/>
      <c r="R704" s="22"/>
      <c r="S704" s="22"/>
      <c r="Z704" s="53"/>
      <c r="AA704"/>
      <c r="AH704" t="str">
        <f t="shared" si="111"/>
        <v>k yet</v>
      </c>
    </row>
    <row r="705" spans="1:34">
      <c r="A705" s="42" t="s">
        <v>249</v>
      </c>
      <c r="B705" s="1" t="s">
        <v>20</v>
      </c>
      <c r="C705" s="40" t="str">
        <f t="shared" si="109"/>
        <v>04-&gt;</v>
      </c>
      <c r="D705" s="40" t="str">
        <f t="shared" si="110"/>
        <v xml:space="preserve">No pick yet                                                 </v>
      </c>
      <c r="E705" s="52">
        <f t="shared" si="112"/>
        <v>0</v>
      </c>
      <c r="F705" s="18"/>
      <c r="M705" s="18"/>
      <c r="N705" s="18"/>
      <c r="O705" s="18"/>
      <c r="P705" s="18"/>
      <c r="Q705" s="22"/>
      <c r="R705" s="21"/>
      <c r="S705" s="21"/>
      <c r="T705" s="21"/>
      <c r="AA705"/>
      <c r="AH705" t="str">
        <f t="shared" si="111"/>
        <v>k yet</v>
      </c>
    </row>
    <row r="706" spans="1:34">
      <c r="A706" s="42" t="s">
        <v>250</v>
      </c>
      <c r="B706" s="1" t="s">
        <v>20</v>
      </c>
      <c r="C706" s="40" t="str">
        <f t="shared" si="109"/>
        <v>05-&gt;</v>
      </c>
      <c r="D706" s="40" t="str">
        <f t="shared" si="110"/>
        <v xml:space="preserve">No pick yet                                                 </v>
      </c>
      <c r="E706" s="52">
        <f t="shared" si="112"/>
        <v>0</v>
      </c>
      <c r="F706" s="18"/>
      <c r="M706" s="18"/>
      <c r="N706" s="18"/>
      <c r="O706" s="18"/>
      <c r="P706" s="18"/>
      <c r="Q706" s="22"/>
      <c r="R706" s="21"/>
      <c r="S706" s="21"/>
      <c r="T706" s="21"/>
      <c r="AA706"/>
      <c r="AH706" t="str">
        <f t="shared" si="111"/>
        <v>k yet</v>
      </c>
    </row>
    <row r="707" spans="1:34">
      <c r="A707" s="42" t="s">
        <v>251</v>
      </c>
      <c r="B707" s="1" t="s">
        <v>20</v>
      </c>
      <c r="C707" s="40" t="str">
        <f t="shared" si="109"/>
        <v>06-&gt;</v>
      </c>
      <c r="D707" s="40" t="str">
        <f t="shared" si="110"/>
        <v xml:space="preserve">No pick yet                                                 </v>
      </c>
      <c r="E707" s="52">
        <f t="shared" si="112"/>
        <v>0</v>
      </c>
      <c r="F707" s="18"/>
      <c r="M707" s="18"/>
      <c r="N707" s="18"/>
      <c r="O707" s="18"/>
      <c r="P707" s="18"/>
      <c r="Q707" s="22"/>
      <c r="R707" s="21"/>
      <c r="S707" s="21"/>
      <c r="T707" s="21"/>
      <c r="AA707"/>
      <c r="AH707" t="str">
        <f t="shared" si="111"/>
        <v>k yet</v>
      </c>
    </row>
    <row r="708" spans="1:34">
      <c r="A708" s="42" t="s">
        <v>252</v>
      </c>
      <c r="B708" s="1" t="s">
        <v>20</v>
      </c>
      <c r="C708" s="40" t="str">
        <f t="shared" si="109"/>
        <v>07-&gt;</v>
      </c>
      <c r="D708" s="40" t="str">
        <f t="shared" si="110"/>
        <v xml:space="preserve">No pick yet                                                 </v>
      </c>
      <c r="E708" s="52">
        <f t="shared" si="112"/>
        <v>0</v>
      </c>
      <c r="F708" s="18"/>
      <c r="M708" s="18"/>
      <c r="N708" s="18"/>
      <c r="O708" s="18"/>
      <c r="P708" s="18"/>
      <c r="Q708" s="22"/>
      <c r="R708" s="21"/>
      <c r="S708" s="21"/>
      <c r="T708" s="21"/>
      <c r="AA708"/>
      <c r="AH708" t="str">
        <f t="shared" si="111"/>
        <v>k yet</v>
      </c>
    </row>
    <row r="709" spans="1:34">
      <c r="A709" s="42" t="s">
        <v>253</v>
      </c>
      <c r="B709" s="1" t="s">
        <v>20</v>
      </c>
      <c r="C709" s="40" t="str">
        <f t="shared" si="109"/>
        <v>08-&gt;</v>
      </c>
      <c r="D709" s="40" t="str">
        <f t="shared" si="110"/>
        <v xml:space="preserve">No pick yet                                                 </v>
      </c>
      <c r="E709" s="52">
        <f t="shared" si="112"/>
        <v>0</v>
      </c>
      <c r="F709" s="18"/>
      <c r="M709" s="18"/>
      <c r="N709" s="18"/>
      <c r="O709" s="18"/>
      <c r="P709" s="18"/>
      <c r="Q709" s="22"/>
      <c r="R709" s="21"/>
      <c r="S709" s="21"/>
      <c r="T709" s="21"/>
      <c r="AA709"/>
      <c r="AH709" t="str">
        <f t="shared" si="111"/>
        <v>k yet</v>
      </c>
    </row>
    <row r="710" spans="1:34">
      <c r="A710" s="42" t="s">
        <v>254</v>
      </c>
      <c r="B710" s="1" t="s">
        <v>20</v>
      </c>
      <c r="C710" s="40" t="str">
        <f t="shared" si="109"/>
        <v>09-&gt;</v>
      </c>
      <c r="D710" s="40" t="str">
        <f t="shared" si="110"/>
        <v xml:space="preserve">No pick yet                                                 </v>
      </c>
      <c r="E710" s="52">
        <f t="shared" si="112"/>
        <v>0</v>
      </c>
      <c r="F710" s="18"/>
      <c r="M710" s="18"/>
      <c r="N710" s="18"/>
      <c r="O710" s="18"/>
      <c r="P710" s="18"/>
      <c r="Q710" s="22"/>
      <c r="R710" s="21"/>
      <c r="S710" s="21"/>
      <c r="T710" s="21"/>
      <c r="AA710"/>
      <c r="AH710" t="str">
        <f t="shared" si="111"/>
        <v>k yet</v>
      </c>
    </row>
    <row r="711" spans="1:34">
      <c r="A711" s="42" t="s">
        <v>255</v>
      </c>
      <c r="B711" s="1" t="s">
        <v>20</v>
      </c>
      <c r="C711" s="40" t="str">
        <f t="shared" si="109"/>
        <v>10-&gt;</v>
      </c>
      <c r="D711" s="40" t="str">
        <f t="shared" si="110"/>
        <v xml:space="preserve">No pick yet                                                 </v>
      </c>
      <c r="E711" s="52">
        <f t="shared" si="112"/>
        <v>0</v>
      </c>
      <c r="F711" s="22"/>
      <c r="M711" s="18"/>
      <c r="N711" s="18"/>
      <c r="O711" s="18"/>
      <c r="P711" s="18"/>
      <c r="Q711" s="22"/>
      <c r="R711" s="21"/>
      <c r="S711" s="21"/>
      <c r="T711" s="21"/>
      <c r="AA711"/>
      <c r="AH711" t="str">
        <f t="shared" si="111"/>
        <v>k yet</v>
      </c>
    </row>
    <row r="712" spans="1:34">
      <c r="A712" s="42" t="s">
        <v>256</v>
      </c>
      <c r="B712" s="1" t="s">
        <v>20</v>
      </c>
      <c r="C712" s="40" t="str">
        <f t="shared" si="109"/>
        <v>11-&gt;</v>
      </c>
      <c r="D712" s="40" t="str">
        <f t="shared" si="110"/>
        <v xml:space="preserve">No pick yet                                                 </v>
      </c>
      <c r="E712" s="52">
        <f t="shared" si="112"/>
        <v>0</v>
      </c>
      <c r="M712" s="18"/>
      <c r="N712" s="18"/>
      <c r="O712" s="18"/>
      <c r="P712" s="18"/>
      <c r="Q712" s="22"/>
      <c r="R712" s="21"/>
      <c r="S712" s="21"/>
      <c r="T712" s="21"/>
      <c r="AA712"/>
      <c r="AH712" t="str">
        <f t="shared" si="111"/>
        <v>k yet</v>
      </c>
    </row>
    <row r="713" spans="1:34">
      <c r="A713" s="42" t="s">
        <v>257</v>
      </c>
      <c r="B713" s="1" t="s">
        <v>20</v>
      </c>
      <c r="C713" s="40" t="str">
        <f t="shared" si="109"/>
        <v>12-&gt;</v>
      </c>
      <c r="D713" s="40" t="str">
        <f t="shared" si="110"/>
        <v xml:space="preserve">No pick yet                                                 </v>
      </c>
      <c r="E713" s="52">
        <f t="shared" si="112"/>
        <v>0</v>
      </c>
      <c r="G713" s="22"/>
      <c r="I713" s="22"/>
      <c r="J713" s="22"/>
      <c r="M713" s="18"/>
      <c r="N713" s="18"/>
      <c r="O713" s="18"/>
      <c r="P713" s="18"/>
      <c r="Q713" s="22"/>
      <c r="R713" s="21"/>
      <c r="S713" s="21"/>
      <c r="T713" s="21"/>
      <c r="AA713"/>
      <c r="AH713" t="str">
        <f t="shared" si="111"/>
        <v>k yet</v>
      </c>
    </row>
    <row r="714" spans="1:34">
      <c r="A714" s="42" t="s">
        <v>258</v>
      </c>
      <c r="B714" s="1" t="s">
        <v>20</v>
      </c>
      <c r="C714" s="40" t="str">
        <f t="shared" si="109"/>
        <v>13-&gt;</v>
      </c>
      <c r="D714" s="40" t="str">
        <f t="shared" si="110"/>
        <v xml:space="preserve">No pick yet                                                 </v>
      </c>
      <c r="E714" s="52">
        <f t="shared" si="112"/>
        <v>0</v>
      </c>
      <c r="H714" s="21"/>
      <c r="I714" s="22"/>
      <c r="J714" s="22"/>
      <c r="M714" s="18"/>
      <c r="N714" s="18"/>
      <c r="O714" s="18"/>
      <c r="P714" s="18"/>
      <c r="Q714" s="22"/>
      <c r="R714" s="21"/>
      <c r="S714" s="21"/>
      <c r="T714" s="21"/>
      <c r="AA714"/>
      <c r="AH714" t="str">
        <f t="shared" si="111"/>
        <v>k yet</v>
      </c>
    </row>
    <row r="715" spans="1:34">
      <c r="A715" s="42" t="s">
        <v>259</v>
      </c>
      <c r="B715" s="1" t="s">
        <v>20</v>
      </c>
      <c r="C715" s="40" t="str">
        <f t="shared" si="109"/>
        <v>14-&gt;</v>
      </c>
      <c r="D715" s="40" t="str">
        <f t="shared" si="110"/>
        <v xml:space="preserve">No pick yet                                                 </v>
      </c>
      <c r="E715" s="52">
        <f t="shared" si="112"/>
        <v>0</v>
      </c>
      <c r="M715" s="18"/>
      <c r="N715" s="18"/>
      <c r="O715" s="18"/>
      <c r="P715" s="18"/>
      <c r="Q715" s="22"/>
      <c r="R715" s="21"/>
      <c r="S715" s="21"/>
      <c r="T715" s="21"/>
      <c r="AA715"/>
      <c r="AH715" t="str">
        <f t="shared" si="111"/>
        <v>k yet</v>
      </c>
    </row>
    <row r="716" spans="1:34">
      <c r="A716" s="42" t="s">
        <v>260</v>
      </c>
      <c r="B716" s="1" t="s">
        <v>20</v>
      </c>
      <c r="C716" s="40" t="str">
        <f t="shared" si="109"/>
        <v>15-&gt;</v>
      </c>
      <c r="D716" s="40" t="str">
        <f t="shared" si="110"/>
        <v xml:space="preserve">No pick yet                                                 </v>
      </c>
      <c r="E716" s="52">
        <f t="shared" si="112"/>
        <v>0</v>
      </c>
      <c r="M716" s="18"/>
      <c r="N716" s="18"/>
      <c r="O716" s="18"/>
      <c r="P716" s="18"/>
      <c r="Q716" s="22"/>
      <c r="R716" s="21"/>
      <c r="S716" s="21"/>
      <c r="T716" s="21"/>
      <c r="AA716"/>
      <c r="AH716" t="str">
        <f t="shared" si="111"/>
        <v>k yet</v>
      </c>
    </row>
    <row r="717" spans="1:34">
      <c r="A717" s="42" t="s">
        <v>261</v>
      </c>
      <c r="B717" s="1" t="s">
        <v>20</v>
      </c>
      <c r="C717" s="40" t="str">
        <f t="shared" si="109"/>
        <v>16-&gt;</v>
      </c>
      <c r="D717" s="40" t="str">
        <f t="shared" si="110"/>
        <v xml:space="preserve">No pick yet                                                 </v>
      </c>
      <c r="E717" s="52">
        <f t="shared" si="112"/>
        <v>0</v>
      </c>
      <c r="M717" s="18"/>
      <c r="N717" s="18"/>
      <c r="O717" s="18"/>
      <c r="P717" s="18"/>
      <c r="Q717" s="22"/>
      <c r="R717" s="21"/>
      <c r="S717" s="21"/>
      <c r="T717" s="21"/>
      <c r="AA717"/>
      <c r="AH717" t="str">
        <f t="shared" si="111"/>
        <v>k yet</v>
      </c>
    </row>
    <row r="718" spans="1:34">
      <c r="A718" s="42" t="s">
        <v>262</v>
      </c>
      <c r="B718" s="1" t="s">
        <v>20</v>
      </c>
      <c r="C718" s="40" t="str">
        <f t="shared" si="109"/>
        <v>17-&gt;</v>
      </c>
      <c r="D718" s="40" t="str">
        <f t="shared" si="110"/>
        <v xml:space="preserve">No pick yet                                                 </v>
      </c>
      <c r="E718" s="52">
        <f t="shared" si="112"/>
        <v>0</v>
      </c>
      <c r="K718" s="22"/>
      <c r="N718" s="22"/>
      <c r="O718" s="22"/>
      <c r="P718" s="22"/>
      <c r="Q718" s="22"/>
      <c r="R718" s="22"/>
      <c r="S718" s="22"/>
      <c r="Z718" s="53"/>
      <c r="AA718"/>
      <c r="AH718" t="str">
        <f t="shared" si="111"/>
        <v>k yet</v>
      </c>
    </row>
    <row r="719" spans="1:34">
      <c r="A719" s="42" t="s">
        <v>263</v>
      </c>
      <c r="B719" s="1" t="s">
        <v>20</v>
      </c>
      <c r="C719" s="40" t="str">
        <f t="shared" si="109"/>
        <v>18-&gt;</v>
      </c>
      <c r="D719" s="40" t="str">
        <f t="shared" si="110"/>
        <v xml:space="preserve">No pick yet                                                 </v>
      </c>
      <c r="E719" s="52">
        <f t="shared" si="112"/>
        <v>0</v>
      </c>
      <c r="F719" s="18"/>
      <c r="L719" s="21"/>
      <c r="N719" s="22"/>
      <c r="O719" s="22"/>
      <c r="P719" s="18"/>
      <c r="Q719" s="22"/>
      <c r="R719" s="22"/>
      <c r="S719" s="22"/>
      <c r="Z719" s="53"/>
      <c r="AA719"/>
      <c r="AH719" t="str">
        <f t="shared" si="111"/>
        <v>k yet</v>
      </c>
    </row>
    <row r="720" spans="1:34">
      <c r="A720" s="42" t="s">
        <v>264</v>
      </c>
      <c r="B720" s="1" t="s">
        <v>20</v>
      </c>
      <c r="C720" s="40" t="str">
        <f t="shared" si="109"/>
        <v>19-&gt;</v>
      </c>
      <c r="D720" s="40" t="str">
        <f t="shared" si="110"/>
        <v xml:space="preserve">No pick yet                                                 </v>
      </c>
      <c r="E720" s="52">
        <f t="shared" si="112"/>
        <v>0</v>
      </c>
      <c r="F720" s="18"/>
      <c r="M720" s="18"/>
      <c r="N720" s="18"/>
      <c r="O720" s="18"/>
      <c r="P720" s="18"/>
      <c r="Q720" s="22"/>
      <c r="R720" s="21"/>
      <c r="S720" s="21"/>
      <c r="T720" s="21"/>
      <c r="AA720"/>
      <c r="AH720" t="str">
        <f t="shared" si="111"/>
        <v>k yet</v>
      </c>
    </row>
    <row r="721" spans="1:39">
      <c r="A721" s="42" t="s">
        <v>265</v>
      </c>
      <c r="B721" s="1" t="s">
        <v>20</v>
      </c>
      <c r="C721" s="40" t="str">
        <f t="shared" si="109"/>
        <v>20-&gt;</v>
      </c>
      <c r="D721" s="40" t="str">
        <f t="shared" si="110"/>
        <v xml:space="preserve">No pick yet                                                 </v>
      </c>
      <c r="E721" s="52">
        <f t="shared" si="112"/>
        <v>0</v>
      </c>
      <c r="F721" s="18"/>
      <c r="M721" s="18"/>
      <c r="N721" s="18"/>
      <c r="O721" s="18"/>
      <c r="P721" s="18"/>
      <c r="Q721" s="22"/>
      <c r="R721" s="21"/>
      <c r="S721" s="21"/>
      <c r="T721" s="21"/>
      <c r="AA721"/>
      <c r="AH721" t="str">
        <f t="shared" si="111"/>
        <v>k yet</v>
      </c>
    </row>
    <row r="722" spans="1:39">
      <c r="A722" s="42" t="s">
        <v>266</v>
      </c>
      <c r="B722" s="1" t="s">
        <v>20</v>
      </c>
      <c r="C722" s="40" t="str">
        <f t="shared" si="109"/>
        <v>21-&gt;</v>
      </c>
      <c r="D722" s="40" t="str">
        <f t="shared" si="110"/>
        <v xml:space="preserve">No pick yet                                                 </v>
      </c>
      <c r="E722" s="52">
        <f t="shared" si="112"/>
        <v>0</v>
      </c>
      <c r="F722" s="18"/>
      <c r="M722" s="18"/>
      <c r="N722" s="18"/>
      <c r="O722" s="18"/>
      <c r="P722" s="18"/>
      <c r="Q722" s="22"/>
      <c r="R722" s="21"/>
      <c r="S722" s="21"/>
      <c r="T722" s="21"/>
      <c r="AA722"/>
      <c r="AH722" t="str">
        <f t="shared" si="111"/>
        <v>k yet</v>
      </c>
    </row>
    <row r="723" spans="1:39">
      <c r="A723" s="42" t="s">
        <v>267</v>
      </c>
      <c r="B723" s="1" t="s">
        <v>20</v>
      </c>
      <c r="C723" s="40" t="str">
        <f t="shared" si="109"/>
        <v>22-&gt;</v>
      </c>
      <c r="D723" s="40" t="str">
        <f t="shared" si="110"/>
        <v xml:space="preserve">No pick yet                                                 </v>
      </c>
      <c r="E723" s="52">
        <f t="shared" si="112"/>
        <v>0</v>
      </c>
      <c r="F723" s="18"/>
      <c r="M723" s="18"/>
      <c r="N723" s="18"/>
      <c r="O723" s="18"/>
      <c r="P723" s="18"/>
      <c r="Q723" s="22"/>
      <c r="R723" s="21"/>
      <c r="S723" s="21"/>
      <c r="T723" s="21"/>
      <c r="AA723"/>
      <c r="AH723" t="str">
        <f t="shared" si="111"/>
        <v>k yet</v>
      </c>
    </row>
    <row r="724" spans="1:39">
      <c r="A724" s="42" t="s">
        <v>268</v>
      </c>
      <c r="B724" s="1" t="s">
        <v>20</v>
      </c>
      <c r="C724" s="40" t="str">
        <f t="shared" si="109"/>
        <v>23-&gt;</v>
      </c>
      <c r="D724" s="40" t="str">
        <f t="shared" si="110"/>
        <v xml:space="preserve">No pick yet                                                 </v>
      </c>
      <c r="E724" s="52">
        <f t="shared" si="112"/>
        <v>0</v>
      </c>
      <c r="F724" s="18"/>
      <c r="M724" s="18"/>
      <c r="N724" s="18"/>
      <c r="O724" s="18"/>
      <c r="P724" s="18"/>
      <c r="Q724" s="22"/>
      <c r="R724" s="21"/>
      <c r="S724" s="21"/>
      <c r="T724" s="21"/>
      <c r="AA724"/>
      <c r="AH724" t="str">
        <f t="shared" si="111"/>
        <v>k yet</v>
      </c>
    </row>
    <row r="725" spans="1:39">
      <c r="A725" s="42" t="s">
        <v>269</v>
      </c>
      <c r="B725" s="1" t="s">
        <v>20</v>
      </c>
      <c r="C725" s="40" t="str">
        <f t="shared" si="109"/>
        <v>24-&gt;</v>
      </c>
      <c r="D725" s="40" t="str">
        <f t="shared" si="110"/>
        <v xml:space="preserve">No pick yet                                                 </v>
      </c>
      <c r="E725" s="52">
        <f t="shared" si="112"/>
        <v>0</v>
      </c>
      <c r="F725" s="18"/>
      <c r="M725" s="18"/>
      <c r="N725" s="18"/>
      <c r="O725" s="18"/>
      <c r="P725" s="18"/>
      <c r="Q725" s="22"/>
      <c r="R725" s="21"/>
      <c r="S725" s="21"/>
      <c r="T725" s="21"/>
      <c r="AA725"/>
      <c r="AH725" t="str">
        <f t="shared" si="111"/>
        <v>k yet</v>
      </c>
    </row>
    <row r="726" spans="1:39">
      <c r="A726" s="42" t="s">
        <v>270</v>
      </c>
      <c r="B726" s="1" t="s">
        <v>20</v>
      </c>
      <c r="C726" s="40" t="str">
        <f t="shared" si="109"/>
        <v>25-&gt;</v>
      </c>
      <c r="D726" s="40" t="str">
        <f t="shared" si="110"/>
        <v xml:space="preserve">No pick yet                                                 </v>
      </c>
      <c r="E726" s="52">
        <f t="shared" si="112"/>
        <v>0</v>
      </c>
      <c r="F726" s="18"/>
      <c r="M726" s="18"/>
      <c r="N726" s="18"/>
      <c r="O726" s="18"/>
      <c r="P726" s="18"/>
      <c r="Q726" s="22"/>
      <c r="R726" s="21"/>
      <c r="S726" s="21"/>
      <c r="T726" s="21"/>
      <c r="AA726"/>
      <c r="AH726" t="str">
        <f t="shared" si="111"/>
        <v>k yet</v>
      </c>
    </row>
    <row r="727" spans="1:39">
      <c r="A727" s="42" t="s">
        <v>271</v>
      </c>
      <c r="B727" s="1" t="s">
        <v>20</v>
      </c>
      <c r="C727" s="40" t="str">
        <f t="shared" si="109"/>
        <v>26-&gt;</v>
      </c>
      <c r="D727" s="40" t="str">
        <f t="shared" si="110"/>
        <v xml:space="preserve">No pick yet                                                 </v>
      </c>
      <c r="E727" s="52">
        <f t="shared" si="112"/>
        <v>0</v>
      </c>
      <c r="F727" s="18"/>
      <c r="M727" s="18"/>
      <c r="N727" s="18"/>
      <c r="O727" s="18"/>
      <c r="P727" s="18"/>
      <c r="Q727" s="22"/>
      <c r="R727" s="21"/>
      <c r="S727" s="21"/>
      <c r="T727" s="21"/>
      <c r="AA727"/>
      <c r="AH727" t="str">
        <f t="shared" si="111"/>
        <v>k yet</v>
      </c>
    </row>
    <row r="728" spans="1:39">
      <c r="A728" s="38"/>
      <c r="B728" s="40"/>
      <c r="C728" s="40"/>
      <c r="D728" s="49"/>
      <c r="E728" s="41" t="s">
        <v>69</v>
      </c>
      <c r="F728" s="18"/>
      <c r="G728" s="22"/>
      <c r="I728" s="22"/>
      <c r="J728" s="22"/>
      <c r="K728" s="22" t="s">
        <v>73</v>
      </c>
      <c r="L728" s="18" t="s">
        <v>74</v>
      </c>
      <c r="M728" s="22" t="s">
        <v>78</v>
      </c>
      <c r="N728" s="22" t="s">
        <v>79</v>
      </c>
      <c r="O728" s="22" t="s">
        <v>80</v>
      </c>
      <c r="P728" s="22" t="s">
        <v>81</v>
      </c>
      <c r="Q728" s="22" t="s">
        <v>82</v>
      </c>
      <c r="R728" s="22" t="s">
        <v>83</v>
      </c>
      <c r="S728" s="22" t="s">
        <v>84</v>
      </c>
      <c r="T728" s="18" t="s">
        <v>85</v>
      </c>
      <c r="U728" s="18" t="s">
        <v>86</v>
      </c>
      <c r="V728" s="18" t="s">
        <v>87</v>
      </c>
      <c r="W728" s="18" t="s">
        <v>88</v>
      </c>
      <c r="X728" s="18" t="s">
        <v>89</v>
      </c>
      <c r="Y728" s="18" t="s">
        <v>90</v>
      </c>
      <c r="Z728" s="18" t="s">
        <v>91</v>
      </c>
      <c r="AA728" s="18" t="s">
        <v>92</v>
      </c>
      <c r="AB728" s="18" t="s">
        <v>93</v>
      </c>
      <c r="AC728" s="18" t="s">
        <v>94</v>
      </c>
      <c r="AD728" s="18" t="s">
        <v>235</v>
      </c>
      <c r="AE728" s="18" t="s">
        <v>236</v>
      </c>
      <c r="AF728" s="18" t="s">
        <v>237</v>
      </c>
      <c r="AG728" s="18" t="s">
        <v>238</v>
      </c>
      <c r="AH728" s="18" t="s">
        <v>239</v>
      </c>
      <c r="AI728" s="18" t="s">
        <v>240</v>
      </c>
      <c r="AJ728" s="18" t="s">
        <v>241</v>
      </c>
      <c r="AK728" s="18" t="s">
        <v>242</v>
      </c>
      <c r="AL728" s="18" t="s">
        <v>243</v>
      </c>
      <c r="AM728" s="50" t="s">
        <v>244</v>
      </c>
    </row>
    <row r="729" spans="1:39">
      <c r="A729" s="40" t="s">
        <v>245</v>
      </c>
      <c r="B729" s="51" t="str">
        <f>D25</f>
        <v/>
      </c>
      <c r="C729" s="40" t="str">
        <f t="shared" ref="C729:C755" si="113">A729</f>
        <v>#</v>
      </c>
      <c r="D729" s="40" t="str">
        <f>"   "&amp;B729&amp;REPT(" ",$AH$70-LEN(B729)-3)</f>
        <v xml:space="preserve">                                                            </v>
      </c>
      <c r="E729" s="38" t="str">
        <f>SUM(E730:E755)&amp;" pts[/b]"</f>
        <v>0 pts[/b]</v>
      </c>
      <c r="F729" s="21">
        <f>SUM(E730:E755)</f>
        <v>0</v>
      </c>
      <c r="H729" s="21"/>
      <c r="I729" s="22"/>
      <c r="J729" s="22"/>
      <c r="K729" s="18">
        <f>COUNTIF(E730:E755,"&gt;0")</f>
        <v>0</v>
      </c>
      <c r="L729" s="21">
        <f>AM729-K729</f>
        <v>0</v>
      </c>
      <c r="M729" s="22">
        <f>MAX(E730:E755)</f>
        <v>0</v>
      </c>
      <c r="N729" s="22">
        <f>LARGE(E730:E755,2)</f>
        <v>0</v>
      </c>
      <c r="O729" s="22">
        <f>LARGE(E730:E755,3)</f>
        <v>0</v>
      </c>
      <c r="P729" s="18">
        <f>LARGE(E730:E755,4)</f>
        <v>0</v>
      </c>
      <c r="Q729" s="22">
        <f>LARGE(E730:E755,5)</f>
        <v>0</v>
      </c>
      <c r="R729" s="22">
        <f>LARGE(E730:E755,6)</f>
        <v>0</v>
      </c>
      <c r="S729" s="22">
        <f>LARGE(E730:E755,7)</f>
        <v>0</v>
      </c>
      <c r="T729" s="18">
        <f>LARGE(E730:E755,8)</f>
        <v>0</v>
      </c>
      <c r="U729" s="18">
        <f>LARGE(E730:E755,9)</f>
        <v>0</v>
      </c>
      <c r="V729" s="18">
        <f>LARGE(E730:E755,10)</f>
        <v>0</v>
      </c>
      <c r="W729" s="18">
        <f>LARGE(E730:E755,11)</f>
        <v>0</v>
      </c>
      <c r="X729" s="18">
        <f>LARGE(E730:E755,12)</f>
        <v>0</v>
      </c>
      <c r="Y729" s="18">
        <f>LARGE(E730:E755,13)</f>
        <v>0</v>
      </c>
      <c r="Z729" s="18">
        <f>LARGE(E730:E755,14)</f>
        <v>0</v>
      </c>
      <c r="AA729" s="18">
        <f>LARGE(E730:E755,15)</f>
        <v>0</v>
      </c>
      <c r="AB729" s="18">
        <f>LARGE(E730:E755,16)</f>
        <v>0</v>
      </c>
      <c r="AC729" s="18">
        <f>LARGE(E730:E755,17)</f>
        <v>0</v>
      </c>
      <c r="AD729" s="18">
        <f>LARGE(E730:E756,13)</f>
        <v>0</v>
      </c>
      <c r="AE729" s="18">
        <f>LARGE(E730:E755,19)</f>
        <v>0</v>
      </c>
      <c r="AF729" s="18">
        <f>LARGE(E730:E755,20)</f>
        <v>0</v>
      </c>
      <c r="AG729" s="18">
        <f>LARGE(E730:E755,21)</f>
        <v>0</v>
      </c>
      <c r="AH729" s="18">
        <f>LARGE(E730:E755,22)</f>
        <v>0</v>
      </c>
      <c r="AI729" s="18">
        <f>LARGE(E730:E755,23)</f>
        <v>0</v>
      </c>
      <c r="AJ729" s="18">
        <f>LARGE(E730:E755,24)</f>
        <v>0</v>
      </c>
      <c r="AK729" s="18">
        <f>LARGE(E730:E755,25)</f>
        <v>0</v>
      </c>
      <c r="AL729" s="18">
        <f>LARGE(E730:E755,26)</f>
        <v>0</v>
      </c>
      <c r="AM729" s="50">
        <f>COUNTIF(AH730:AH755,"&lt;&gt;"&amp;AH76)-(26-COUNTIF(E730:E755,"&gt;=0"))</f>
        <v>0</v>
      </c>
    </row>
    <row r="730" spans="1:39">
      <c r="A730" s="42" t="s">
        <v>246</v>
      </c>
      <c r="B730" s="1" t="s">
        <v>20</v>
      </c>
      <c r="C730" s="40" t="str">
        <f t="shared" si="113"/>
        <v>01-&gt;</v>
      </c>
      <c r="D730" s="40" t="str">
        <f t="shared" ref="D730:D755" si="114">B730&amp;REPT(" ",$AH$70-LEN(B730))</f>
        <v xml:space="preserve">No pick yet                                                 </v>
      </c>
      <c r="E730" s="52">
        <f t="shared" ref="E730:E755" si="115">VLOOKUP(RIGHT(B730,LEN(B730)-$AH$66),$H$138:$I$420,2,0)</f>
        <v>0</v>
      </c>
      <c r="F730" s="18"/>
      <c r="M730" s="18"/>
      <c r="N730" s="18"/>
      <c r="O730" s="18"/>
      <c r="P730" s="18"/>
      <c r="Q730" s="22"/>
      <c r="R730" s="21"/>
      <c r="S730" s="21"/>
      <c r="T730" s="21"/>
      <c r="AA730"/>
      <c r="AH730" t="str">
        <f t="shared" ref="AH730:AH755" si="116">RIGHT(B730,LEN(B730)-$AH$66)</f>
        <v>k yet</v>
      </c>
    </row>
    <row r="731" spans="1:39">
      <c r="A731" s="42" t="s">
        <v>247</v>
      </c>
      <c r="B731" s="1" t="s">
        <v>20</v>
      </c>
      <c r="C731" s="40" t="str">
        <f t="shared" si="113"/>
        <v>02-&gt;</v>
      </c>
      <c r="D731" s="40" t="str">
        <f t="shared" si="114"/>
        <v xml:space="preserve">No pick yet                                                 </v>
      </c>
      <c r="E731" s="52">
        <f t="shared" si="115"/>
        <v>0</v>
      </c>
      <c r="F731" s="18"/>
      <c r="K731" s="22"/>
      <c r="N731" s="22"/>
      <c r="O731" s="22"/>
      <c r="P731" s="22"/>
      <c r="Q731" s="22"/>
      <c r="R731" s="22"/>
      <c r="S731" s="22"/>
      <c r="Z731" s="53"/>
      <c r="AA731"/>
      <c r="AH731" t="str">
        <f t="shared" si="116"/>
        <v>k yet</v>
      </c>
    </row>
    <row r="732" spans="1:39">
      <c r="A732" s="42" t="s">
        <v>248</v>
      </c>
      <c r="B732" s="1" t="s">
        <v>20</v>
      </c>
      <c r="C732" s="40" t="str">
        <f t="shared" si="113"/>
        <v>03-&gt;</v>
      </c>
      <c r="D732" s="40" t="str">
        <f t="shared" si="114"/>
        <v xml:space="preserve">No pick yet                                                 </v>
      </c>
      <c r="E732" s="52">
        <f t="shared" si="115"/>
        <v>0</v>
      </c>
      <c r="F732" s="18"/>
      <c r="L732" s="21"/>
      <c r="N732" s="22"/>
      <c r="O732" s="22"/>
      <c r="P732" s="18"/>
      <c r="Q732" s="22"/>
      <c r="R732" s="22"/>
      <c r="S732" s="22"/>
      <c r="Z732" s="53"/>
      <c r="AA732"/>
      <c r="AH732" t="str">
        <f t="shared" si="116"/>
        <v>k yet</v>
      </c>
    </row>
    <row r="733" spans="1:39">
      <c r="A733" s="42" t="s">
        <v>249</v>
      </c>
      <c r="B733" s="1" t="s">
        <v>20</v>
      </c>
      <c r="C733" s="40" t="str">
        <f t="shared" si="113"/>
        <v>04-&gt;</v>
      </c>
      <c r="D733" s="40" t="str">
        <f t="shared" si="114"/>
        <v xml:space="preserve">No pick yet                                                 </v>
      </c>
      <c r="E733" s="52">
        <f t="shared" si="115"/>
        <v>0</v>
      </c>
      <c r="F733" s="18"/>
      <c r="M733" s="18"/>
      <c r="N733" s="18"/>
      <c r="O733" s="18"/>
      <c r="P733" s="18"/>
      <c r="Q733" s="22"/>
      <c r="R733" s="21"/>
      <c r="S733" s="21"/>
      <c r="T733" s="21"/>
      <c r="AA733"/>
      <c r="AH733" t="str">
        <f t="shared" si="116"/>
        <v>k yet</v>
      </c>
    </row>
    <row r="734" spans="1:39">
      <c r="A734" s="42" t="s">
        <v>250</v>
      </c>
      <c r="B734" s="1" t="s">
        <v>20</v>
      </c>
      <c r="C734" s="40" t="str">
        <f t="shared" si="113"/>
        <v>05-&gt;</v>
      </c>
      <c r="D734" s="40" t="str">
        <f t="shared" si="114"/>
        <v xml:space="preserve">No pick yet                                                 </v>
      </c>
      <c r="E734" s="52">
        <f t="shared" si="115"/>
        <v>0</v>
      </c>
      <c r="F734" s="18"/>
      <c r="M734" s="18"/>
      <c r="N734" s="18"/>
      <c r="O734" s="18"/>
      <c r="P734" s="18"/>
      <c r="Q734" s="22"/>
      <c r="R734" s="21"/>
      <c r="S734" s="21"/>
      <c r="T734" s="21"/>
      <c r="AA734"/>
      <c r="AH734" t="str">
        <f t="shared" si="116"/>
        <v>k yet</v>
      </c>
    </row>
    <row r="735" spans="1:39">
      <c r="A735" s="42" t="s">
        <v>251</v>
      </c>
      <c r="B735" s="1" t="s">
        <v>20</v>
      </c>
      <c r="C735" s="40" t="str">
        <f t="shared" si="113"/>
        <v>06-&gt;</v>
      </c>
      <c r="D735" s="40" t="str">
        <f t="shared" si="114"/>
        <v xml:space="preserve">No pick yet                                                 </v>
      </c>
      <c r="E735" s="52">
        <f t="shared" si="115"/>
        <v>0</v>
      </c>
      <c r="F735" s="18"/>
      <c r="M735" s="18"/>
      <c r="N735" s="18"/>
      <c r="O735" s="18"/>
      <c r="P735" s="18"/>
      <c r="Q735" s="22"/>
      <c r="R735" s="21"/>
      <c r="S735" s="21"/>
      <c r="T735" s="21"/>
      <c r="AA735"/>
      <c r="AH735" t="str">
        <f t="shared" si="116"/>
        <v>k yet</v>
      </c>
    </row>
    <row r="736" spans="1:39">
      <c r="A736" s="42" t="s">
        <v>252</v>
      </c>
      <c r="B736" s="1" t="s">
        <v>20</v>
      </c>
      <c r="C736" s="40" t="str">
        <f t="shared" si="113"/>
        <v>07-&gt;</v>
      </c>
      <c r="D736" s="40" t="str">
        <f t="shared" si="114"/>
        <v xml:space="preserve">No pick yet                                                 </v>
      </c>
      <c r="E736" s="52">
        <f t="shared" si="115"/>
        <v>0</v>
      </c>
      <c r="F736" s="18"/>
      <c r="M736" s="18"/>
      <c r="N736" s="18"/>
      <c r="O736" s="18"/>
      <c r="P736" s="18"/>
      <c r="Q736" s="22"/>
      <c r="R736" s="21"/>
      <c r="S736" s="21"/>
      <c r="T736" s="21"/>
      <c r="AA736"/>
      <c r="AH736" t="str">
        <f t="shared" si="116"/>
        <v>k yet</v>
      </c>
    </row>
    <row r="737" spans="1:34">
      <c r="A737" s="42" t="s">
        <v>253</v>
      </c>
      <c r="B737" s="1" t="s">
        <v>20</v>
      </c>
      <c r="C737" s="40" t="str">
        <f t="shared" si="113"/>
        <v>08-&gt;</v>
      </c>
      <c r="D737" s="40" t="str">
        <f t="shared" si="114"/>
        <v xml:space="preserve">No pick yet                                                 </v>
      </c>
      <c r="E737" s="52">
        <f t="shared" si="115"/>
        <v>0</v>
      </c>
      <c r="F737" s="18"/>
      <c r="M737" s="18"/>
      <c r="N737" s="18"/>
      <c r="O737" s="18"/>
      <c r="P737" s="18"/>
      <c r="Q737" s="22"/>
      <c r="R737" s="21"/>
      <c r="S737" s="21"/>
      <c r="T737" s="21"/>
      <c r="AA737"/>
      <c r="AH737" t="str">
        <f t="shared" si="116"/>
        <v>k yet</v>
      </c>
    </row>
    <row r="738" spans="1:34">
      <c r="A738" s="42" t="s">
        <v>254</v>
      </c>
      <c r="B738" s="1" t="s">
        <v>20</v>
      </c>
      <c r="C738" s="40" t="str">
        <f t="shared" si="113"/>
        <v>09-&gt;</v>
      </c>
      <c r="D738" s="40" t="str">
        <f t="shared" si="114"/>
        <v xml:space="preserve">No pick yet                                                 </v>
      </c>
      <c r="E738" s="52">
        <f t="shared" si="115"/>
        <v>0</v>
      </c>
      <c r="F738" s="18"/>
      <c r="M738" s="18"/>
      <c r="N738" s="18"/>
      <c r="O738" s="18"/>
      <c r="P738" s="18"/>
      <c r="Q738" s="22"/>
      <c r="R738" s="21"/>
      <c r="S738" s="21"/>
      <c r="T738" s="21"/>
      <c r="AA738"/>
      <c r="AH738" t="str">
        <f t="shared" si="116"/>
        <v>k yet</v>
      </c>
    </row>
    <row r="739" spans="1:34">
      <c r="A739" s="42" t="s">
        <v>255</v>
      </c>
      <c r="B739" s="1" t="s">
        <v>20</v>
      </c>
      <c r="C739" s="40" t="str">
        <f t="shared" si="113"/>
        <v>10-&gt;</v>
      </c>
      <c r="D739" s="40" t="str">
        <f t="shared" si="114"/>
        <v xml:space="preserve">No pick yet                                                 </v>
      </c>
      <c r="E739" s="52">
        <f t="shared" si="115"/>
        <v>0</v>
      </c>
      <c r="F739" s="22"/>
      <c r="M739" s="18"/>
      <c r="N739" s="18"/>
      <c r="O739" s="18"/>
      <c r="P739" s="18"/>
      <c r="Q739" s="22"/>
      <c r="R739" s="21"/>
      <c r="S739" s="21"/>
      <c r="T739" s="21"/>
      <c r="AA739"/>
      <c r="AH739" t="str">
        <f t="shared" si="116"/>
        <v>k yet</v>
      </c>
    </row>
    <row r="740" spans="1:34">
      <c r="A740" s="42" t="s">
        <v>256</v>
      </c>
      <c r="B740" s="1" t="s">
        <v>20</v>
      </c>
      <c r="C740" s="40" t="str">
        <f t="shared" si="113"/>
        <v>11-&gt;</v>
      </c>
      <c r="D740" s="40" t="str">
        <f t="shared" si="114"/>
        <v xml:space="preserve">No pick yet                                                 </v>
      </c>
      <c r="E740" s="52">
        <f t="shared" si="115"/>
        <v>0</v>
      </c>
      <c r="M740" s="18"/>
      <c r="N740" s="18"/>
      <c r="O740" s="18"/>
      <c r="P740" s="18"/>
      <c r="Q740" s="22"/>
      <c r="R740" s="21"/>
      <c r="S740" s="21"/>
      <c r="T740" s="21"/>
      <c r="AA740"/>
      <c r="AH740" t="str">
        <f t="shared" si="116"/>
        <v>k yet</v>
      </c>
    </row>
    <row r="741" spans="1:34">
      <c r="A741" s="42" t="s">
        <v>257</v>
      </c>
      <c r="B741" s="1" t="s">
        <v>20</v>
      </c>
      <c r="C741" s="40" t="str">
        <f t="shared" si="113"/>
        <v>12-&gt;</v>
      </c>
      <c r="D741" s="40" t="str">
        <f t="shared" si="114"/>
        <v xml:space="preserve">No pick yet                                                 </v>
      </c>
      <c r="E741" s="52">
        <f t="shared" si="115"/>
        <v>0</v>
      </c>
      <c r="M741" s="18"/>
      <c r="N741" s="18"/>
      <c r="O741" s="18"/>
      <c r="P741" s="18"/>
      <c r="Q741" s="22"/>
      <c r="R741" s="21"/>
      <c r="S741" s="21"/>
      <c r="T741" s="21"/>
      <c r="AA741"/>
      <c r="AH741" t="str">
        <f t="shared" si="116"/>
        <v>k yet</v>
      </c>
    </row>
    <row r="742" spans="1:34">
      <c r="A742" s="42" t="s">
        <v>258</v>
      </c>
      <c r="B742" s="1" t="s">
        <v>20</v>
      </c>
      <c r="C742" s="40" t="str">
        <f t="shared" si="113"/>
        <v>13-&gt;</v>
      </c>
      <c r="D742" s="40" t="str">
        <f t="shared" si="114"/>
        <v xml:space="preserve">No pick yet                                                 </v>
      </c>
      <c r="E742" s="52">
        <f t="shared" si="115"/>
        <v>0</v>
      </c>
      <c r="M742" s="18"/>
      <c r="N742" s="18"/>
      <c r="O742" s="18"/>
      <c r="P742" s="18"/>
      <c r="Q742" s="22"/>
      <c r="R742" s="21"/>
      <c r="S742" s="21"/>
      <c r="T742" s="21"/>
      <c r="AA742"/>
      <c r="AH742" t="str">
        <f t="shared" si="116"/>
        <v>k yet</v>
      </c>
    </row>
    <row r="743" spans="1:34">
      <c r="A743" s="42" t="s">
        <v>259</v>
      </c>
      <c r="B743" s="1" t="s">
        <v>20</v>
      </c>
      <c r="C743" s="40" t="str">
        <f t="shared" si="113"/>
        <v>14-&gt;</v>
      </c>
      <c r="D743" s="40" t="str">
        <f t="shared" si="114"/>
        <v xml:space="preserve">No pick yet                                                 </v>
      </c>
      <c r="E743" s="52">
        <f t="shared" si="115"/>
        <v>0</v>
      </c>
      <c r="G743" s="22"/>
      <c r="I743" s="22"/>
      <c r="J743" s="22"/>
      <c r="M743" s="18"/>
      <c r="N743" s="18"/>
      <c r="O743" s="18"/>
      <c r="P743" s="18"/>
      <c r="Q743" s="22"/>
      <c r="R743" s="21"/>
      <c r="S743" s="21"/>
      <c r="T743" s="21"/>
      <c r="AA743"/>
      <c r="AH743" t="str">
        <f t="shared" si="116"/>
        <v>k yet</v>
      </c>
    </row>
    <row r="744" spans="1:34">
      <c r="A744" s="42" t="s">
        <v>260</v>
      </c>
      <c r="B744" s="1" t="s">
        <v>20</v>
      </c>
      <c r="C744" s="40" t="str">
        <f t="shared" si="113"/>
        <v>15-&gt;</v>
      </c>
      <c r="D744" s="40" t="str">
        <f t="shared" si="114"/>
        <v xml:space="preserve">No pick yet                                                 </v>
      </c>
      <c r="E744" s="52">
        <f t="shared" si="115"/>
        <v>0</v>
      </c>
      <c r="H744" s="21"/>
      <c r="I744" s="22"/>
      <c r="J744" s="22"/>
      <c r="M744" s="18"/>
      <c r="N744" s="18"/>
      <c r="O744" s="18"/>
      <c r="P744" s="18"/>
      <c r="Q744" s="22"/>
      <c r="R744" s="21"/>
      <c r="S744" s="21"/>
      <c r="T744" s="21"/>
      <c r="AA744"/>
      <c r="AH744" t="str">
        <f t="shared" si="116"/>
        <v>k yet</v>
      </c>
    </row>
    <row r="745" spans="1:34">
      <c r="A745" s="42" t="s">
        <v>261</v>
      </c>
      <c r="B745" s="1" t="s">
        <v>20</v>
      </c>
      <c r="C745" s="40" t="str">
        <f t="shared" si="113"/>
        <v>16-&gt;</v>
      </c>
      <c r="D745" s="40" t="str">
        <f t="shared" si="114"/>
        <v xml:space="preserve">No pick yet                                                 </v>
      </c>
      <c r="E745" s="52">
        <f t="shared" si="115"/>
        <v>0</v>
      </c>
      <c r="M745" s="18"/>
      <c r="N745" s="18"/>
      <c r="O745" s="18"/>
      <c r="P745" s="18"/>
      <c r="Q745" s="22"/>
      <c r="R745" s="21"/>
      <c r="S745" s="21"/>
      <c r="T745" s="21"/>
      <c r="AA745"/>
      <c r="AH745" t="str">
        <f t="shared" si="116"/>
        <v>k yet</v>
      </c>
    </row>
    <row r="746" spans="1:34">
      <c r="A746" s="42" t="s">
        <v>262</v>
      </c>
      <c r="B746" s="1" t="s">
        <v>20</v>
      </c>
      <c r="C746" s="40" t="str">
        <f t="shared" si="113"/>
        <v>17-&gt;</v>
      </c>
      <c r="D746" s="40" t="str">
        <f t="shared" si="114"/>
        <v xml:space="preserve">No pick yet                                                 </v>
      </c>
      <c r="E746" s="52">
        <f t="shared" si="115"/>
        <v>0</v>
      </c>
      <c r="K746" s="22"/>
      <c r="N746" s="22"/>
      <c r="O746" s="22"/>
      <c r="P746" s="22"/>
      <c r="Q746" s="22"/>
      <c r="R746" s="22"/>
      <c r="S746" s="22"/>
      <c r="Z746" s="53"/>
      <c r="AA746"/>
      <c r="AH746" t="str">
        <f t="shared" si="116"/>
        <v>k yet</v>
      </c>
    </row>
    <row r="747" spans="1:34">
      <c r="A747" s="42" t="s">
        <v>263</v>
      </c>
      <c r="B747" s="1" t="s">
        <v>20</v>
      </c>
      <c r="C747" s="40" t="str">
        <f t="shared" si="113"/>
        <v>18-&gt;</v>
      </c>
      <c r="D747" s="40" t="str">
        <f t="shared" si="114"/>
        <v xml:space="preserve">No pick yet                                                 </v>
      </c>
      <c r="E747" s="52">
        <f t="shared" si="115"/>
        <v>0</v>
      </c>
      <c r="F747" s="18"/>
      <c r="L747" s="21"/>
      <c r="N747" s="22"/>
      <c r="O747" s="22"/>
      <c r="P747" s="18"/>
      <c r="Q747" s="22"/>
      <c r="R747" s="22"/>
      <c r="S747" s="22"/>
      <c r="Z747" s="53"/>
      <c r="AA747"/>
      <c r="AH747" t="str">
        <f t="shared" si="116"/>
        <v>k yet</v>
      </c>
    </row>
    <row r="748" spans="1:34">
      <c r="A748" s="42" t="s">
        <v>264</v>
      </c>
      <c r="B748" s="1" t="s">
        <v>20</v>
      </c>
      <c r="C748" s="40" t="str">
        <f t="shared" si="113"/>
        <v>19-&gt;</v>
      </c>
      <c r="D748" s="40" t="str">
        <f t="shared" si="114"/>
        <v xml:space="preserve">No pick yet                                                 </v>
      </c>
      <c r="E748" s="52">
        <f t="shared" si="115"/>
        <v>0</v>
      </c>
      <c r="F748" s="18"/>
      <c r="M748" s="18"/>
      <c r="N748" s="18"/>
      <c r="O748" s="18"/>
      <c r="P748" s="18"/>
      <c r="Q748" s="22"/>
      <c r="R748" s="21"/>
      <c r="S748" s="21"/>
      <c r="T748" s="21"/>
      <c r="AA748"/>
      <c r="AH748" t="str">
        <f t="shared" si="116"/>
        <v>k yet</v>
      </c>
    </row>
    <row r="749" spans="1:34">
      <c r="A749" s="42" t="s">
        <v>265</v>
      </c>
      <c r="B749" s="1" t="s">
        <v>20</v>
      </c>
      <c r="C749" s="40" t="str">
        <f t="shared" si="113"/>
        <v>20-&gt;</v>
      </c>
      <c r="D749" s="40" t="str">
        <f t="shared" si="114"/>
        <v xml:space="preserve">No pick yet                                                 </v>
      </c>
      <c r="E749" s="52">
        <f t="shared" si="115"/>
        <v>0</v>
      </c>
      <c r="F749" s="18"/>
      <c r="M749" s="18"/>
      <c r="N749" s="18"/>
      <c r="O749" s="18"/>
      <c r="P749" s="18"/>
      <c r="Q749" s="22"/>
      <c r="R749" s="21"/>
      <c r="S749" s="21"/>
      <c r="T749" s="21"/>
      <c r="AA749"/>
      <c r="AH749" t="str">
        <f t="shared" si="116"/>
        <v>k yet</v>
      </c>
    </row>
    <row r="750" spans="1:34">
      <c r="A750" s="42" t="s">
        <v>266</v>
      </c>
      <c r="B750" s="1" t="s">
        <v>20</v>
      </c>
      <c r="C750" s="40" t="str">
        <f t="shared" si="113"/>
        <v>21-&gt;</v>
      </c>
      <c r="D750" s="40" t="str">
        <f t="shared" si="114"/>
        <v xml:space="preserve">No pick yet                                                 </v>
      </c>
      <c r="E750" s="52">
        <f t="shared" si="115"/>
        <v>0</v>
      </c>
      <c r="F750" s="18"/>
      <c r="M750" s="18"/>
      <c r="N750" s="18"/>
      <c r="O750" s="18"/>
      <c r="P750" s="18"/>
      <c r="Q750" s="22"/>
      <c r="R750" s="21"/>
      <c r="S750" s="21"/>
      <c r="T750" s="21"/>
      <c r="AA750"/>
      <c r="AH750" t="str">
        <f t="shared" si="116"/>
        <v>k yet</v>
      </c>
    </row>
    <row r="751" spans="1:34">
      <c r="A751" s="42" t="s">
        <v>267</v>
      </c>
      <c r="B751" s="1" t="s">
        <v>20</v>
      </c>
      <c r="C751" s="40" t="str">
        <f t="shared" si="113"/>
        <v>22-&gt;</v>
      </c>
      <c r="D751" s="40" t="str">
        <f t="shared" si="114"/>
        <v xml:space="preserve">No pick yet                                                 </v>
      </c>
      <c r="E751" s="52">
        <f t="shared" si="115"/>
        <v>0</v>
      </c>
      <c r="F751" s="18"/>
      <c r="M751" s="18"/>
      <c r="N751" s="18"/>
      <c r="O751" s="18"/>
      <c r="P751" s="18"/>
      <c r="Q751" s="22"/>
      <c r="R751" s="21"/>
      <c r="S751" s="21"/>
      <c r="T751" s="21"/>
      <c r="AA751"/>
      <c r="AH751" t="str">
        <f t="shared" si="116"/>
        <v>k yet</v>
      </c>
    </row>
    <row r="752" spans="1:34">
      <c r="A752" s="42" t="s">
        <v>268</v>
      </c>
      <c r="B752" s="1" t="s">
        <v>20</v>
      </c>
      <c r="C752" s="40" t="str">
        <f t="shared" si="113"/>
        <v>23-&gt;</v>
      </c>
      <c r="D752" s="40" t="str">
        <f t="shared" si="114"/>
        <v xml:space="preserve">No pick yet                                                 </v>
      </c>
      <c r="E752" s="52">
        <f t="shared" si="115"/>
        <v>0</v>
      </c>
      <c r="F752" s="18"/>
      <c r="M752" s="18"/>
      <c r="N752" s="18"/>
      <c r="O752" s="18"/>
      <c r="P752" s="18"/>
      <c r="Q752" s="22"/>
      <c r="R752" s="21"/>
      <c r="S752" s="21"/>
      <c r="T752" s="21"/>
      <c r="AA752"/>
      <c r="AH752" t="str">
        <f t="shared" si="116"/>
        <v>k yet</v>
      </c>
    </row>
    <row r="753" spans="1:39">
      <c r="A753" s="42" t="s">
        <v>269</v>
      </c>
      <c r="B753" s="1" t="s">
        <v>20</v>
      </c>
      <c r="C753" s="40" t="str">
        <f t="shared" si="113"/>
        <v>24-&gt;</v>
      </c>
      <c r="D753" s="40" t="str">
        <f t="shared" si="114"/>
        <v xml:space="preserve">No pick yet                                                 </v>
      </c>
      <c r="E753" s="52">
        <f t="shared" si="115"/>
        <v>0</v>
      </c>
      <c r="F753" s="18"/>
      <c r="M753" s="18"/>
      <c r="N753" s="18"/>
      <c r="O753" s="18"/>
      <c r="P753" s="18"/>
      <c r="Q753" s="22"/>
      <c r="R753" s="21"/>
      <c r="S753" s="21"/>
      <c r="T753" s="21"/>
      <c r="AA753"/>
      <c r="AH753" t="str">
        <f t="shared" si="116"/>
        <v>k yet</v>
      </c>
    </row>
    <row r="754" spans="1:39">
      <c r="A754" s="42" t="s">
        <v>270</v>
      </c>
      <c r="B754" s="1" t="s">
        <v>20</v>
      </c>
      <c r="C754" s="40" t="str">
        <f t="shared" si="113"/>
        <v>25-&gt;</v>
      </c>
      <c r="D754" s="40" t="str">
        <f t="shared" si="114"/>
        <v xml:space="preserve">No pick yet                                                 </v>
      </c>
      <c r="E754" s="52">
        <f t="shared" si="115"/>
        <v>0</v>
      </c>
      <c r="F754" s="18"/>
      <c r="M754" s="18"/>
      <c r="N754" s="18"/>
      <c r="O754" s="18"/>
      <c r="P754" s="18"/>
      <c r="Q754" s="22"/>
      <c r="R754" s="21"/>
      <c r="S754" s="21"/>
      <c r="T754" s="21"/>
      <c r="AA754"/>
      <c r="AH754" t="str">
        <f t="shared" si="116"/>
        <v>k yet</v>
      </c>
    </row>
    <row r="755" spans="1:39">
      <c r="A755" s="42" t="s">
        <v>271</v>
      </c>
      <c r="B755" s="1" t="s">
        <v>20</v>
      </c>
      <c r="C755" s="40" t="str">
        <f t="shared" si="113"/>
        <v>26-&gt;</v>
      </c>
      <c r="D755" s="40" t="str">
        <f t="shared" si="114"/>
        <v xml:space="preserve">No pick yet                                                 </v>
      </c>
      <c r="E755" s="52">
        <f t="shared" si="115"/>
        <v>0</v>
      </c>
      <c r="F755" s="18"/>
      <c r="M755" s="18"/>
      <c r="N755" s="18"/>
      <c r="O755" s="18"/>
      <c r="P755" s="18"/>
      <c r="Q755" s="22"/>
      <c r="R755" s="21"/>
      <c r="S755" s="21"/>
      <c r="T755" s="21"/>
      <c r="AA755"/>
      <c r="AH755" t="str">
        <f t="shared" si="116"/>
        <v>k yet</v>
      </c>
    </row>
    <row r="756" spans="1:39">
      <c r="A756" s="38"/>
      <c r="B756" s="40"/>
      <c r="C756" s="40"/>
      <c r="D756" s="49"/>
      <c r="E756" s="41" t="s">
        <v>69</v>
      </c>
      <c r="F756" s="18"/>
      <c r="K756" s="22" t="s">
        <v>73</v>
      </c>
      <c r="L756" s="18" t="s">
        <v>74</v>
      </c>
      <c r="M756" s="22" t="s">
        <v>78</v>
      </c>
      <c r="N756" s="22" t="s">
        <v>79</v>
      </c>
      <c r="O756" s="22" t="s">
        <v>80</v>
      </c>
      <c r="P756" s="22" t="s">
        <v>81</v>
      </c>
      <c r="Q756" s="22" t="s">
        <v>82</v>
      </c>
      <c r="R756" s="22" t="s">
        <v>83</v>
      </c>
      <c r="S756" s="22" t="s">
        <v>84</v>
      </c>
      <c r="T756" s="18" t="s">
        <v>85</v>
      </c>
      <c r="U756" s="18" t="s">
        <v>86</v>
      </c>
      <c r="V756" s="18" t="s">
        <v>87</v>
      </c>
      <c r="W756" s="18" t="s">
        <v>88</v>
      </c>
      <c r="X756" s="18" t="s">
        <v>89</v>
      </c>
      <c r="Y756" s="18" t="s">
        <v>90</v>
      </c>
      <c r="Z756" s="18" t="s">
        <v>91</v>
      </c>
      <c r="AA756" s="18" t="s">
        <v>92</v>
      </c>
      <c r="AB756" s="18" t="s">
        <v>93</v>
      </c>
      <c r="AC756" s="18" t="s">
        <v>94</v>
      </c>
      <c r="AD756" s="18" t="s">
        <v>235</v>
      </c>
      <c r="AE756" s="18" t="s">
        <v>236</v>
      </c>
      <c r="AF756" s="18" t="s">
        <v>237</v>
      </c>
      <c r="AG756" s="18" t="s">
        <v>238</v>
      </c>
      <c r="AH756" s="18" t="s">
        <v>239</v>
      </c>
      <c r="AI756" s="18" t="s">
        <v>240</v>
      </c>
      <c r="AJ756" s="18" t="s">
        <v>241</v>
      </c>
      <c r="AK756" s="18" t="s">
        <v>242</v>
      </c>
      <c r="AL756" s="18" t="s">
        <v>243</v>
      </c>
      <c r="AM756" s="50" t="s">
        <v>244</v>
      </c>
    </row>
    <row r="757" spans="1:39">
      <c r="A757" s="40" t="s">
        <v>245</v>
      </c>
      <c r="B757" s="51" t="str">
        <f>D26</f>
        <v/>
      </c>
      <c r="C757" s="40" t="str">
        <f t="shared" ref="C757:C783" si="117">A757</f>
        <v>#</v>
      </c>
      <c r="D757" s="40" t="str">
        <f>"   "&amp;B757&amp;REPT(" ",$AH$70-LEN(B757)-3)</f>
        <v xml:space="preserve">                                                            </v>
      </c>
      <c r="E757" s="38" t="str">
        <f>SUM(E758:E783)&amp;" pts[/b]"</f>
        <v>0 pts[/b]</v>
      </c>
      <c r="F757" s="21">
        <f>SUM(E758:E783)</f>
        <v>0</v>
      </c>
      <c r="K757" s="18">
        <f>COUNTIF(E758:E783,"&gt;0")</f>
        <v>0</v>
      </c>
      <c r="L757" s="21">
        <f>AM757-K757</f>
        <v>0</v>
      </c>
      <c r="M757" s="22">
        <f>MAX(E758:E783)</f>
        <v>0</v>
      </c>
      <c r="N757" s="22">
        <f>LARGE(E758:E783,2)</f>
        <v>0</v>
      </c>
      <c r="O757" s="22">
        <f>LARGE(E758:E783,3)</f>
        <v>0</v>
      </c>
      <c r="P757" s="18">
        <f>LARGE(E758:E783,4)</f>
        <v>0</v>
      </c>
      <c r="Q757" s="22">
        <f>LARGE(E758:E783,5)</f>
        <v>0</v>
      </c>
      <c r="R757" s="22">
        <f>LARGE(E758:E783,6)</f>
        <v>0</v>
      </c>
      <c r="S757" s="22">
        <f>LARGE(E758:E783,7)</f>
        <v>0</v>
      </c>
      <c r="T757" s="18">
        <f>LARGE(E758:E783,8)</f>
        <v>0</v>
      </c>
      <c r="U757" s="18">
        <f>LARGE(E758:E783,9)</f>
        <v>0</v>
      </c>
      <c r="V757" s="18">
        <f>LARGE(E758:E783,10)</f>
        <v>0</v>
      </c>
      <c r="W757" s="18">
        <f>LARGE(E758:E783,11)</f>
        <v>0</v>
      </c>
      <c r="X757" s="18">
        <f>LARGE(E758:E783,12)</f>
        <v>0</v>
      </c>
      <c r="Y757" s="18">
        <f>LARGE(E758:E783,13)</f>
        <v>0</v>
      </c>
      <c r="Z757" s="18">
        <f>LARGE(E758:E783,14)</f>
        <v>0</v>
      </c>
      <c r="AA757" s="18">
        <f>LARGE(E758:E783,15)</f>
        <v>0</v>
      </c>
      <c r="AB757" s="18">
        <f>LARGE(E758:E783,16)</f>
        <v>0</v>
      </c>
      <c r="AC757" s="18">
        <f>LARGE(E758:E783,17)</f>
        <v>0</v>
      </c>
      <c r="AD757" s="18">
        <f>LARGE(E758:E784,13)</f>
        <v>0</v>
      </c>
      <c r="AE757" s="18">
        <f>LARGE(E758:E783,19)</f>
        <v>0</v>
      </c>
      <c r="AF757" s="18">
        <f>LARGE(E758:E783,20)</f>
        <v>0</v>
      </c>
      <c r="AG757" s="18">
        <f>LARGE(E758:E783,21)</f>
        <v>0</v>
      </c>
      <c r="AH757" s="18">
        <f>LARGE(E758:E783,22)</f>
        <v>0</v>
      </c>
      <c r="AI757" s="18">
        <f>LARGE(E758:E783,23)</f>
        <v>0</v>
      </c>
      <c r="AJ757" s="18">
        <f>LARGE(E758:E783,24)</f>
        <v>0</v>
      </c>
      <c r="AK757" s="18">
        <f>LARGE(E758:E783,25)</f>
        <v>0</v>
      </c>
      <c r="AL757" s="18">
        <f>LARGE(E758:E783,26)</f>
        <v>0</v>
      </c>
      <c r="AM757" s="50">
        <f>COUNTIF(AH758:AH783,"&lt;&gt;"&amp;AH76)-(26-COUNTIF(E758:E783,"&gt;=0"))</f>
        <v>0</v>
      </c>
    </row>
    <row r="758" spans="1:39">
      <c r="A758" s="42" t="s">
        <v>246</v>
      </c>
      <c r="B758" s="1" t="s">
        <v>20</v>
      </c>
      <c r="C758" s="40" t="str">
        <f t="shared" si="117"/>
        <v>01-&gt;</v>
      </c>
      <c r="D758" s="40" t="str">
        <f t="shared" ref="D758:D783" si="118">B758&amp;REPT(" ",$AH$70-LEN(B758))</f>
        <v xml:space="preserve">No pick yet                                                 </v>
      </c>
      <c r="E758" s="52">
        <f t="shared" ref="E758:E783" si="119">VLOOKUP(RIGHT(B758,LEN(B758)-$AH$66),$H$138:$I$420,2,0)</f>
        <v>0</v>
      </c>
      <c r="F758" s="18"/>
      <c r="G758" s="22"/>
      <c r="I758" s="22"/>
      <c r="J758" s="22"/>
      <c r="M758" s="18"/>
      <c r="N758" s="18"/>
      <c r="O758" s="18"/>
      <c r="P758" s="18"/>
      <c r="Q758" s="22"/>
      <c r="R758" s="21"/>
      <c r="S758" s="21"/>
      <c r="T758" s="21"/>
      <c r="AA758"/>
      <c r="AH758" t="str">
        <f t="shared" ref="AH758:AH783" si="120">RIGHT(B758,LEN(B758)-$AH$66)</f>
        <v>k yet</v>
      </c>
    </row>
    <row r="759" spans="1:39">
      <c r="A759" s="42" t="s">
        <v>247</v>
      </c>
      <c r="B759" s="1" t="s">
        <v>20</v>
      </c>
      <c r="C759" s="40" t="str">
        <f t="shared" si="117"/>
        <v>02-&gt;</v>
      </c>
      <c r="D759" s="40" t="str">
        <f t="shared" si="118"/>
        <v xml:space="preserve">No pick yet                                                 </v>
      </c>
      <c r="E759" s="52">
        <f t="shared" si="119"/>
        <v>0</v>
      </c>
      <c r="F759" s="18"/>
      <c r="H759" s="21"/>
      <c r="I759" s="22"/>
      <c r="J759" s="22"/>
      <c r="K759" s="22"/>
      <c r="N759" s="22"/>
      <c r="O759" s="22"/>
      <c r="P759" s="22"/>
      <c r="Q759" s="22"/>
      <c r="R759" s="22"/>
      <c r="S759" s="22"/>
      <c r="Z759" s="53"/>
      <c r="AA759"/>
      <c r="AH759" t="str">
        <f t="shared" si="120"/>
        <v>k yet</v>
      </c>
    </row>
    <row r="760" spans="1:39">
      <c r="A760" s="42" t="s">
        <v>248</v>
      </c>
      <c r="B760" s="1" t="s">
        <v>20</v>
      </c>
      <c r="C760" s="40" t="str">
        <f t="shared" si="117"/>
        <v>03-&gt;</v>
      </c>
      <c r="D760" s="40" t="str">
        <f t="shared" si="118"/>
        <v xml:space="preserve">No pick yet                                                 </v>
      </c>
      <c r="E760" s="52">
        <f t="shared" si="119"/>
        <v>0</v>
      </c>
      <c r="F760" s="18"/>
      <c r="L760" s="21"/>
      <c r="N760" s="22"/>
      <c r="O760" s="22"/>
      <c r="P760" s="18"/>
      <c r="Q760" s="22"/>
      <c r="R760" s="22"/>
      <c r="S760" s="22"/>
      <c r="Z760" s="53"/>
      <c r="AA760"/>
      <c r="AH760" t="str">
        <f t="shared" si="120"/>
        <v>k yet</v>
      </c>
    </row>
    <row r="761" spans="1:39">
      <c r="A761" s="42" t="s">
        <v>249</v>
      </c>
      <c r="B761" s="1" t="s">
        <v>20</v>
      </c>
      <c r="C761" s="40" t="str">
        <f t="shared" si="117"/>
        <v>04-&gt;</v>
      </c>
      <c r="D761" s="40" t="str">
        <f t="shared" si="118"/>
        <v xml:space="preserve">No pick yet                                                 </v>
      </c>
      <c r="E761" s="52">
        <f t="shared" si="119"/>
        <v>0</v>
      </c>
      <c r="F761" s="18"/>
      <c r="M761" s="18"/>
      <c r="N761" s="18"/>
      <c r="O761" s="18"/>
      <c r="P761" s="18"/>
      <c r="Q761" s="22"/>
      <c r="R761" s="21"/>
      <c r="S761" s="21"/>
      <c r="T761" s="21"/>
      <c r="AA761"/>
      <c r="AH761" t="str">
        <f t="shared" si="120"/>
        <v>k yet</v>
      </c>
    </row>
    <row r="762" spans="1:39">
      <c r="A762" s="42" t="s">
        <v>250</v>
      </c>
      <c r="B762" s="1" t="s">
        <v>20</v>
      </c>
      <c r="C762" s="40" t="str">
        <f t="shared" si="117"/>
        <v>05-&gt;</v>
      </c>
      <c r="D762" s="40" t="str">
        <f t="shared" si="118"/>
        <v xml:space="preserve">No pick yet                                                 </v>
      </c>
      <c r="E762" s="52">
        <f t="shared" si="119"/>
        <v>0</v>
      </c>
      <c r="F762" s="18"/>
      <c r="M762" s="18"/>
      <c r="N762" s="18"/>
      <c r="O762" s="18"/>
      <c r="P762" s="18"/>
      <c r="Q762" s="22"/>
      <c r="R762" s="21"/>
      <c r="S762" s="21"/>
      <c r="T762" s="21"/>
      <c r="AA762"/>
      <c r="AH762" t="str">
        <f t="shared" si="120"/>
        <v>k yet</v>
      </c>
    </row>
    <row r="763" spans="1:39">
      <c r="A763" s="42" t="s">
        <v>251</v>
      </c>
      <c r="B763" s="1" t="s">
        <v>20</v>
      </c>
      <c r="C763" s="40" t="str">
        <f t="shared" si="117"/>
        <v>06-&gt;</v>
      </c>
      <c r="D763" s="40" t="str">
        <f t="shared" si="118"/>
        <v xml:space="preserve">No pick yet                                                 </v>
      </c>
      <c r="E763" s="52">
        <f t="shared" si="119"/>
        <v>0</v>
      </c>
      <c r="F763" s="18"/>
      <c r="M763" s="18"/>
      <c r="N763" s="18"/>
      <c r="O763" s="18"/>
      <c r="P763" s="18"/>
      <c r="Q763" s="22"/>
      <c r="R763" s="21"/>
      <c r="S763" s="21"/>
      <c r="T763" s="21"/>
      <c r="AA763"/>
      <c r="AH763" t="str">
        <f t="shared" si="120"/>
        <v>k yet</v>
      </c>
    </row>
    <row r="764" spans="1:39">
      <c r="A764" s="42" t="s">
        <v>252</v>
      </c>
      <c r="B764" s="1" t="s">
        <v>20</v>
      </c>
      <c r="C764" s="40" t="str">
        <f t="shared" si="117"/>
        <v>07-&gt;</v>
      </c>
      <c r="D764" s="40" t="str">
        <f t="shared" si="118"/>
        <v xml:space="preserve">No pick yet                                                 </v>
      </c>
      <c r="E764" s="52">
        <f t="shared" si="119"/>
        <v>0</v>
      </c>
      <c r="F764" s="18"/>
      <c r="M764" s="18"/>
      <c r="N764" s="18"/>
      <c r="O764" s="18"/>
      <c r="P764" s="18"/>
      <c r="Q764" s="22"/>
      <c r="R764" s="21"/>
      <c r="S764" s="21"/>
      <c r="T764" s="21"/>
      <c r="AA764"/>
      <c r="AH764" t="str">
        <f t="shared" si="120"/>
        <v>k yet</v>
      </c>
    </row>
    <row r="765" spans="1:39">
      <c r="A765" s="42" t="s">
        <v>253</v>
      </c>
      <c r="B765" s="1" t="s">
        <v>20</v>
      </c>
      <c r="C765" s="40" t="str">
        <f t="shared" si="117"/>
        <v>08-&gt;</v>
      </c>
      <c r="D765" s="40" t="str">
        <f t="shared" si="118"/>
        <v xml:space="preserve">No pick yet                                                 </v>
      </c>
      <c r="E765" s="52">
        <f t="shared" si="119"/>
        <v>0</v>
      </c>
      <c r="F765" s="18"/>
      <c r="M765" s="18"/>
      <c r="N765" s="18"/>
      <c r="O765" s="18"/>
      <c r="P765" s="18"/>
      <c r="Q765" s="22"/>
      <c r="R765" s="21"/>
      <c r="S765" s="21"/>
      <c r="T765" s="21"/>
      <c r="AA765"/>
      <c r="AH765" t="str">
        <f t="shared" si="120"/>
        <v>k yet</v>
      </c>
    </row>
    <row r="766" spans="1:39">
      <c r="A766" s="42" t="s">
        <v>254</v>
      </c>
      <c r="B766" s="1" t="s">
        <v>20</v>
      </c>
      <c r="C766" s="40" t="str">
        <f t="shared" si="117"/>
        <v>09-&gt;</v>
      </c>
      <c r="D766" s="40" t="str">
        <f t="shared" si="118"/>
        <v xml:space="preserve">No pick yet                                                 </v>
      </c>
      <c r="E766" s="52">
        <f t="shared" si="119"/>
        <v>0</v>
      </c>
      <c r="F766" s="18"/>
      <c r="M766" s="18"/>
      <c r="N766" s="18"/>
      <c r="O766" s="18"/>
      <c r="P766" s="18"/>
      <c r="Q766" s="22"/>
      <c r="R766" s="21"/>
      <c r="S766" s="21"/>
      <c r="T766" s="21"/>
      <c r="AA766"/>
      <c r="AH766" t="str">
        <f t="shared" si="120"/>
        <v>k yet</v>
      </c>
    </row>
    <row r="767" spans="1:39">
      <c r="A767" s="42" t="s">
        <v>255</v>
      </c>
      <c r="B767" s="1" t="s">
        <v>20</v>
      </c>
      <c r="C767" s="40" t="str">
        <f t="shared" si="117"/>
        <v>10-&gt;</v>
      </c>
      <c r="D767" s="40" t="str">
        <f t="shared" si="118"/>
        <v xml:space="preserve">No pick yet                                                 </v>
      </c>
      <c r="E767" s="52">
        <f t="shared" si="119"/>
        <v>0</v>
      </c>
      <c r="F767" s="22"/>
      <c r="M767" s="18"/>
      <c r="N767" s="18"/>
      <c r="O767" s="18"/>
      <c r="P767" s="18"/>
      <c r="Q767" s="22"/>
      <c r="R767" s="21"/>
      <c r="S767" s="21"/>
      <c r="T767" s="21"/>
      <c r="AA767"/>
      <c r="AH767" t="str">
        <f t="shared" si="120"/>
        <v>k yet</v>
      </c>
    </row>
    <row r="768" spans="1:39">
      <c r="A768" s="42" t="s">
        <v>256</v>
      </c>
      <c r="B768" s="1" t="s">
        <v>20</v>
      </c>
      <c r="C768" s="40" t="str">
        <f t="shared" si="117"/>
        <v>11-&gt;</v>
      </c>
      <c r="D768" s="40" t="str">
        <f t="shared" si="118"/>
        <v xml:space="preserve">No pick yet                                                 </v>
      </c>
      <c r="E768" s="52">
        <f t="shared" si="119"/>
        <v>0</v>
      </c>
      <c r="M768" s="18"/>
      <c r="N768" s="18"/>
      <c r="O768" s="18"/>
      <c r="P768" s="18"/>
      <c r="Q768" s="22"/>
      <c r="R768" s="21"/>
      <c r="S768" s="21"/>
      <c r="T768" s="21"/>
      <c r="AA768"/>
      <c r="AH768" t="str">
        <f t="shared" si="120"/>
        <v>k yet</v>
      </c>
    </row>
    <row r="769" spans="1:39">
      <c r="A769" s="42" t="s">
        <v>257</v>
      </c>
      <c r="B769" s="1" t="s">
        <v>20</v>
      </c>
      <c r="C769" s="40" t="str">
        <f t="shared" si="117"/>
        <v>12-&gt;</v>
      </c>
      <c r="D769" s="40" t="str">
        <f t="shared" si="118"/>
        <v xml:space="preserve">No pick yet                                                 </v>
      </c>
      <c r="E769" s="52">
        <f t="shared" si="119"/>
        <v>0</v>
      </c>
      <c r="M769" s="18"/>
      <c r="N769" s="18"/>
      <c r="O769" s="18"/>
      <c r="P769" s="18"/>
      <c r="Q769" s="22"/>
      <c r="R769" s="21"/>
      <c r="S769" s="21"/>
      <c r="T769" s="21"/>
      <c r="AA769"/>
      <c r="AH769" t="str">
        <f t="shared" si="120"/>
        <v>k yet</v>
      </c>
    </row>
    <row r="770" spans="1:39">
      <c r="A770" s="42" t="s">
        <v>258</v>
      </c>
      <c r="B770" s="1" t="s">
        <v>20</v>
      </c>
      <c r="C770" s="40" t="str">
        <f t="shared" si="117"/>
        <v>13-&gt;</v>
      </c>
      <c r="D770" s="40" t="str">
        <f t="shared" si="118"/>
        <v xml:space="preserve">No pick yet                                                 </v>
      </c>
      <c r="E770" s="52">
        <f t="shared" si="119"/>
        <v>0</v>
      </c>
      <c r="M770" s="18"/>
      <c r="N770" s="18"/>
      <c r="O770" s="18"/>
      <c r="P770" s="18"/>
      <c r="Q770" s="22"/>
      <c r="R770" s="21"/>
      <c r="S770" s="21"/>
      <c r="T770" s="21"/>
      <c r="AA770"/>
      <c r="AH770" t="str">
        <f t="shared" si="120"/>
        <v>k yet</v>
      </c>
    </row>
    <row r="771" spans="1:39">
      <c r="A771" s="42" t="s">
        <v>259</v>
      </c>
      <c r="B771" s="1" t="s">
        <v>20</v>
      </c>
      <c r="C771" s="40" t="str">
        <f t="shared" si="117"/>
        <v>14-&gt;</v>
      </c>
      <c r="D771" s="40" t="str">
        <f t="shared" si="118"/>
        <v xml:space="preserve">No pick yet                                                 </v>
      </c>
      <c r="E771" s="52">
        <f t="shared" si="119"/>
        <v>0</v>
      </c>
      <c r="M771" s="18"/>
      <c r="N771" s="18"/>
      <c r="O771" s="18"/>
      <c r="P771" s="18"/>
      <c r="Q771" s="22"/>
      <c r="R771" s="21"/>
      <c r="S771" s="21"/>
      <c r="T771" s="21"/>
      <c r="AA771"/>
      <c r="AH771" t="str">
        <f t="shared" si="120"/>
        <v>k yet</v>
      </c>
    </row>
    <row r="772" spans="1:39">
      <c r="A772" s="42" t="s">
        <v>260</v>
      </c>
      <c r="B772" s="1" t="s">
        <v>20</v>
      </c>
      <c r="C772" s="40" t="str">
        <f t="shared" si="117"/>
        <v>15-&gt;</v>
      </c>
      <c r="D772" s="40" t="str">
        <f t="shared" si="118"/>
        <v xml:space="preserve">No pick yet                                                 </v>
      </c>
      <c r="E772" s="52">
        <f t="shared" si="119"/>
        <v>0</v>
      </c>
      <c r="M772" s="18"/>
      <c r="N772" s="18"/>
      <c r="O772" s="18"/>
      <c r="P772" s="18"/>
      <c r="Q772" s="22"/>
      <c r="R772" s="21"/>
      <c r="S772" s="21"/>
      <c r="T772" s="21"/>
      <c r="AA772"/>
      <c r="AH772" t="str">
        <f t="shared" si="120"/>
        <v>k yet</v>
      </c>
    </row>
    <row r="773" spans="1:39">
      <c r="A773" s="42" t="s">
        <v>261</v>
      </c>
      <c r="B773" s="1" t="s">
        <v>20</v>
      </c>
      <c r="C773" s="40" t="str">
        <f t="shared" si="117"/>
        <v>16-&gt;</v>
      </c>
      <c r="D773" s="40" t="str">
        <f t="shared" si="118"/>
        <v xml:space="preserve">No pick yet                                                 </v>
      </c>
      <c r="E773" s="52">
        <f t="shared" si="119"/>
        <v>0</v>
      </c>
      <c r="G773" s="22"/>
      <c r="I773" s="22"/>
      <c r="J773" s="22"/>
      <c r="M773" s="18"/>
      <c r="N773" s="18"/>
      <c r="O773" s="18"/>
      <c r="P773" s="18"/>
      <c r="Q773" s="22"/>
      <c r="R773" s="21"/>
      <c r="S773" s="21"/>
      <c r="T773" s="21"/>
      <c r="AA773"/>
      <c r="AH773" t="str">
        <f t="shared" si="120"/>
        <v>k yet</v>
      </c>
    </row>
    <row r="774" spans="1:39">
      <c r="A774" s="42" t="s">
        <v>262</v>
      </c>
      <c r="B774" s="1" t="s">
        <v>20</v>
      </c>
      <c r="C774" s="40" t="str">
        <f t="shared" si="117"/>
        <v>17-&gt;</v>
      </c>
      <c r="D774" s="40" t="str">
        <f t="shared" si="118"/>
        <v xml:space="preserve">No pick yet                                                 </v>
      </c>
      <c r="E774" s="52">
        <f t="shared" si="119"/>
        <v>0</v>
      </c>
      <c r="H774" s="21"/>
      <c r="I774" s="22"/>
      <c r="J774" s="22"/>
      <c r="K774" s="22"/>
      <c r="N774" s="22"/>
      <c r="O774" s="22"/>
      <c r="P774" s="22"/>
      <c r="Q774" s="22"/>
      <c r="R774" s="22"/>
      <c r="S774" s="22"/>
      <c r="Z774" s="53"/>
      <c r="AA774"/>
      <c r="AH774" t="str">
        <f t="shared" si="120"/>
        <v>k yet</v>
      </c>
    </row>
    <row r="775" spans="1:39">
      <c r="A775" s="42" t="s">
        <v>263</v>
      </c>
      <c r="B775" s="1" t="s">
        <v>20</v>
      </c>
      <c r="C775" s="40" t="str">
        <f t="shared" si="117"/>
        <v>18-&gt;</v>
      </c>
      <c r="D775" s="40" t="str">
        <f t="shared" si="118"/>
        <v xml:space="preserve">No pick yet                                                 </v>
      </c>
      <c r="E775" s="52">
        <f t="shared" si="119"/>
        <v>0</v>
      </c>
      <c r="F775" s="18"/>
      <c r="L775" s="21"/>
      <c r="N775" s="22"/>
      <c r="O775" s="22"/>
      <c r="P775" s="18"/>
      <c r="Q775" s="22"/>
      <c r="R775" s="22"/>
      <c r="S775" s="22"/>
      <c r="Z775" s="53"/>
      <c r="AA775"/>
      <c r="AH775" t="str">
        <f t="shared" si="120"/>
        <v>k yet</v>
      </c>
    </row>
    <row r="776" spans="1:39">
      <c r="A776" s="42" t="s">
        <v>264</v>
      </c>
      <c r="B776" s="1" t="s">
        <v>20</v>
      </c>
      <c r="C776" s="40" t="str">
        <f t="shared" si="117"/>
        <v>19-&gt;</v>
      </c>
      <c r="D776" s="40" t="str">
        <f t="shared" si="118"/>
        <v xml:space="preserve">No pick yet                                                 </v>
      </c>
      <c r="E776" s="52">
        <f t="shared" si="119"/>
        <v>0</v>
      </c>
      <c r="F776" s="18"/>
      <c r="M776" s="18"/>
      <c r="N776" s="18"/>
      <c r="O776" s="18"/>
      <c r="P776" s="18"/>
      <c r="Q776" s="22"/>
      <c r="R776" s="21"/>
      <c r="S776" s="21"/>
      <c r="T776" s="21"/>
      <c r="AA776"/>
      <c r="AH776" t="str">
        <f t="shared" si="120"/>
        <v>k yet</v>
      </c>
    </row>
    <row r="777" spans="1:39">
      <c r="A777" s="42" t="s">
        <v>265</v>
      </c>
      <c r="B777" s="1" t="s">
        <v>20</v>
      </c>
      <c r="C777" s="40" t="str">
        <f t="shared" si="117"/>
        <v>20-&gt;</v>
      </c>
      <c r="D777" s="40" t="str">
        <f t="shared" si="118"/>
        <v xml:space="preserve">No pick yet                                                 </v>
      </c>
      <c r="E777" s="52">
        <f t="shared" si="119"/>
        <v>0</v>
      </c>
      <c r="F777" s="18"/>
      <c r="M777" s="18"/>
      <c r="N777" s="18"/>
      <c r="O777" s="18"/>
      <c r="P777" s="18"/>
      <c r="Q777" s="22"/>
      <c r="R777" s="21"/>
      <c r="S777" s="21"/>
      <c r="T777" s="21"/>
      <c r="AA777"/>
      <c r="AH777" t="str">
        <f t="shared" si="120"/>
        <v>k yet</v>
      </c>
    </row>
    <row r="778" spans="1:39">
      <c r="A778" s="42" t="s">
        <v>266</v>
      </c>
      <c r="B778" s="1" t="s">
        <v>20</v>
      </c>
      <c r="C778" s="40" t="str">
        <f t="shared" si="117"/>
        <v>21-&gt;</v>
      </c>
      <c r="D778" s="40" t="str">
        <f t="shared" si="118"/>
        <v xml:space="preserve">No pick yet                                                 </v>
      </c>
      <c r="E778" s="52">
        <f t="shared" si="119"/>
        <v>0</v>
      </c>
      <c r="F778" s="18"/>
      <c r="M778" s="18"/>
      <c r="N778" s="18"/>
      <c r="O778" s="18"/>
      <c r="P778" s="18"/>
      <c r="Q778" s="22"/>
      <c r="R778" s="21"/>
      <c r="S778" s="21"/>
      <c r="T778" s="21"/>
      <c r="AA778"/>
      <c r="AH778" t="str">
        <f t="shared" si="120"/>
        <v>k yet</v>
      </c>
    </row>
    <row r="779" spans="1:39">
      <c r="A779" s="42" t="s">
        <v>267</v>
      </c>
      <c r="B779" s="1" t="s">
        <v>20</v>
      </c>
      <c r="C779" s="40" t="str">
        <f t="shared" si="117"/>
        <v>22-&gt;</v>
      </c>
      <c r="D779" s="40" t="str">
        <f t="shared" si="118"/>
        <v xml:space="preserve">No pick yet                                                 </v>
      </c>
      <c r="E779" s="52">
        <f t="shared" si="119"/>
        <v>0</v>
      </c>
      <c r="F779" s="18"/>
      <c r="M779" s="18"/>
      <c r="N779" s="18"/>
      <c r="O779" s="18"/>
      <c r="P779" s="18"/>
      <c r="Q779" s="22"/>
      <c r="R779" s="21"/>
      <c r="S779" s="21"/>
      <c r="T779" s="21"/>
      <c r="AA779"/>
      <c r="AH779" t="str">
        <f t="shared" si="120"/>
        <v>k yet</v>
      </c>
    </row>
    <row r="780" spans="1:39">
      <c r="A780" s="42" t="s">
        <v>268</v>
      </c>
      <c r="B780" s="1" t="s">
        <v>20</v>
      </c>
      <c r="C780" s="40" t="str">
        <f t="shared" si="117"/>
        <v>23-&gt;</v>
      </c>
      <c r="D780" s="40" t="str">
        <f t="shared" si="118"/>
        <v xml:space="preserve">No pick yet                                                 </v>
      </c>
      <c r="E780" s="52">
        <f t="shared" si="119"/>
        <v>0</v>
      </c>
      <c r="F780" s="18"/>
      <c r="M780" s="18"/>
      <c r="N780" s="18"/>
      <c r="O780" s="18"/>
      <c r="P780" s="18"/>
      <c r="Q780" s="22"/>
      <c r="R780" s="21"/>
      <c r="S780" s="21"/>
      <c r="T780" s="21"/>
      <c r="AA780"/>
      <c r="AH780" t="str">
        <f t="shared" si="120"/>
        <v>k yet</v>
      </c>
    </row>
    <row r="781" spans="1:39">
      <c r="A781" s="42" t="s">
        <v>269</v>
      </c>
      <c r="B781" s="1" t="s">
        <v>20</v>
      </c>
      <c r="C781" s="40" t="str">
        <f t="shared" si="117"/>
        <v>24-&gt;</v>
      </c>
      <c r="D781" s="40" t="str">
        <f t="shared" si="118"/>
        <v xml:space="preserve">No pick yet                                                 </v>
      </c>
      <c r="E781" s="52">
        <f t="shared" si="119"/>
        <v>0</v>
      </c>
      <c r="F781" s="18"/>
      <c r="M781" s="18"/>
      <c r="N781" s="18"/>
      <c r="O781" s="18"/>
      <c r="P781" s="18"/>
      <c r="Q781" s="22"/>
      <c r="R781" s="21"/>
      <c r="S781" s="21"/>
      <c r="T781" s="21"/>
      <c r="AA781"/>
      <c r="AH781" t="str">
        <f t="shared" si="120"/>
        <v>k yet</v>
      </c>
    </row>
    <row r="782" spans="1:39">
      <c r="A782" s="42" t="s">
        <v>270</v>
      </c>
      <c r="B782" s="1" t="s">
        <v>20</v>
      </c>
      <c r="C782" s="40" t="str">
        <f t="shared" si="117"/>
        <v>25-&gt;</v>
      </c>
      <c r="D782" s="40" t="str">
        <f t="shared" si="118"/>
        <v xml:space="preserve">No pick yet                                                 </v>
      </c>
      <c r="E782" s="52">
        <f t="shared" si="119"/>
        <v>0</v>
      </c>
      <c r="F782" s="18"/>
      <c r="M782" s="18"/>
      <c r="N782" s="18"/>
      <c r="O782" s="18"/>
      <c r="P782" s="18"/>
      <c r="Q782" s="22"/>
      <c r="R782" s="21"/>
      <c r="S782" s="21"/>
      <c r="T782" s="21"/>
      <c r="AA782"/>
      <c r="AH782" t="str">
        <f t="shared" si="120"/>
        <v>k yet</v>
      </c>
    </row>
    <row r="783" spans="1:39">
      <c r="A783" s="42" t="s">
        <v>271</v>
      </c>
      <c r="B783" s="1" t="s">
        <v>20</v>
      </c>
      <c r="C783" s="40" t="str">
        <f t="shared" si="117"/>
        <v>26-&gt;</v>
      </c>
      <c r="D783" s="40" t="str">
        <f t="shared" si="118"/>
        <v xml:space="preserve">No pick yet                                                 </v>
      </c>
      <c r="E783" s="52">
        <f t="shared" si="119"/>
        <v>0</v>
      </c>
      <c r="F783" s="18"/>
      <c r="M783" s="18"/>
      <c r="N783" s="18"/>
      <c r="O783" s="18"/>
      <c r="P783" s="18"/>
      <c r="Q783" s="22"/>
      <c r="R783" s="21"/>
      <c r="S783" s="21"/>
      <c r="T783" s="21"/>
      <c r="AA783"/>
      <c r="AH783" t="str">
        <f t="shared" si="120"/>
        <v>k yet</v>
      </c>
    </row>
    <row r="784" spans="1:39">
      <c r="A784" s="38"/>
      <c r="B784" s="40"/>
      <c r="C784" s="40"/>
      <c r="D784" s="49"/>
      <c r="E784" s="41" t="s">
        <v>69</v>
      </c>
      <c r="F784" s="18"/>
      <c r="K784" s="22" t="s">
        <v>73</v>
      </c>
      <c r="L784" s="18" t="s">
        <v>74</v>
      </c>
      <c r="M784" s="22" t="s">
        <v>78</v>
      </c>
      <c r="N784" s="22" t="s">
        <v>79</v>
      </c>
      <c r="O784" s="22" t="s">
        <v>80</v>
      </c>
      <c r="P784" s="22" t="s">
        <v>81</v>
      </c>
      <c r="Q784" s="22" t="s">
        <v>82</v>
      </c>
      <c r="R784" s="22" t="s">
        <v>83</v>
      </c>
      <c r="S784" s="22" t="s">
        <v>84</v>
      </c>
      <c r="T784" s="18" t="s">
        <v>85</v>
      </c>
      <c r="U784" s="18" t="s">
        <v>86</v>
      </c>
      <c r="V784" s="18" t="s">
        <v>87</v>
      </c>
      <c r="W784" s="18" t="s">
        <v>88</v>
      </c>
      <c r="X784" s="18" t="s">
        <v>89</v>
      </c>
      <c r="Y784" s="18" t="s">
        <v>90</v>
      </c>
      <c r="Z784" s="18" t="s">
        <v>91</v>
      </c>
      <c r="AA784" s="18" t="s">
        <v>92</v>
      </c>
      <c r="AB784" s="18" t="s">
        <v>93</v>
      </c>
      <c r="AC784" s="18" t="s">
        <v>94</v>
      </c>
      <c r="AD784" s="18" t="s">
        <v>235</v>
      </c>
      <c r="AE784" s="18" t="s">
        <v>236</v>
      </c>
      <c r="AF784" s="18" t="s">
        <v>237</v>
      </c>
      <c r="AG784" s="18" t="s">
        <v>238</v>
      </c>
      <c r="AH784" s="18" t="s">
        <v>239</v>
      </c>
      <c r="AI784" s="18" t="s">
        <v>240</v>
      </c>
      <c r="AJ784" s="18" t="s">
        <v>241</v>
      </c>
      <c r="AK784" s="18" t="s">
        <v>242</v>
      </c>
      <c r="AL784" s="18" t="s">
        <v>243</v>
      </c>
      <c r="AM784" s="50" t="s">
        <v>244</v>
      </c>
    </row>
    <row r="785" spans="1:39">
      <c r="A785" s="40" t="s">
        <v>245</v>
      </c>
      <c r="B785" s="51" t="str">
        <f>D27</f>
        <v/>
      </c>
      <c r="C785" s="40" t="str">
        <f t="shared" ref="C785:C811" si="121">A785</f>
        <v>#</v>
      </c>
      <c r="D785" s="40" t="str">
        <f>"   "&amp;B785&amp;REPT(" ",$AH$70-LEN(B785)-3)</f>
        <v xml:space="preserve">                                                            </v>
      </c>
      <c r="E785" s="38" t="str">
        <f>SUM(E786:E811)&amp;" pts[/b]"</f>
        <v>0 pts[/b]</v>
      </c>
      <c r="F785" s="21">
        <f>SUM(E786:E811)</f>
        <v>0</v>
      </c>
      <c r="K785" s="18">
        <f>COUNTIF(E786:E811,"&gt;0")</f>
        <v>0</v>
      </c>
      <c r="L785" s="21">
        <f>AM785-K785</f>
        <v>0</v>
      </c>
      <c r="M785" s="22">
        <f>MAX(E786:E811)</f>
        <v>0</v>
      </c>
      <c r="N785" s="22">
        <f>LARGE(E786:E811,2)</f>
        <v>0</v>
      </c>
      <c r="O785" s="22">
        <f>LARGE(E786:E811,3)</f>
        <v>0</v>
      </c>
      <c r="P785" s="18">
        <f>LARGE(E786:E811,4)</f>
        <v>0</v>
      </c>
      <c r="Q785" s="22">
        <f>LARGE(E786:E811,5)</f>
        <v>0</v>
      </c>
      <c r="R785" s="22">
        <f>LARGE(E786:E811,6)</f>
        <v>0</v>
      </c>
      <c r="S785" s="22">
        <f>LARGE(E786:E811,7)</f>
        <v>0</v>
      </c>
      <c r="T785" s="18">
        <f>LARGE(E786:E811,8)</f>
        <v>0</v>
      </c>
      <c r="U785" s="18">
        <f>LARGE(E786:E811,9)</f>
        <v>0</v>
      </c>
      <c r="V785" s="18">
        <f>LARGE(E786:E811,10)</f>
        <v>0</v>
      </c>
      <c r="W785" s="18">
        <f>LARGE(E786:E811,11)</f>
        <v>0</v>
      </c>
      <c r="X785" s="18">
        <f>LARGE(E786:E811,12)</f>
        <v>0</v>
      </c>
      <c r="Y785" s="18">
        <f>LARGE(E786:E811,13)</f>
        <v>0</v>
      </c>
      <c r="Z785" s="18">
        <f>LARGE(E786:E811,14)</f>
        <v>0</v>
      </c>
      <c r="AA785" s="18">
        <f>LARGE(E786:E811,15)</f>
        <v>0</v>
      </c>
      <c r="AB785" s="18">
        <f>LARGE(E786:E811,16)</f>
        <v>0</v>
      </c>
      <c r="AC785" s="18">
        <f>LARGE(E786:E811,17)</f>
        <v>0</v>
      </c>
      <c r="AD785" s="18">
        <f>LARGE(E786:E812,13)</f>
        <v>0</v>
      </c>
      <c r="AE785" s="18">
        <f>LARGE(E786:E811,19)</f>
        <v>0</v>
      </c>
      <c r="AF785" s="18">
        <f>LARGE(E786:E811,20)</f>
        <v>0</v>
      </c>
      <c r="AG785" s="18">
        <f>LARGE(E786:E811,21)</f>
        <v>0</v>
      </c>
      <c r="AH785" s="18">
        <f>LARGE(E786:E811,22)</f>
        <v>0</v>
      </c>
      <c r="AI785" s="18">
        <f>LARGE(E786:E811,23)</f>
        <v>0</v>
      </c>
      <c r="AJ785" s="18">
        <f>LARGE(E786:E811,24)</f>
        <v>0</v>
      </c>
      <c r="AK785" s="18">
        <f>LARGE(E786:E811,25)</f>
        <v>0</v>
      </c>
      <c r="AL785" s="18">
        <f>LARGE(E786:E811,26)</f>
        <v>0</v>
      </c>
      <c r="AM785" s="50">
        <f>COUNTIF(AH786:AH811,"&lt;&gt;"&amp;AH76)-(26-COUNTIF(E786:E811,"&gt;=0"))</f>
        <v>0</v>
      </c>
    </row>
    <row r="786" spans="1:39">
      <c r="A786" s="42" t="s">
        <v>246</v>
      </c>
      <c r="B786" s="1" t="s">
        <v>20</v>
      </c>
      <c r="C786" s="40" t="str">
        <f t="shared" si="121"/>
        <v>01-&gt;</v>
      </c>
      <c r="D786" s="40" t="str">
        <f t="shared" ref="D786:D811" si="122">B786&amp;REPT(" ",$AH$70-LEN(B786))</f>
        <v xml:space="preserve">No pick yet                                                 </v>
      </c>
      <c r="E786" s="52">
        <f t="shared" ref="E786:E811" si="123">VLOOKUP(RIGHT(B786,LEN(B786)-$AH$66),$H$138:$I$420,2,0)</f>
        <v>0</v>
      </c>
      <c r="F786" s="18"/>
      <c r="M786" s="18"/>
      <c r="N786" s="18"/>
      <c r="O786" s="18"/>
      <c r="P786" s="18"/>
      <c r="Q786" s="22"/>
      <c r="R786" s="21"/>
      <c r="S786" s="21"/>
      <c r="T786" s="21"/>
      <c r="AA786"/>
      <c r="AH786" t="str">
        <f t="shared" ref="AH786:AH811" si="124">RIGHT(B786,LEN(B786)-$AH$66)</f>
        <v>k yet</v>
      </c>
    </row>
    <row r="787" spans="1:39">
      <c r="A787" s="42" t="s">
        <v>247</v>
      </c>
      <c r="B787" s="1" t="s">
        <v>20</v>
      </c>
      <c r="C787" s="40" t="str">
        <f t="shared" si="121"/>
        <v>02-&gt;</v>
      </c>
      <c r="D787" s="40" t="str">
        <f t="shared" si="122"/>
        <v xml:space="preserve">No pick yet                                                 </v>
      </c>
      <c r="E787" s="52">
        <f t="shared" si="123"/>
        <v>0</v>
      </c>
      <c r="F787" s="18"/>
      <c r="K787" s="22"/>
      <c r="N787" s="22"/>
      <c r="O787" s="22"/>
      <c r="P787" s="22"/>
      <c r="Q787" s="22"/>
      <c r="R787" s="22"/>
      <c r="S787" s="22"/>
      <c r="Z787" s="53"/>
      <c r="AA787"/>
      <c r="AH787" t="str">
        <f t="shared" si="124"/>
        <v>k yet</v>
      </c>
    </row>
    <row r="788" spans="1:39">
      <c r="A788" s="42" t="s">
        <v>248</v>
      </c>
      <c r="B788" s="1" t="s">
        <v>20</v>
      </c>
      <c r="C788" s="40" t="str">
        <f t="shared" si="121"/>
        <v>03-&gt;</v>
      </c>
      <c r="D788" s="40" t="str">
        <f t="shared" si="122"/>
        <v xml:space="preserve">No pick yet                                                 </v>
      </c>
      <c r="E788" s="52">
        <f t="shared" si="123"/>
        <v>0</v>
      </c>
      <c r="F788" s="18"/>
      <c r="G788" s="22"/>
      <c r="I788" s="22"/>
      <c r="J788" s="22"/>
      <c r="L788" s="21"/>
      <c r="N788" s="22"/>
      <c r="O788" s="22"/>
      <c r="P788" s="18"/>
      <c r="Q788" s="22"/>
      <c r="R788" s="22"/>
      <c r="S788" s="22"/>
      <c r="Z788" s="53"/>
      <c r="AA788"/>
      <c r="AH788" t="str">
        <f t="shared" si="124"/>
        <v>k yet</v>
      </c>
    </row>
    <row r="789" spans="1:39">
      <c r="A789" s="42" t="s">
        <v>249</v>
      </c>
      <c r="B789" s="1" t="s">
        <v>20</v>
      </c>
      <c r="C789" s="40" t="str">
        <f t="shared" si="121"/>
        <v>04-&gt;</v>
      </c>
      <c r="D789" s="40" t="str">
        <f t="shared" si="122"/>
        <v xml:space="preserve">No pick yet                                                 </v>
      </c>
      <c r="E789" s="52">
        <f t="shared" si="123"/>
        <v>0</v>
      </c>
      <c r="F789" s="18"/>
      <c r="H789" s="21"/>
      <c r="I789" s="22"/>
      <c r="J789" s="22"/>
      <c r="M789" s="18"/>
      <c r="N789" s="18"/>
      <c r="O789" s="18"/>
      <c r="P789" s="18"/>
      <c r="Q789" s="22"/>
      <c r="R789" s="21"/>
      <c r="S789" s="21"/>
      <c r="T789" s="21"/>
      <c r="AA789"/>
      <c r="AH789" t="str">
        <f t="shared" si="124"/>
        <v>k yet</v>
      </c>
    </row>
    <row r="790" spans="1:39">
      <c r="A790" s="42" t="s">
        <v>250</v>
      </c>
      <c r="B790" s="1" t="s">
        <v>20</v>
      </c>
      <c r="C790" s="40" t="str">
        <f t="shared" si="121"/>
        <v>05-&gt;</v>
      </c>
      <c r="D790" s="40" t="str">
        <f t="shared" si="122"/>
        <v xml:space="preserve">No pick yet                                                 </v>
      </c>
      <c r="E790" s="52">
        <f t="shared" si="123"/>
        <v>0</v>
      </c>
      <c r="F790" s="18"/>
      <c r="M790" s="18"/>
      <c r="N790" s="18"/>
      <c r="O790" s="18"/>
      <c r="P790" s="18"/>
      <c r="Q790" s="22"/>
      <c r="R790" s="21"/>
      <c r="S790" s="21"/>
      <c r="T790" s="21"/>
      <c r="AA790"/>
      <c r="AH790" t="str">
        <f t="shared" si="124"/>
        <v>k yet</v>
      </c>
    </row>
    <row r="791" spans="1:39">
      <c r="A791" s="42" t="s">
        <v>251</v>
      </c>
      <c r="B791" s="1" t="s">
        <v>20</v>
      </c>
      <c r="C791" s="40" t="str">
        <f t="shared" si="121"/>
        <v>06-&gt;</v>
      </c>
      <c r="D791" s="40" t="str">
        <f t="shared" si="122"/>
        <v xml:space="preserve">No pick yet                                                 </v>
      </c>
      <c r="E791" s="52">
        <f t="shared" si="123"/>
        <v>0</v>
      </c>
      <c r="F791" s="18"/>
      <c r="M791" s="18"/>
      <c r="N791" s="18"/>
      <c r="O791" s="18"/>
      <c r="P791" s="18"/>
      <c r="Q791" s="22"/>
      <c r="R791" s="21"/>
      <c r="S791" s="21"/>
      <c r="T791" s="21"/>
      <c r="AA791"/>
      <c r="AH791" t="str">
        <f t="shared" si="124"/>
        <v>k yet</v>
      </c>
    </row>
    <row r="792" spans="1:39">
      <c r="A792" s="42" t="s">
        <v>252</v>
      </c>
      <c r="B792" s="1" t="s">
        <v>20</v>
      </c>
      <c r="C792" s="40" t="str">
        <f t="shared" si="121"/>
        <v>07-&gt;</v>
      </c>
      <c r="D792" s="40" t="str">
        <f t="shared" si="122"/>
        <v xml:space="preserve">No pick yet                                                 </v>
      </c>
      <c r="E792" s="52">
        <f t="shared" si="123"/>
        <v>0</v>
      </c>
      <c r="F792" s="18"/>
      <c r="M792" s="18"/>
      <c r="N792" s="18"/>
      <c r="O792" s="18"/>
      <c r="P792" s="18"/>
      <c r="Q792" s="22"/>
      <c r="R792" s="21"/>
      <c r="S792" s="21"/>
      <c r="T792" s="21"/>
      <c r="AA792"/>
      <c r="AH792" t="str">
        <f t="shared" si="124"/>
        <v>k yet</v>
      </c>
    </row>
    <row r="793" spans="1:39">
      <c r="A793" s="42" t="s">
        <v>253</v>
      </c>
      <c r="B793" s="1" t="s">
        <v>20</v>
      </c>
      <c r="C793" s="40" t="str">
        <f t="shared" si="121"/>
        <v>08-&gt;</v>
      </c>
      <c r="D793" s="40" t="str">
        <f t="shared" si="122"/>
        <v xml:space="preserve">No pick yet                                                 </v>
      </c>
      <c r="E793" s="52">
        <f t="shared" si="123"/>
        <v>0</v>
      </c>
      <c r="F793" s="18"/>
      <c r="M793" s="18"/>
      <c r="N793" s="18"/>
      <c r="O793" s="18"/>
      <c r="P793" s="18"/>
      <c r="Q793" s="22"/>
      <c r="R793" s="21"/>
      <c r="S793" s="21"/>
      <c r="T793" s="21"/>
      <c r="AA793"/>
      <c r="AH793" t="str">
        <f t="shared" si="124"/>
        <v>k yet</v>
      </c>
    </row>
    <row r="794" spans="1:39">
      <c r="A794" s="42" t="s">
        <v>254</v>
      </c>
      <c r="B794" s="1" t="s">
        <v>20</v>
      </c>
      <c r="C794" s="40" t="str">
        <f t="shared" si="121"/>
        <v>09-&gt;</v>
      </c>
      <c r="D794" s="40" t="str">
        <f t="shared" si="122"/>
        <v xml:space="preserve">No pick yet                                                 </v>
      </c>
      <c r="E794" s="52">
        <f t="shared" si="123"/>
        <v>0</v>
      </c>
      <c r="F794" s="18"/>
      <c r="M794" s="18"/>
      <c r="N794" s="18"/>
      <c r="O794" s="18"/>
      <c r="P794" s="18"/>
      <c r="Q794" s="22"/>
      <c r="R794" s="21"/>
      <c r="S794" s="21"/>
      <c r="T794" s="21"/>
      <c r="AA794"/>
      <c r="AH794" t="str">
        <f t="shared" si="124"/>
        <v>k yet</v>
      </c>
    </row>
    <row r="795" spans="1:39">
      <c r="A795" s="42" t="s">
        <v>255</v>
      </c>
      <c r="B795" s="1" t="s">
        <v>20</v>
      </c>
      <c r="C795" s="40" t="str">
        <f t="shared" si="121"/>
        <v>10-&gt;</v>
      </c>
      <c r="D795" s="40" t="str">
        <f t="shared" si="122"/>
        <v xml:space="preserve">No pick yet                                                 </v>
      </c>
      <c r="E795" s="52">
        <f t="shared" si="123"/>
        <v>0</v>
      </c>
      <c r="F795" s="22"/>
      <c r="M795" s="18"/>
      <c r="N795" s="18"/>
      <c r="O795" s="18"/>
      <c r="P795" s="18"/>
      <c r="Q795" s="22"/>
      <c r="R795" s="21"/>
      <c r="S795" s="21"/>
      <c r="T795" s="21"/>
      <c r="AA795"/>
      <c r="AH795" t="str">
        <f t="shared" si="124"/>
        <v>k yet</v>
      </c>
    </row>
    <row r="796" spans="1:39">
      <c r="A796" s="42" t="s">
        <v>256</v>
      </c>
      <c r="B796" s="1" t="s">
        <v>20</v>
      </c>
      <c r="C796" s="40" t="str">
        <f t="shared" si="121"/>
        <v>11-&gt;</v>
      </c>
      <c r="D796" s="40" t="str">
        <f t="shared" si="122"/>
        <v xml:space="preserve">No pick yet                                                 </v>
      </c>
      <c r="E796" s="52">
        <f t="shared" si="123"/>
        <v>0</v>
      </c>
      <c r="M796" s="18"/>
      <c r="N796" s="18"/>
      <c r="O796" s="18"/>
      <c r="P796" s="18"/>
      <c r="Q796" s="22"/>
      <c r="R796" s="21"/>
      <c r="S796" s="21"/>
      <c r="T796" s="21"/>
      <c r="AA796"/>
      <c r="AH796" t="str">
        <f t="shared" si="124"/>
        <v>k yet</v>
      </c>
    </row>
    <row r="797" spans="1:39">
      <c r="A797" s="42" t="s">
        <v>257</v>
      </c>
      <c r="B797" s="1" t="s">
        <v>20</v>
      </c>
      <c r="C797" s="40" t="str">
        <f t="shared" si="121"/>
        <v>12-&gt;</v>
      </c>
      <c r="D797" s="40" t="str">
        <f t="shared" si="122"/>
        <v xml:space="preserve">No pick yet                                                 </v>
      </c>
      <c r="E797" s="52">
        <f t="shared" si="123"/>
        <v>0</v>
      </c>
      <c r="M797" s="18"/>
      <c r="N797" s="18"/>
      <c r="O797" s="18"/>
      <c r="P797" s="18"/>
      <c r="Q797" s="22"/>
      <c r="R797" s="21"/>
      <c r="S797" s="21"/>
      <c r="T797" s="21"/>
      <c r="AA797"/>
      <c r="AH797" t="str">
        <f t="shared" si="124"/>
        <v>k yet</v>
      </c>
    </row>
    <row r="798" spans="1:39">
      <c r="A798" s="42" t="s">
        <v>258</v>
      </c>
      <c r="B798" s="1" t="s">
        <v>20</v>
      </c>
      <c r="C798" s="40" t="str">
        <f t="shared" si="121"/>
        <v>13-&gt;</v>
      </c>
      <c r="D798" s="40" t="str">
        <f t="shared" si="122"/>
        <v xml:space="preserve">No pick yet                                                 </v>
      </c>
      <c r="E798" s="52">
        <f t="shared" si="123"/>
        <v>0</v>
      </c>
      <c r="M798" s="18"/>
      <c r="N798" s="18"/>
      <c r="O798" s="18"/>
      <c r="P798" s="18"/>
      <c r="Q798" s="22"/>
      <c r="R798" s="21"/>
      <c r="S798" s="21"/>
      <c r="T798" s="21"/>
      <c r="AA798"/>
      <c r="AH798" t="str">
        <f t="shared" si="124"/>
        <v>k yet</v>
      </c>
    </row>
    <row r="799" spans="1:39">
      <c r="A799" s="42" t="s">
        <v>259</v>
      </c>
      <c r="B799" s="1" t="s">
        <v>20</v>
      </c>
      <c r="C799" s="40" t="str">
        <f t="shared" si="121"/>
        <v>14-&gt;</v>
      </c>
      <c r="D799" s="40" t="str">
        <f t="shared" si="122"/>
        <v xml:space="preserve">No pick yet                                                 </v>
      </c>
      <c r="E799" s="52">
        <f t="shared" si="123"/>
        <v>0</v>
      </c>
      <c r="M799" s="18"/>
      <c r="N799" s="18"/>
      <c r="O799" s="18"/>
      <c r="P799" s="18"/>
      <c r="Q799" s="22"/>
      <c r="R799" s="21"/>
      <c r="S799" s="21"/>
      <c r="T799" s="21"/>
      <c r="AA799"/>
      <c r="AH799" t="str">
        <f t="shared" si="124"/>
        <v>k yet</v>
      </c>
    </row>
    <row r="800" spans="1:39">
      <c r="A800" s="42" t="s">
        <v>260</v>
      </c>
      <c r="B800" s="1" t="s">
        <v>20</v>
      </c>
      <c r="C800" s="40" t="str">
        <f t="shared" si="121"/>
        <v>15-&gt;</v>
      </c>
      <c r="D800" s="40" t="str">
        <f t="shared" si="122"/>
        <v xml:space="preserve">No pick yet                                                 </v>
      </c>
      <c r="E800" s="52">
        <f t="shared" si="123"/>
        <v>0</v>
      </c>
      <c r="M800" s="18"/>
      <c r="N800" s="18"/>
      <c r="O800" s="18"/>
      <c r="P800" s="18"/>
      <c r="Q800" s="22"/>
      <c r="R800" s="21"/>
      <c r="S800" s="21"/>
      <c r="T800" s="21"/>
      <c r="AA800"/>
      <c r="AH800" t="str">
        <f t="shared" si="124"/>
        <v>k yet</v>
      </c>
    </row>
    <row r="801" spans="1:39">
      <c r="A801" s="42" t="s">
        <v>261</v>
      </c>
      <c r="B801" s="1" t="s">
        <v>20</v>
      </c>
      <c r="C801" s="40" t="str">
        <f t="shared" si="121"/>
        <v>16-&gt;</v>
      </c>
      <c r="D801" s="40" t="str">
        <f t="shared" si="122"/>
        <v xml:space="preserve">No pick yet                                                 </v>
      </c>
      <c r="E801" s="52">
        <f t="shared" si="123"/>
        <v>0</v>
      </c>
      <c r="M801" s="18"/>
      <c r="N801" s="18"/>
      <c r="O801" s="18"/>
      <c r="P801" s="18"/>
      <c r="Q801" s="22"/>
      <c r="R801" s="21"/>
      <c r="S801" s="21"/>
      <c r="T801" s="21"/>
      <c r="AA801"/>
      <c r="AH801" t="str">
        <f t="shared" si="124"/>
        <v>k yet</v>
      </c>
    </row>
    <row r="802" spans="1:39">
      <c r="A802" s="42" t="s">
        <v>262</v>
      </c>
      <c r="B802" s="1" t="s">
        <v>20</v>
      </c>
      <c r="C802" s="40" t="str">
        <f t="shared" si="121"/>
        <v>17-&gt;</v>
      </c>
      <c r="D802" s="40" t="str">
        <f t="shared" si="122"/>
        <v xml:space="preserve">No pick yet                                                 </v>
      </c>
      <c r="E802" s="52">
        <f t="shared" si="123"/>
        <v>0</v>
      </c>
      <c r="K802" s="22"/>
      <c r="N802" s="22"/>
      <c r="O802" s="22"/>
      <c r="P802" s="22"/>
      <c r="Q802" s="22"/>
      <c r="R802" s="22"/>
      <c r="S802" s="22"/>
      <c r="Z802" s="53"/>
      <c r="AA802"/>
      <c r="AH802" t="str">
        <f t="shared" si="124"/>
        <v>k yet</v>
      </c>
    </row>
    <row r="803" spans="1:39">
      <c r="A803" s="42" t="s">
        <v>263</v>
      </c>
      <c r="B803" s="1" t="s">
        <v>20</v>
      </c>
      <c r="C803" s="40" t="str">
        <f t="shared" si="121"/>
        <v>18-&gt;</v>
      </c>
      <c r="D803" s="40" t="str">
        <f t="shared" si="122"/>
        <v xml:space="preserve">No pick yet                                                 </v>
      </c>
      <c r="E803" s="52">
        <f t="shared" si="123"/>
        <v>0</v>
      </c>
      <c r="F803" s="18"/>
      <c r="G803" s="22"/>
      <c r="I803" s="22"/>
      <c r="J803" s="22"/>
      <c r="L803" s="21"/>
      <c r="N803" s="22"/>
      <c r="O803" s="22"/>
      <c r="P803" s="18"/>
      <c r="Q803" s="22"/>
      <c r="R803" s="22"/>
      <c r="S803" s="22"/>
      <c r="Z803" s="53"/>
      <c r="AA803"/>
      <c r="AH803" t="str">
        <f t="shared" si="124"/>
        <v>k yet</v>
      </c>
    </row>
    <row r="804" spans="1:39">
      <c r="A804" s="42" t="s">
        <v>264</v>
      </c>
      <c r="B804" s="1" t="s">
        <v>20</v>
      </c>
      <c r="C804" s="40" t="str">
        <f t="shared" si="121"/>
        <v>19-&gt;</v>
      </c>
      <c r="D804" s="40" t="str">
        <f t="shared" si="122"/>
        <v xml:space="preserve">No pick yet                                                 </v>
      </c>
      <c r="E804" s="52">
        <f t="shared" si="123"/>
        <v>0</v>
      </c>
      <c r="F804" s="18"/>
      <c r="H804" s="21"/>
      <c r="I804" s="22"/>
      <c r="J804" s="22"/>
      <c r="M804" s="18"/>
      <c r="N804" s="18"/>
      <c r="O804" s="18"/>
      <c r="P804" s="18"/>
      <c r="Q804" s="22"/>
      <c r="R804" s="21"/>
      <c r="S804" s="21"/>
      <c r="T804" s="21"/>
      <c r="AA804"/>
      <c r="AH804" t="str">
        <f t="shared" si="124"/>
        <v>k yet</v>
      </c>
    </row>
    <row r="805" spans="1:39">
      <c r="A805" s="42" t="s">
        <v>265</v>
      </c>
      <c r="B805" s="1" t="s">
        <v>20</v>
      </c>
      <c r="C805" s="40" t="str">
        <f t="shared" si="121"/>
        <v>20-&gt;</v>
      </c>
      <c r="D805" s="40" t="str">
        <f t="shared" si="122"/>
        <v xml:space="preserve">No pick yet                                                 </v>
      </c>
      <c r="E805" s="52">
        <f t="shared" si="123"/>
        <v>0</v>
      </c>
      <c r="F805" s="18"/>
      <c r="M805" s="18"/>
      <c r="N805" s="18"/>
      <c r="O805" s="18"/>
      <c r="P805" s="18"/>
      <c r="Q805" s="22"/>
      <c r="R805" s="21"/>
      <c r="S805" s="21"/>
      <c r="T805" s="21"/>
      <c r="AA805"/>
      <c r="AH805" t="str">
        <f t="shared" si="124"/>
        <v>k yet</v>
      </c>
    </row>
    <row r="806" spans="1:39">
      <c r="A806" s="42" t="s">
        <v>266</v>
      </c>
      <c r="B806" s="1" t="s">
        <v>20</v>
      </c>
      <c r="C806" s="40" t="str">
        <f t="shared" si="121"/>
        <v>21-&gt;</v>
      </c>
      <c r="D806" s="40" t="str">
        <f t="shared" si="122"/>
        <v xml:space="preserve">No pick yet                                                 </v>
      </c>
      <c r="E806" s="52">
        <f t="shared" si="123"/>
        <v>0</v>
      </c>
      <c r="F806" s="18"/>
      <c r="M806" s="18"/>
      <c r="N806" s="18"/>
      <c r="O806" s="18"/>
      <c r="P806" s="18"/>
      <c r="Q806" s="22"/>
      <c r="R806" s="21"/>
      <c r="S806" s="21"/>
      <c r="T806" s="21"/>
      <c r="AA806"/>
      <c r="AH806" t="str">
        <f t="shared" si="124"/>
        <v>k yet</v>
      </c>
    </row>
    <row r="807" spans="1:39">
      <c r="A807" s="42" t="s">
        <v>267</v>
      </c>
      <c r="B807" s="1" t="s">
        <v>20</v>
      </c>
      <c r="C807" s="40" t="str">
        <f t="shared" si="121"/>
        <v>22-&gt;</v>
      </c>
      <c r="D807" s="40" t="str">
        <f t="shared" si="122"/>
        <v xml:space="preserve">No pick yet                                                 </v>
      </c>
      <c r="E807" s="52">
        <f t="shared" si="123"/>
        <v>0</v>
      </c>
      <c r="F807" s="18"/>
      <c r="M807" s="18"/>
      <c r="N807" s="18"/>
      <c r="O807" s="18"/>
      <c r="P807" s="18"/>
      <c r="Q807" s="22"/>
      <c r="R807" s="21"/>
      <c r="S807" s="21"/>
      <c r="T807" s="21"/>
      <c r="AA807"/>
      <c r="AH807" t="str">
        <f t="shared" si="124"/>
        <v>k yet</v>
      </c>
    </row>
    <row r="808" spans="1:39">
      <c r="A808" s="42" t="s">
        <v>268</v>
      </c>
      <c r="B808" s="1" t="s">
        <v>20</v>
      </c>
      <c r="C808" s="40" t="str">
        <f t="shared" si="121"/>
        <v>23-&gt;</v>
      </c>
      <c r="D808" s="40" t="str">
        <f t="shared" si="122"/>
        <v xml:space="preserve">No pick yet                                                 </v>
      </c>
      <c r="E808" s="52">
        <f t="shared" si="123"/>
        <v>0</v>
      </c>
      <c r="F808" s="18"/>
      <c r="M808" s="18"/>
      <c r="N808" s="18"/>
      <c r="O808" s="18"/>
      <c r="P808" s="18"/>
      <c r="Q808" s="22"/>
      <c r="R808" s="21"/>
      <c r="S808" s="21"/>
      <c r="T808" s="21"/>
      <c r="AA808"/>
      <c r="AH808" t="str">
        <f t="shared" si="124"/>
        <v>k yet</v>
      </c>
    </row>
    <row r="809" spans="1:39">
      <c r="A809" s="42" t="s">
        <v>269</v>
      </c>
      <c r="B809" s="1" t="s">
        <v>20</v>
      </c>
      <c r="C809" s="40" t="str">
        <f t="shared" si="121"/>
        <v>24-&gt;</v>
      </c>
      <c r="D809" s="40" t="str">
        <f t="shared" si="122"/>
        <v xml:space="preserve">No pick yet                                                 </v>
      </c>
      <c r="E809" s="52">
        <f t="shared" si="123"/>
        <v>0</v>
      </c>
      <c r="F809" s="18"/>
      <c r="M809" s="18"/>
      <c r="N809" s="18"/>
      <c r="O809" s="18"/>
      <c r="P809" s="18"/>
      <c r="Q809" s="22"/>
      <c r="R809" s="21"/>
      <c r="S809" s="21"/>
      <c r="T809" s="21"/>
      <c r="AA809"/>
      <c r="AH809" t="str">
        <f t="shared" si="124"/>
        <v>k yet</v>
      </c>
    </row>
    <row r="810" spans="1:39">
      <c r="A810" s="42" t="s">
        <v>270</v>
      </c>
      <c r="B810" s="1" t="s">
        <v>20</v>
      </c>
      <c r="C810" s="40" t="str">
        <f t="shared" si="121"/>
        <v>25-&gt;</v>
      </c>
      <c r="D810" s="40" t="str">
        <f t="shared" si="122"/>
        <v xml:space="preserve">No pick yet                                                 </v>
      </c>
      <c r="E810" s="52">
        <f t="shared" si="123"/>
        <v>0</v>
      </c>
      <c r="F810" s="18"/>
      <c r="M810" s="18"/>
      <c r="N810" s="18"/>
      <c r="O810" s="18"/>
      <c r="P810" s="18"/>
      <c r="Q810" s="22"/>
      <c r="R810" s="21"/>
      <c r="S810" s="21"/>
      <c r="T810" s="21"/>
      <c r="AA810"/>
      <c r="AH810" t="str">
        <f t="shared" si="124"/>
        <v>k yet</v>
      </c>
    </row>
    <row r="811" spans="1:39">
      <c r="A811" s="42" t="s">
        <v>271</v>
      </c>
      <c r="B811" s="1" t="s">
        <v>20</v>
      </c>
      <c r="C811" s="40" t="str">
        <f t="shared" si="121"/>
        <v>26-&gt;</v>
      </c>
      <c r="D811" s="40" t="str">
        <f t="shared" si="122"/>
        <v xml:space="preserve">No pick yet                                                 </v>
      </c>
      <c r="E811" s="52">
        <f t="shared" si="123"/>
        <v>0</v>
      </c>
      <c r="F811" s="18"/>
      <c r="M811" s="18"/>
      <c r="N811" s="18"/>
      <c r="O811" s="18"/>
      <c r="P811" s="18"/>
      <c r="Q811" s="22"/>
      <c r="R811" s="21"/>
      <c r="S811" s="21"/>
      <c r="T811" s="21"/>
      <c r="AA811"/>
      <c r="AH811" t="str">
        <f t="shared" si="124"/>
        <v>k yet</v>
      </c>
    </row>
    <row r="812" spans="1:39">
      <c r="A812" s="38"/>
      <c r="B812" s="40"/>
      <c r="C812" s="40"/>
      <c r="D812" s="49"/>
      <c r="E812" s="41" t="s">
        <v>69</v>
      </c>
      <c r="F812" s="18"/>
      <c r="K812" s="22" t="s">
        <v>73</v>
      </c>
      <c r="L812" s="18" t="s">
        <v>74</v>
      </c>
      <c r="M812" s="22" t="s">
        <v>78</v>
      </c>
      <c r="N812" s="22" t="s">
        <v>79</v>
      </c>
      <c r="O812" s="22" t="s">
        <v>80</v>
      </c>
      <c r="P812" s="22" t="s">
        <v>81</v>
      </c>
      <c r="Q812" s="22" t="s">
        <v>82</v>
      </c>
      <c r="R812" s="22" t="s">
        <v>83</v>
      </c>
      <c r="S812" s="22" t="s">
        <v>84</v>
      </c>
      <c r="T812" s="18" t="s">
        <v>85</v>
      </c>
      <c r="U812" s="18" t="s">
        <v>86</v>
      </c>
      <c r="V812" s="18" t="s">
        <v>87</v>
      </c>
      <c r="W812" s="18" t="s">
        <v>88</v>
      </c>
      <c r="X812" s="18" t="s">
        <v>89</v>
      </c>
      <c r="Y812" s="18" t="s">
        <v>90</v>
      </c>
      <c r="Z812" s="18" t="s">
        <v>91</v>
      </c>
      <c r="AA812" s="18" t="s">
        <v>92</v>
      </c>
      <c r="AB812" s="18" t="s">
        <v>93</v>
      </c>
      <c r="AC812" s="18" t="s">
        <v>94</v>
      </c>
      <c r="AD812" s="18" t="s">
        <v>235</v>
      </c>
      <c r="AE812" s="18" t="s">
        <v>236</v>
      </c>
      <c r="AF812" s="18" t="s">
        <v>237</v>
      </c>
      <c r="AG812" s="18" t="s">
        <v>238</v>
      </c>
      <c r="AH812" s="18" t="s">
        <v>239</v>
      </c>
      <c r="AI812" s="18" t="s">
        <v>240</v>
      </c>
      <c r="AJ812" s="18" t="s">
        <v>241</v>
      </c>
      <c r="AK812" s="18" t="s">
        <v>242</v>
      </c>
      <c r="AL812" s="18" t="s">
        <v>243</v>
      </c>
      <c r="AM812" s="50" t="s">
        <v>244</v>
      </c>
    </row>
    <row r="813" spans="1:39">
      <c r="A813" s="40" t="s">
        <v>245</v>
      </c>
      <c r="B813" s="51" t="str">
        <f>D28</f>
        <v/>
      </c>
      <c r="C813" s="40" t="str">
        <f t="shared" ref="C813:C839" si="125">A813</f>
        <v>#</v>
      </c>
      <c r="D813" s="40" t="str">
        <f>"   "&amp;B813&amp;REPT(" ",$AH$70-LEN(B813)-3)</f>
        <v xml:space="preserve">                                                            </v>
      </c>
      <c r="E813" s="38" t="str">
        <f>SUM(E814:E839)&amp;" pts[/b]"</f>
        <v>0 pts[/b]</v>
      </c>
      <c r="F813" s="21">
        <f>SUM(E814:E839)</f>
        <v>0</v>
      </c>
      <c r="K813" s="18">
        <f>COUNTIF(E814:E839,"&gt;0")</f>
        <v>0</v>
      </c>
      <c r="L813" s="21">
        <f>AM813-K813</f>
        <v>0</v>
      </c>
      <c r="M813" s="22">
        <f>MAX(E814:E839)</f>
        <v>0</v>
      </c>
      <c r="N813" s="22">
        <f>LARGE(E814:E839,2)</f>
        <v>0</v>
      </c>
      <c r="O813" s="22">
        <f>LARGE(E814:E839,3)</f>
        <v>0</v>
      </c>
      <c r="P813" s="18">
        <f>LARGE(E814:E839,4)</f>
        <v>0</v>
      </c>
      <c r="Q813" s="22">
        <f>LARGE(E814:E839,5)</f>
        <v>0</v>
      </c>
      <c r="R813" s="22">
        <f>LARGE(E814:E839,6)</f>
        <v>0</v>
      </c>
      <c r="S813" s="22">
        <f>LARGE(E814:E839,7)</f>
        <v>0</v>
      </c>
      <c r="T813" s="18">
        <f>LARGE(E814:E839,8)</f>
        <v>0</v>
      </c>
      <c r="U813" s="18">
        <f>LARGE(E814:E839,9)</f>
        <v>0</v>
      </c>
      <c r="V813" s="18">
        <f>LARGE(E814:E839,10)</f>
        <v>0</v>
      </c>
      <c r="W813" s="18">
        <f>LARGE(E814:E839,11)</f>
        <v>0</v>
      </c>
      <c r="X813" s="18">
        <f>LARGE(E814:E839,12)</f>
        <v>0</v>
      </c>
      <c r="Y813" s="18">
        <f>LARGE(E814:E839,13)</f>
        <v>0</v>
      </c>
      <c r="Z813" s="18">
        <f>LARGE(E814:E839,14)</f>
        <v>0</v>
      </c>
      <c r="AA813" s="18">
        <f>LARGE(E814:E839,15)</f>
        <v>0</v>
      </c>
      <c r="AB813" s="18">
        <f>LARGE(E814:E839,16)</f>
        <v>0</v>
      </c>
      <c r="AC813" s="18">
        <f>LARGE(E814:E839,17)</f>
        <v>0</v>
      </c>
      <c r="AD813" s="18">
        <f>LARGE(E814:E840,13)</f>
        <v>0</v>
      </c>
      <c r="AE813" s="18">
        <f>LARGE(E814:E839,19)</f>
        <v>0</v>
      </c>
      <c r="AF813" s="18">
        <f>LARGE(E814:E839,20)</f>
        <v>0</v>
      </c>
      <c r="AG813" s="18">
        <f>LARGE(E814:E839,21)</f>
        <v>0</v>
      </c>
      <c r="AH813" s="18">
        <f>LARGE(E814:E839,22)</f>
        <v>0</v>
      </c>
      <c r="AI813" s="18">
        <f>LARGE(E814:E839,23)</f>
        <v>0</v>
      </c>
      <c r="AJ813" s="18">
        <f>LARGE(E814:E839,24)</f>
        <v>0</v>
      </c>
      <c r="AK813" s="18">
        <f>LARGE(E814:E839,25)</f>
        <v>0</v>
      </c>
      <c r="AL813" s="18">
        <f>LARGE(E814:E839,26)</f>
        <v>0</v>
      </c>
      <c r="AM813" s="50">
        <f>COUNTIF(AH814:AH839,"&lt;&gt;"&amp;AH76)-(26-COUNTIF(E814:E839,"&gt;=0"))</f>
        <v>0</v>
      </c>
    </row>
    <row r="814" spans="1:39">
      <c r="A814" s="42" t="s">
        <v>246</v>
      </c>
      <c r="B814" s="1" t="s">
        <v>20</v>
      </c>
      <c r="C814" s="40" t="str">
        <f t="shared" si="125"/>
        <v>01-&gt;</v>
      </c>
      <c r="D814" s="40" t="str">
        <f t="shared" ref="D814:D839" si="126">B814&amp;REPT(" ",$AH$70-LEN(B814))</f>
        <v xml:space="preserve">No pick yet                                                 </v>
      </c>
      <c r="E814" s="52">
        <f t="shared" ref="E814:E839" si="127">VLOOKUP(RIGHT(B814,LEN(B814)-$AH$66),$H$138:$I$420,2,0)</f>
        <v>0</v>
      </c>
      <c r="F814" s="18"/>
      <c r="M814" s="18"/>
      <c r="N814" s="18"/>
      <c r="O814" s="18"/>
      <c r="P814" s="18"/>
      <c r="Q814" s="22"/>
      <c r="R814" s="21"/>
      <c r="S814" s="21"/>
      <c r="T814" s="21"/>
      <c r="AA814"/>
      <c r="AH814" t="str">
        <f t="shared" ref="AH814:AH839" si="128">RIGHT(B814,LEN(B814)-$AH$66)</f>
        <v>k yet</v>
      </c>
    </row>
    <row r="815" spans="1:39">
      <c r="A815" s="42" t="s">
        <v>247</v>
      </c>
      <c r="B815" s="1" t="s">
        <v>20</v>
      </c>
      <c r="C815" s="40" t="str">
        <f t="shared" si="125"/>
        <v>02-&gt;</v>
      </c>
      <c r="D815" s="40" t="str">
        <f t="shared" si="126"/>
        <v xml:space="preserve">No pick yet                                                 </v>
      </c>
      <c r="E815" s="52">
        <f t="shared" si="127"/>
        <v>0</v>
      </c>
      <c r="F815" s="18"/>
      <c r="K815" s="22"/>
      <c r="N815" s="22"/>
      <c r="O815" s="22"/>
      <c r="P815" s="22"/>
      <c r="Q815" s="22"/>
      <c r="R815" s="22"/>
      <c r="S815" s="22"/>
      <c r="Z815" s="53"/>
      <c r="AA815"/>
      <c r="AH815" t="str">
        <f t="shared" si="128"/>
        <v>k yet</v>
      </c>
    </row>
    <row r="816" spans="1:39">
      <c r="A816" s="42" t="s">
        <v>248</v>
      </c>
      <c r="B816" s="1" t="s">
        <v>20</v>
      </c>
      <c r="C816" s="40" t="str">
        <f t="shared" si="125"/>
        <v>03-&gt;</v>
      </c>
      <c r="D816" s="40" t="str">
        <f t="shared" si="126"/>
        <v xml:space="preserve">No pick yet                                                 </v>
      </c>
      <c r="E816" s="52">
        <f t="shared" si="127"/>
        <v>0</v>
      </c>
      <c r="F816" s="18"/>
      <c r="L816" s="21"/>
      <c r="N816" s="22"/>
      <c r="O816" s="22"/>
      <c r="P816" s="18"/>
      <c r="Q816" s="22"/>
      <c r="R816" s="22"/>
      <c r="S816" s="22"/>
      <c r="Z816" s="53"/>
      <c r="AA816"/>
      <c r="AH816" t="str">
        <f t="shared" si="128"/>
        <v>k yet</v>
      </c>
    </row>
    <row r="817" spans="1:34">
      <c r="A817" s="42" t="s">
        <v>249</v>
      </c>
      <c r="B817" s="1" t="s">
        <v>20</v>
      </c>
      <c r="C817" s="40" t="str">
        <f t="shared" si="125"/>
        <v>04-&gt;</v>
      </c>
      <c r="D817" s="40" t="str">
        <f t="shared" si="126"/>
        <v xml:space="preserve">No pick yet                                                 </v>
      </c>
      <c r="E817" s="52">
        <f t="shared" si="127"/>
        <v>0</v>
      </c>
      <c r="F817" s="18"/>
      <c r="M817" s="18"/>
      <c r="N817" s="18"/>
      <c r="O817" s="18"/>
      <c r="P817" s="18"/>
      <c r="Q817" s="22"/>
      <c r="R817" s="21"/>
      <c r="S817" s="21"/>
      <c r="T817" s="21"/>
      <c r="AA817"/>
      <c r="AH817" t="str">
        <f t="shared" si="128"/>
        <v>k yet</v>
      </c>
    </row>
    <row r="818" spans="1:34">
      <c r="A818" s="42" t="s">
        <v>250</v>
      </c>
      <c r="B818" s="1" t="s">
        <v>20</v>
      </c>
      <c r="C818" s="40" t="str">
        <f t="shared" si="125"/>
        <v>05-&gt;</v>
      </c>
      <c r="D818" s="40" t="str">
        <f t="shared" si="126"/>
        <v xml:space="preserve">No pick yet                                                 </v>
      </c>
      <c r="E818" s="52">
        <f t="shared" si="127"/>
        <v>0</v>
      </c>
      <c r="F818" s="18"/>
      <c r="G818" s="22"/>
      <c r="I818" s="22"/>
      <c r="J818" s="22"/>
      <c r="M818" s="18"/>
      <c r="N818" s="18"/>
      <c r="O818" s="18"/>
      <c r="P818" s="18"/>
      <c r="Q818" s="22"/>
      <c r="R818" s="21"/>
      <c r="S818" s="21"/>
      <c r="T818" s="21"/>
      <c r="AA818"/>
      <c r="AH818" t="str">
        <f t="shared" si="128"/>
        <v>k yet</v>
      </c>
    </row>
    <row r="819" spans="1:34">
      <c r="A819" s="42" t="s">
        <v>251</v>
      </c>
      <c r="B819" s="1" t="s">
        <v>20</v>
      </c>
      <c r="C819" s="40" t="str">
        <f t="shared" si="125"/>
        <v>06-&gt;</v>
      </c>
      <c r="D819" s="40" t="str">
        <f t="shared" si="126"/>
        <v xml:space="preserve">No pick yet                                                 </v>
      </c>
      <c r="E819" s="52">
        <f t="shared" si="127"/>
        <v>0</v>
      </c>
      <c r="F819" s="18"/>
      <c r="H819" s="21"/>
      <c r="I819" s="22"/>
      <c r="J819" s="22"/>
      <c r="M819" s="18"/>
      <c r="N819" s="18"/>
      <c r="O819" s="18"/>
      <c r="P819" s="18"/>
      <c r="Q819" s="22"/>
      <c r="R819" s="21"/>
      <c r="S819" s="21"/>
      <c r="T819" s="21"/>
      <c r="AA819"/>
      <c r="AH819" t="str">
        <f t="shared" si="128"/>
        <v>k yet</v>
      </c>
    </row>
    <row r="820" spans="1:34">
      <c r="A820" s="42" t="s">
        <v>252</v>
      </c>
      <c r="B820" s="1" t="s">
        <v>20</v>
      </c>
      <c r="C820" s="40" t="str">
        <f t="shared" si="125"/>
        <v>07-&gt;</v>
      </c>
      <c r="D820" s="40" t="str">
        <f t="shared" si="126"/>
        <v xml:space="preserve">No pick yet                                                 </v>
      </c>
      <c r="E820" s="52">
        <f t="shared" si="127"/>
        <v>0</v>
      </c>
      <c r="F820" s="18"/>
      <c r="M820" s="18"/>
      <c r="N820" s="18"/>
      <c r="O820" s="18"/>
      <c r="P820" s="18"/>
      <c r="Q820" s="22"/>
      <c r="R820" s="21"/>
      <c r="S820" s="21"/>
      <c r="T820" s="21"/>
      <c r="AA820"/>
      <c r="AH820" t="str">
        <f t="shared" si="128"/>
        <v>k yet</v>
      </c>
    </row>
    <row r="821" spans="1:34">
      <c r="A821" s="42" t="s">
        <v>253</v>
      </c>
      <c r="B821" s="1" t="s">
        <v>20</v>
      </c>
      <c r="C821" s="40" t="str">
        <f t="shared" si="125"/>
        <v>08-&gt;</v>
      </c>
      <c r="D821" s="40" t="str">
        <f t="shared" si="126"/>
        <v xml:space="preserve">No pick yet                                                 </v>
      </c>
      <c r="E821" s="52">
        <f t="shared" si="127"/>
        <v>0</v>
      </c>
      <c r="F821" s="18"/>
      <c r="M821" s="18"/>
      <c r="N821" s="18"/>
      <c r="O821" s="18"/>
      <c r="P821" s="18"/>
      <c r="Q821" s="22"/>
      <c r="R821" s="21"/>
      <c r="S821" s="21"/>
      <c r="T821" s="21"/>
      <c r="AA821"/>
      <c r="AH821" t="str">
        <f t="shared" si="128"/>
        <v>k yet</v>
      </c>
    </row>
    <row r="822" spans="1:34">
      <c r="A822" s="42" t="s">
        <v>254</v>
      </c>
      <c r="B822" s="1" t="s">
        <v>20</v>
      </c>
      <c r="C822" s="40" t="str">
        <f t="shared" si="125"/>
        <v>09-&gt;</v>
      </c>
      <c r="D822" s="40" t="str">
        <f t="shared" si="126"/>
        <v xml:space="preserve">No pick yet                                                 </v>
      </c>
      <c r="E822" s="52">
        <f t="shared" si="127"/>
        <v>0</v>
      </c>
      <c r="F822" s="18"/>
      <c r="M822" s="18"/>
      <c r="N822" s="18"/>
      <c r="O822" s="18"/>
      <c r="P822" s="18"/>
      <c r="Q822" s="22"/>
      <c r="R822" s="21"/>
      <c r="S822" s="21"/>
      <c r="T822" s="21"/>
      <c r="AA822"/>
      <c r="AH822" t="str">
        <f t="shared" si="128"/>
        <v>k yet</v>
      </c>
    </row>
    <row r="823" spans="1:34">
      <c r="A823" s="42" t="s">
        <v>255</v>
      </c>
      <c r="B823" s="1" t="s">
        <v>20</v>
      </c>
      <c r="C823" s="40" t="str">
        <f t="shared" si="125"/>
        <v>10-&gt;</v>
      </c>
      <c r="D823" s="40" t="str">
        <f t="shared" si="126"/>
        <v xml:space="preserve">No pick yet                                                 </v>
      </c>
      <c r="E823" s="52">
        <f t="shared" si="127"/>
        <v>0</v>
      </c>
      <c r="F823" s="22"/>
      <c r="M823" s="18"/>
      <c r="N823" s="18"/>
      <c r="O823" s="18"/>
      <c r="P823" s="18"/>
      <c r="Q823" s="22"/>
      <c r="R823" s="21"/>
      <c r="S823" s="21"/>
      <c r="T823" s="21"/>
      <c r="AA823"/>
      <c r="AH823" t="str">
        <f t="shared" si="128"/>
        <v>k yet</v>
      </c>
    </row>
    <row r="824" spans="1:34">
      <c r="A824" s="42" t="s">
        <v>256</v>
      </c>
      <c r="B824" s="1" t="s">
        <v>20</v>
      </c>
      <c r="C824" s="40" t="str">
        <f t="shared" si="125"/>
        <v>11-&gt;</v>
      </c>
      <c r="D824" s="40" t="str">
        <f t="shared" si="126"/>
        <v xml:space="preserve">No pick yet                                                 </v>
      </c>
      <c r="E824" s="52">
        <f t="shared" si="127"/>
        <v>0</v>
      </c>
      <c r="M824" s="18"/>
      <c r="N824" s="18"/>
      <c r="O824" s="18"/>
      <c r="P824" s="18"/>
      <c r="Q824" s="22"/>
      <c r="R824" s="21"/>
      <c r="S824" s="21"/>
      <c r="T824" s="21"/>
      <c r="AA824"/>
      <c r="AH824" t="str">
        <f t="shared" si="128"/>
        <v>k yet</v>
      </c>
    </row>
    <row r="825" spans="1:34">
      <c r="A825" s="42" t="s">
        <v>257</v>
      </c>
      <c r="B825" s="1" t="s">
        <v>20</v>
      </c>
      <c r="C825" s="40" t="str">
        <f t="shared" si="125"/>
        <v>12-&gt;</v>
      </c>
      <c r="D825" s="40" t="str">
        <f t="shared" si="126"/>
        <v xml:space="preserve">No pick yet                                                 </v>
      </c>
      <c r="E825" s="52">
        <f t="shared" si="127"/>
        <v>0</v>
      </c>
      <c r="M825" s="18"/>
      <c r="N825" s="18"/>
      <c r="O825" s="18"/>
      <c r="P825" s="18"/>
      <c r="Q825" s="22"/>
      <c r="R825" s="21"/>
      <c r="S825" s="21"/>
      <c r="T825" s="21"/>
      <c r="AA825"/>
      <c r="AH825" t="str">
        <f t="shared" si="128"/>
        <v>k yet</v>
      </c>
    </row>
    <row r="826" spans="1:34">
      <c r="A826" s="42" t="s">
        <v>258</v>
      </c>
      <c r="B826" s="1" t="s">
        <v>20</v>
      </c>
      <c r="C826" s="40" t="str">
        <f t="shared" si="125"/>
        <v>13-&gt;</v>
      </c>
      <c r="D826" s="40" t="str">
        <f t="shared" si="126"/>
        <v xml:space="preserve">No pick yet                                                 </v>
      </c>
      <c r="E826" s="52">
        <f t="shared" si="127"/>
        <v>0</v>
      </c>
      <c r="M826" s="18"/>
      <c r="N826" s="18"/>
      <c r="O826" s="18"/>
      <c r="P826" s="18"/>
      <c r="Q826" s="22"/>
      <c r="R826" s="21"/>
      <c r="S826" s="21"/>
      <c r="T826" s="21"/>
      <c r="AA826"/>
      <c r="AH826" t="str">
        <f t="shared" si="128"/>
        <v>k yet</v>
      </c>
    </row>
    <row r="827" spans="1:34">
      <c r="A827" s="42" t="s">
        <v>259</v>
      </c>
      <c r="B827" s="1" t="s">
        <v>20</v>
      </c>
      <c r="C827" s="40" t="str">
        <f t="shared" si="125"/>
        <v>14-&gt;</v>
      </c>
      <c r="D827" s="40" t="str">
        <f t="shared" si="126"/>
        <v xml:space="preserve">No pick yet                                                 </v>
      </c>
      <c r="E827" s="52">
        <f t="shared" si="127"/>
        <v>0</v>
      </c>
      <c r="M827" s="18"/>
      <c r="N827" s="18"/>
      <c r="O827" s="18"/>
      <c r="P827" s="18"/>
      <c r="Q827" s="22"/>
      <c r="R827" s="21"/>
      <c r="S827" s="21"/>
      <c r="T827" s="21"/>
      <c r="AA827"/>
      <c r="AH827" t="str">
        <f t="shared" si="128"/>
        <v>k yet</v>
      </c>
    </row>
    <row r="828" spans="1:34">
      <c r="A828" s="42" t="s">
        <v>260</v>
      </c>
      <c r="B828" s="1" t="s">
        <v>20</v>
      </c>
      <c r="C828" s="40" t="str">
        <f t="shared" si="125"/>
        <v>15-&gt;</v>
      </c>
      <c r="D828" s="40" t="str">
        <f t="shared" si="126"/>
        <v xml:space="preserve">No pick yet                                                 </v>
      </c>
      <c r="E828" s="52">
        <f t="shared" si="127"/>
        <v>0</v>
      </c>
      <c r="M828" s="18"/>
      <c r="N828" s="18"/>
      <c r="O828" s="18"/>
      <c r="P828" s="18"/>
      <c r="Q828" s="22"/>
      <c r="R828" s="21"/>
      <c r="S828" s="21"/>
      <c r="T828" s="21"/>
      <c r="AA828"/>
      <c r="AH828" t="str">
        <f t="shared" si="128"/>
        <v>k yet</v>
      </c>
    </row>
    <row r="829" spans="1:34">
      <c r="A829" s="42" t="s">
        <v>261</v>
      </c>
      <c r="B829" s="1" t="s">
        <v>20</v>
      </c>
      <c r="C829" s="40" t="str">
        <f t="shared" si="125"/>
        <v>16-&gt;</v>
      </c>
      <c r="D829" s="40" t="str">
        <f t="shared" si="126"/>
        <v xml:space="preserve">No pick yet                                                 </v>
      </c>
      <c r="E829" s="52">
        <f t="shared" si="127"/>
        <v>0</v>
      </c>
      <c r="M829" s="18"/>
      <c r="N829" s="18"/>
      <c r="O829" s="18"/>
      <c r="P829" s="18"/>
      <c r="Q829" s="22"/>
      <c r="R829" s="21"/>
      <c r="S829" s="21"/>
      <c r="T829" s="21"/>
      <c r="AA829"/>
      <c r="AH829" t="str">
        <f t="shared" si="128"/>
        <v>k yet</v>
      </c>
    </row>
    <row r="830" spans="1:34">
      <c r="A830" s="42" t="s">
        <v>262</v>
      </c>
      <c r="B830" s="1" t="s">
        <v>20</v>
      </c>
      <c r="C830" s="40" t="str">
        <f t="shared" si="125"/>
        <v>17-&gt;</v>
      </c>
      <c r="D830" s="40" t="str">
        <f t="shared" si="126"/>
        <v xml:space="preserve">No pick yet                                                 </v>
      </c>
      <c r="E830" s="52">
        <f t="shared" si="127"/>
        <v>0</v>
      </c>
      <c r="K830" s="22"/>
      <c r="N830" s="22"/>
      <c r="O830" s="22"/>
      <c r="P830" s="22"/>
      <c r="Q830" s="22"/>
      <c r="R830" s="22"/>
      <c r="S830" s="22"/>
      <c r="Z830" s="53"/>
      <c r="AA830"/>
      <c r="AH830" t="str">
        <f t="shared" si="128"/>
        <v>k yet</v>
      </c>
    </row>
    <row r="831" spans="1:34">
      <c r="A831" s="42" t="s">
        <v>263</v>
      </c>
      <c r="B831" s="1" t="s">
        <v>20</v>
      </c>
      <c r="C831" s="40" t="str">
        <f t="shared" si="125"/>
        <v>18-&gt;</v>
      </c>
      <c r="D831" s="40" t="str">
        <f t="shared" si="126"/>
        <v xml:space="preserve">No pick yet                                                 </v>
      </c>
      <c r="E831" s="52">
        <f t="shared" si="127"/>
        <v>0</v>
      </c>
      <c r="F831" s="18"/>
      <c r="L831" s="21"/>
      <c r="N831" s="22"/>
      <c r="O831" s="22"/>
      <c r="P831" s="18"/>
      <c r="Q831" s="22"/>
      <c r="R831" s="22"/>
      <c r="S831" s="22"/>
      <c r="Z831" s="53"/>
      <c r="AA831"/>
      <c r="AH831" t="str">
        <f t="shared" si="128"/>
        <v>k yet</v>
      </c>
    </row>
    <row r="832" spans="1:34">
      <c r="A832" s="42" t="s">
        <v>264</v>
      </c>
      <c r="B832" s="1" t="s">
        <v>20</v>
      </c>
      <c r="C832" s="40" t="str">
        <f t="shared" si="125"/>
        <v>19-&gt;</v>
      </c>
      <c r="D832" s="40" t="str">
        <f t="shared" si="126"/>
        <v xml:space="preserve">No pick yet                                                 </v>
      </c>
      <c r="E832" s="52">
        <f t="shared" si="127"/>
        <v>0</v>
      </c>
      <c r="F832" s="18"/>
      <c r="M832" s="18"/>
      <c r="N832" s="18"/>
      <c r="O832" s="18"/>
      <c r="P832" s="18"/>
      <c r="Q832" s="22"/>
      <c r="R832" s="21"/>
      <c r="S832" s="21"/>
      <c r="T832" s="21"/>
      <c r="AA832"/>
      <c r="AH832" t="str">
        <f t="shared" si="128"/>
        <v>k yet</v>
      </c>
    </row>
    <row r="833" spans="1:39">
      <c r="A833" s="42" t="s">
        <v>265</v>
      </c>
      <c r="B833" s="1" t="s">
        <v>20</v>
      </c>
      <c r="C833" s="40" t="str">
        <f t="shared" si="125"/>
        <v>20-&gt;</v>
      </c>
      <c r="D833" s="40" t="str">
        <f t="shared" si="126"/>
        <v xml:space="preserve">No pick yet                                                 </v>
      </c>
      <c r="E833" s="52">
        <f t="shared" si="127"/>
        <v>0</v>
      </c>
      <c r="F833" s="18"/>
      <c r="G833" s="22"/>
      <c r="I833" s="22"/>
      <c r="J833" s="22"/>
      <c r="M833" s="18"/>
      <c r="N833" s="18"/>
      <c r="O833" s="18"/>
      <c r="P833" s="18"/>
      <c r="Q833" s="22"/>
      <c r="R833" s="21"/>
      <c r="S833" s="21"/>
      <c r="T833" s="21"/>
      <c r="AA833"/>
      <c r="AH833" t="str">
        <f t="shared" si="128"/>
        <v>k yet</v>
      </c>
    </row>
    <row r="834" spans="1:39">
      <c r="A834" s="42" t="s">
        <v>266</v>
      </c>
      <c r="B834" s="1" t="s">
        <v>20</v>
      </c>
      <c r="C834" s="40" t="str">
        <f t="shared" si="125"/>
        <v>21-&gt;</v>
      </c>
      <c r="D834" s="40" t="str">
        <f t="shared" si="126"/>
        <v xml:space="preserve">No pick yet                                                 </v>
      </c>
      <c r="E834" s="52">
        <f t="shared" si="127"/>
        <v>0</v>
      </c>
      <c r="F834" s="18"/>
      <c r="H834" s="21"/>
      <c r="I834" s="22"/>
      <c r="J834" s="22"/>
      <c r="M834" s="18"/>
      <c r="N834" s="18"/>
      <c r="O834" s="18"/>
      <c r="P834" s="18"/>
      <c r="Q834" s="22"/>
      <c r="R834" s="21"/>
      <c r="S834" s="21"/>
      <c r="T834" s="21"/>
      <c r="AA834"/>
      <c r="AH834" t="str">
        <f t="shared" si="128"/>
        <v>k yet</v>
      </c>
    </row>
    <row r="835" spans="1:39">
      <c r="A835" s="42" t="s">
        <v>267</v>
      </c>
      <c r="B835" s="1" t="s">
        <v>20</v>
      </c>
      <c r="C835" s="40" t="str">
        <f t="shared" si="125"/>
        <v>22-&gt;</v>
      </c>
      <c r="D835" s="40" t="str">
        <f t="shared" si="126"/>
        <v xml:space="preserve">No pick yet                                                 </v>
      </c>
      <c r="E835" s="52">
        <f t="shared" si="127"/>
        <v>0</v>
      </c>
      <c r="F835" s="18"/>
      <c r="M835" s="18"/>
      <c r="N835" s="18"/>
      <c r="O835" s="18"/>
      <c r="P835" s="18"/>
      <c r="Q835" s="22"/>
      <c r="R835" s="21"/>
      <c r="S835" s="21"/>
      <c r="T835" s="21"/>
      <c r="AA835"/>
      <c r="AH835" t="str">
        <f t="shared" si="128"/>
        <v>k yet</v>
      </c>
    </row>
    <row r="836" spans="1:39">
      <c r="A836" s="42" t="s">
        <v>268</v>
      </c>
      <c r="B836" s="1" t="s">
        <v>20</v>
      </c>
      <c r="C836" s="40" t="str">
        <f t="shared" si="125"/>
        <v>23-&gt;</v>
      </c>
      <c r="D836" s="40" t="str">
        <f t="shared" si="126"/>
        <v xml:space="preserve">No pick yet                                                 </v>
      </c>
      <c r="E836" s="52">
        <f t="shared" si="127"/>
        <v>0</v>
      </c>
      <c r="F836" s="18"/>
      <c r="M836" s="18"/>
      <c r="N836" s="18"/>
      <c r="O836" s="18"/>
      <c r="P836" s="18"/>
      <c r="Q836" s="22"/>
      <c r="R836" s="21"/>
      <c r="S836" s="21"/>
      <c r="T836" s="21"/>
      <c r="AA836"/>
      <c r="AH836" t="str">
        <f t="shared" si="128"/>
        <v>k yet</v>
      </c>
    </row>
    <row r="837" spans="1:39">
      <c r="A837" s="42" t="s">
        <v>269</v>
      </c>
      <c r="B837" s="1" t="s">
        <v>20</v>
      </c>
      <c r="C837" s="40" t="str">
        <f t="shared" si="125"/>
        <v>24-&gt;</v>
      </c>
      <c r="D837" s="40" t="str">
        <f t="shared" si="126"/>
        <v xml:space="preserve">No pick yet                                                 </v>
      </c>
      <c r="E837" s="52">
        <f t="shared" si="127"/>
        <v>0</v>
      </c>
      <c r="F837" s="18"/>
      <c r="M837" s="18"/>
      <c r="N837" s="18"/>
      <c r="O837" s="18"/>
      <c r="P837" s="18"/>
      <c r="Q837" s="22"/>
      <c r="R837" s="21"/>
      <c r="S837" s="21"/>
      <c r="T837" s="21"/>
      <c r="AA837"/>
      <c r="AH837" t="str">
        <f t="shared" si="128"/>
        <v>k yet</v>
      </c>
    </row>
    <row r="838" spans="1:39">
      <c r="A838" s="42" t="s">
        <v>270</v>
      </c>
      <c r="B838" s="1" t="s">
        <v>20</v>
      </c>
      <c r="C838" s="40" t="str">
        <f t="shared" si="125"/>
        <v>25-&gt;</v>
      </c>
      <c r="D838" s="40" t="str">
        <f t="shared" si="126"/>
        <v xml:space="preserve">No pick yet                                                 </v>
      </c>
      <c r="E838" s="52">
        <f t="shared" si="127"/>
        <v>0</v>
      </c>
      <c r="F838" s="18"/>
      <c r="M838" s="18"/>
      <c r="N838" s="18"/>
      <c r="O838" s="18"/>
      <c r="P838" s="18"/>
      <c r="Q838" s="22"/>
      <c r="R838" s="21"/>
      <c r="S838" s="21"/>
      <c r="T838" s="21"/>
      <c r="AA838"/>
      <c r="AH838" t="str">
        <f t="shared" si="128"/>
        <v>k yet</v>
      </c>
    </row>
    <row r="839" spans="1:39">
      <c r="A839" s="42" t="s">
        <v>271</v>
      </c>
      <c r="B839" s="1" t="s">
        <v>20</v>
      </c>
      <c r="C839" s="40" t="str">
        <f t="shared" si="125"/>
        <v>26-&gt;</v>
      </c>
      <c r="D839" s="40" t="str">
        <f t="shared" si="126"/>
        <v xml:space="preserve">No pick yet                                                 </v>
      </c>
      <c r="E839" s="52">
        <f t="shared" si="127"/>
        <v>0</v>
      </c>
      <c r="F839" s="18"/>
      <c r="M839" s="18"/>
      <c r="N839" s="18"/>
      <c r="O839" s="18"/>
      <c r="P839" s="18"/>
      <c r="Q839" s="22"/>
      <c r="R839" s="21"/>
      <c r="S839" s="21"/>
      <c r="T839" s="21"/>
      <c r="AA839"/>
      <c r="AH839" t="str">
        <f t="shared" si="128"/>
        <v>k yet</v>
      </c>
    </row>
    <row r="840" spans="1:39">
      <c r="A840" s="38"/>
      <c r="B840" s="40"/>
      <c r="C840" s="40"/>
      <c r="D840" s="49"/>
      <c r="E840" s="41" t="s">
        <v>69</v>
      </c>
      <c r="F840" s="18"/>
      <c r="K840" s="22" t="s">
        <v>73</v>
      </c>
      <c r="L840" s="18" t="s">
        <v>74</v>
      </c>
      <c r="M840" s="22" t="s">
        <v>78</v>
      </c>
      <c r="N840" s="22" t="s">
        <v>79</v>
      </c>
      <c r="O840" s="22" t="s">
        <v>80</v>
      </c>
      <c r="P840" s="22" t="s">
        <v>81</v>
      </c>
      <c r="Q840" s="22" t="s">
        <v>82</v>
      </c>
      <c r="R840" s="22" t="s">
        <v>83</v>
      </c>
      <c r="S840" s="22" t="s">
        <v>84</v>
      </c>
      <c r="T840" s="18" t="s">
        <v>85</v>
      </c>
      <c r="U840" s="18" t="s">
        <v>86</v>
      </c>
      <c r="V840" s="18" t="s">
        <v>87</v>
      </c>
      <c r="W840" s="18" t="s">
        <v>88</v>
      </c>
      <c r="X840" s="18" t="s">
        <v>89</v>
      </c>
      <c r="Y840" s="18" t="s">
        <v>90</v>
      </c>
      <c r="Z840" s="18" t="s">
        <v>91</v>
      </c>
      <c r="AA840" s="18" t="s">
        <v>92</v>
      </c>
      <c r="AB840" s="18" t="s">
        <v>93</v>
      </c>
      <c r="AC840" s="18" t="s">
        <v>94</v>
      </c>
      <c r="AD840" s="18" t="s">
        <v>235</v>
      </c>
      <c r="AE840" s="18" t="s">
        <v>236</v>
      </c>
      <c r="AF840" s="18" t="s">
        <v>237</v>
      </c>
      <c r="AG840" s="18" t="s">
        <v>238</v>
      </c>
      <c r="AH840" s="18" t="s">
        <v>239</v>
      </c>
      <c r="AI840" s="18" t="s">
        <v>240</v>
      </c>
      <c r="AJ840" s="18" t="s">
        <v>241</v>
      </c>
      <c r="AK840" s="18" t="s">
        <v>242</v>
      </c>
      <c r="AL840" s="18" t="s">
        <v>243</v>
      </c>
      <c r="AM840" s="50" t="s">
        <v>244</v>
      </c>
    </row>
    <row r="841" spans="1:39">
      <c r="A841" s="40" t="s">
        <v>245</v>
      </c>
      <c r="B841" s="51" t="str">
        <f>D29</f>
        <v/>
      </c>
      <c r="C841" s="40" t="str">
        <f t="shared" ref="C841:C867" si="129">A841</f>
        <v>#</v>
      </c>
      <c r="D841" s="40" t="str">
        <f>"   "&amp;B841&amp;REPT(" ",$AH$70-LEN(B841)-3)</f>
        <v xml:space="preserve">                                                            </v>
      </c>
      <c r="E841" s="38" t="str">
        <f>SUM(E842:E867)&amp;" pts[/b]"</f>
        <v>0 pts[/b]</v>
      </c>
      <c r="F841" s="21">
        <f>SUM(E842:E867)</f>
        <v>0</v>
      </c>
      <c r="K841" s="18">
        <f>COUNTIF(E842:E867,"&gt;0")</f>
        <v>0</v>
      </c>
      <c r="L841" s="21">
        <f>AM841-K841</f>
        <v>0</v>
      </c>
      <c r="M841" s="22">
        <f>MAX(E842:E867)</f>
        <v>0</v>
      </c>
      <c r="N841" s="22">
        <f>LARGE(E842:E867,2)</f>
        <v>0</v>
      </c>
      <c r="O841" s="22">
        <f>LARGE(E842:E867,3)</f>
        <v>0</v>
      </c>
      <c r="P841" s="18">
        <f>LARGE(E842:E867,4)</f>
        <v>0</v>
      </c>
      <c r="Q841" s="22">
        <f>LARGE(E842:E867,5)</f>
        <v>0</v>
      </c>
      <c r="R841" s="22">
        <f>LARGE(E842:E867,6)</f>
        <v>0</v>
      </c>
      <c r="S841" s="22">
        <f>LARGE(E842:E867,7)</f>
        <v>0</v>
      </c>
      <c r="T841" s="18">
        <f>LARGE(E842:E867,8)</f>
        <v>0</v>
      </c>
      <c r="U841" s="18">
        <f>LARGE(E842:E867,9)</f>
        <v>0</v>
      </c>
      <c r="V841" s="18">
        <f>LARGE(E842:E867,10)</f>
        <v>0</v>
      </c>
      <c r="W841" s="18">
        <f>LARGE(E842:E867,11)</f>
        <v>0</v>
      </c>
      <c r="X841" s="18">
        <f>LARGE(E842:E867,12)</f>
        <v>0</v>
      </c>
      <c r="Y841" s="18">
        <f>LARGE(E842:E867,13)</f>
        <v>0</v>
      </c>
      <c r="Z841" s="18">
        <f>LARGE(E842:E867,14)</f>
        <v>0</v>
      </c>
      <c r="AA841" s="18">
        <f>LARGE(E842:E867,15)</f>
        <v>0</v>
      </c>
      <c r="AB841" s="18">
        <f>LARGE(E842:E867,16)</f>
        <v>0</v>
      </c>
      <c r="AC841" s="18">
        <f>LARGE(E842:E867,17)</f>
        <v>0</v>
      </c>
      <c r="AD841" s="18">
        <f>LARGE(E842:E868,13)</f>
        <v>0</v>
      </c>
      <c r="AE841" s="18">
        <f>LARGE(E842:E867,19)</f>
        <v>0</v>
      </c>
      <c r="AF841" s="18">
        <f>LARGE(E842:E867,20)</f>
        <v>0</v>
      </c>
      <c r="AG841" s="18">
        <f>LARGE(E842:E867,21)</f>
        <v>0</v>
      </c>
      <c r="AH841" s="18">
        <f>LARGE(E842:E867,22)</f>
        <v>0</v>
      </c>
      <c r="AI841" s="18">
        <f>LARGE(E842:E867,23)</f>
        <v>0</v>
      </c>
      <c r="AJ841" s="18">
        <f>LARGE(E842:E867,24)</f>
        <v>0</v>
      </c>
      <c r="AK841" s="18">
        <f>LARGE(E842:E867,25)</f>
        <v>0</v>
      </c>
      <c r="AL841" s="18">
        <f>LARGE(E842:E867,26)</f>
        <v>0</v>
      </c>
      <c r="AM841" s="50">
        <f>COUNTIF(AH842:AH867,"&lt;&gt;"&amp;AH76)-(26-COUNTIF(E842:E867,"&gt;=0"))</f>
        <v>0</v>
      </c>
    </row>
    <row r="842" spans="1:39">
      <c r="A842" s="42" t="s">
        <v>246</v>
      </c>
      <c r="B842" s="1" t="s">
        <v>20</v>
      </c>
      <c r="C842" s="40" t="str">
        <f t="shared" si="129"/>
        <v>01-&gt;</v>
      </c>
      <c r="D842" s="40" t="str">
        <f t="shared" ref="D842:D867" si="130">B842&amp;REPT(" ",$AH$70-LEN(B842))</f>
        <v xml:space="preserve">No pick yet                                                 </v>
      </c>
      <c r="E842" s="52">
        <f t="shared" ref="E842:E867" si="131">VLOOKUP(RIGHT(B842,LEN(B842)-$AH$66),$H$138:$I$420,2,0)</f>
        <v>0</v>
      </c>
      <c r="F842" s="18"/>
      <c r="M842" s="18"/>
      <c r="N842" s="18"/>
      <c r="O842" s="18"/>
      <c r="P842" s="18"/>
      <c r="Q842" s="22"/>
      <c r="R842" s="21"/>
      <c r="S842" s="21"/>
      <c r="T842" s="21"/>
      <c r="AA842"/>
      <c r="AH842" t="str">
        <f t="shared" ref="AH842:AH867" si="132">RIGHT(B842,LEN(B842)-$AH$66)</f>
        <v>k yet</v>
      </c>
    </row>
    <row r="843" spans="1:39">
      <c r="A843" s="42" t="s">
        <v>247</v>
      </c>
      <c r="B843" s="1" t="s">
        <v>20</v>
      </c>
      <c r="C843" s="40" t="str">
        <f t="shared" si="129"/>
        <v>02-&gt;</v>
      </c>
      <c r="D843" s="40" t="str">
        <f t="shared" si="130"/>
        <v xml:space="preserve">No pick yet                                                 </v>
      </c>
      <c r="E843" s="52">
        <f t="shared" si="131"/>
        <v>0</v>
      </c>
      <c r="F843" s="18"/>
      <c r="K843" s="22"/>
      <c r="N843" s="22"/>
      <c r="O843" s="22"/>
      <c r="P843" s="22"/>
      <c r="Q843" s="22"/>
      <c r="R843" s="22"/>
      <c r="S843" s="22"/>
      <c r="Z843" s="53"/>
      <c r="AA843"/>
      <c r="AH843" t="str">
        <f t="shared" si="132"/>
        <v>k yet</v>
      </c>
    </row>
    <row r="844" spans="1:39">
      <c r="A844" s="42" t="s">
        <v>248</v>
      </c>
      <c r="B844" s="1" t="s">
        <v>20</v>
      </c>
      <c r="C844" s="40" t="str">
        <f t="shared" si="129"/>
        <v>03-&gt;</v>
      </c>
      <c r="D844" s="40" t="str">
        <f t="shared" si="130"/>
        <v xml:space="preserve">No pick yet                                                 </v>
      </c>
      <c r="E844" s="52">
        <f t="shared" si="131"/>
        <v>0</v>
      </c>
      <c r="F844" s="18"/>
      <c r="L844" s="21"/>
      <c r="N844" s="22"/>
      <c r="O844" s="22"/>
      <c r="P844" s="18"/>
      <c r="Q844" s="22"/>
      <c r="R844" s="22"/>
      <c r="S844" s="22"/>
      <c r="Z844" s="53"/>
      <c r="AA844"/>
      <c r="AH844" t="str">
        <f t="shared" si="132"/>
        <v>k yet</v>
      </c>
    </row>
    <row r="845" spans="1:39">
      <c r="A845" s="42" t="s">
        <v>249</v>
      </c>
      <c r="B845" s="1" t="s">
        <v>20</v>
      </c>
      <c r="C845" s="40" t="str">
        <f t="shared" si="129"/>
        <v>04-&gt;</v>
      </c>
      <c r="D845" s="40" t="str">
        <f t="shared" si="130"/>
        <v xml:space="preserve">No pick yet                                                 </v>
      </c>
      <c r="E845" s="52">
        <f t="shared" si="131"/>
        <v>0</v>
      </c>
      <c r="F845" s="18"/>
      <c r="M845" s="18"/>
      <c r="N845" s="18"/>
      <c r="O845" s="18"/>
      <c r="P845" s="18"/>
      <c r="Q845" s="22"/>
      <c r="R845" s="21"/>
      <c r="S845" s="21"/>
      <c r="T845" s="21"/>
      <c r="AA845"/>
      <c r="AH845" t="str">
        <f t="shared" si="132"/>
        <v>k yet</v>
      </c>
    </row>
    <row r="846" spans="1:39">
      <c r="A846" s="42" t="s">
        <v>250</v>
      </c>
      <c r="B846" s="1" t="s">
        <v>20</v>
      </c>
      <c r="C846" s="40" t="str">
        <f t="shared" si="129"/>
        <v>05-&gt;</v>
      </c>
      <c r="D846" s="40" t="str">
        <f t="shared" si="130"/>
        <v xml:space="preserve">No pick yet                                                 </v>
      </c>
      <c r="E846" s="52">
        <f t="shared" si="131"/>
        <v>0</v>
      </c>
      <c r="F846" s="18"/>
      <c r="M846" s="18"/>
      <c r="N846" s="18"/>
      <c r="O846" s="18"/>
      <c r="P846" s="18"/>
      <c r="Q846" s="22"/>
      <c r="R846" s="21"/>
      <c r="S846" s="21"/>
      <c r="T846" s="21"/>
      <c r="AA846"/>
      <c r="AH846" t="str">
        <f t="shared" si="132"/>
        <v>k yet</v>
      </c>
    </row>
    <row r="847" spans="1:39">
      <c r="A847" s="42" t="s">
        <v>251</v>
      </c>
      <c r="B847" s="1" t="s">
        <v>20</v>
      </c>
      <c r="C847" s="40" t="str">
        <f t="shared" si="129"/>
        <v>06-&gt;</v>
      </c>
      <c r="D847" s="40" t="str">
        <f t="shared" si="130"/>
        <v xml:space="preserve">No pick yet                                                 </v>
      </c>
      <c r="E847" s="52">
        <f t="shared" si="131"/>
        <v>0</v>
      </c>
      <c r="F847" s="18"/>
      <c r="M847" s="18"/>
      <c r="N847" s="18"/>
      <c r="O847" s="18"/>
      <c r="P847" s="18"/>
      <c r="Q847" s="22"/>
      <c r="R847" s="21"/>
      <c r="S847" s="21"/>
      <c r="T847" s="21"/>
      <c r="AA847"/>
      <c r="AH847" t="str">
        <f t="shared" si="132"/>
        <v>k yet</v>
      </c>
    </row>
    <row r="848" spans="1:39">
      <c r="A848" s="42" t="s">
        <v>252</v>
      </c>
      <c r="B848" s="1" t="s">
        <v>20</v>
      </c>
      <c r="C848" s="40" t="str">
        <f t="shared" si="129"/>
        <v>07-&gt;</v>
      </c>
      <c r="D848" s="40" t="str">
        <f t="shared" si="130"/>
        <v xml:space="preserve">No pick yet                                                 </v>
      </c>
      <c r="E848" s="52">
        <f t="shared" si="131"/>
        <v>0</v>
      </c>
      <c r="F848" s="18"/>
      <c r="G848" s="22"/>
      <c r="I848" s="22"/>
      <c r="J848" s="22"/>
      <c r="M848" s="18"/>
      <c r="N848" s="18"/>
      <c r="O848" s="18"/>
      <c r="P848" s="18"/>
      <c r="Q848" s="22"/>
      <c r="R848" s="21"/>
      <c r="S848" s="21"/>
      <c r="T848" s="21"/>
      <c r="AA848"/>
      <c r="AH848" t="str">
        <f t="shared" si="132"/>
        <v>k yet</v>
      </c>
    </row>
    <row r="849" spans="1:34">
      <c r="A849" s="42" t="s">
        <v>253</v>
      </c>
      <c r="B849" s="1" t="s">
        <v>20</v>
      </c>
      <c r="C849" s="40" t="str">
        <f t="shared" si="129"/>
        <v>08-&gt;</v>
      </c>
      <c r="D849" s="40" t="str">
        <f t="shared" si="130"/>
        <v xml:space="preserve">No pick yet                                                 </v>
      </c>
      <c r="E849" s="52">
        <f t="shared" si="131"/>
        <v>0</v>
      </c>
      <c r="F849" s="18"/>
      <c r="H849" s="21"/>
      <c r="I849" s="22"/>
      <c r="J849" s="22"/>
      <c r="M849" s="18"/>
      <c r="N849" s="18"/>
      <c r="O849" s="18"/>
      <c r="P849" s="18"/>
      <c r="Q849" s="22"/>
      <c r="R849" s="21"/>
      <c r="S849" s="21"/>
      <c r="T849" s="21"/>
      <c r="AA849"/>
      <c r="AH849" t="str">
        <f t="shared" si="132"/>
        <v>k yet</v>
      </c>
    </row>
    <row r="850" spans="1:34">
      <c r="A850" s="42" t="s">
        <v>254</v>
      </c>
      <c r="B850" s="1" t="s">
        <v>20</v>
      </c>
      <c r="C850" s="40" t="str">
        <f t="shared" si="129"/>
        <v>09-&gt;</v>
      </c>
      <c r="D850" s="40" t="str">
        <f t="shared" si="130"/>
        <v xml:space="preserve">No pick yet                                                 </v>
      </c>
      <c r="E850" s="52">
        <f t="shared" si="131"/>
        <v>0</v>
      </c>
      <c r="F850" s="18"/>
      <c r="M850" s="18"/>
      <c r="N850" s="18"/>
      <c r="O850" s="18"/>
      <c r="P850" s="18"/>
      <c r="Q850" s="22"/>
      <c r="R850" s="21"/>
      <c r="S850" s="21"/>
      <c r="T850" s="21"/>
      <c r="AA850"/>
      <c r="AH850" t="str">
        <f t="shared" si="132"/>
        <v>k yet</v>
      </c>
    </row>
    <row r="851" spans="1:34">
      <c r="A851" s="42" t="s">
        <v>255</v>
      </c>
      <c r="B851" s="1" t="s">
        <v>20</v>
      </c>
      <c r="C851" s="40" t="str">
        <f t="shared" si="129"/>
        <v>10-&gt;</v>
      </c>
      <c r="D851" s="40" t="str">
        <f t="shared" si="130"/>
        <v xml:space="preserve">No pick yet                                                 </v>
      </c>
      <c r="E851" s="52">
        <f t="shared" si="131"/>
        <v>0</v>
      </c>
      <c r="F851" s="22"/>
      <c r="M851" s="18"/>
      <c r="N851" s="18"/>
      <c r="O851" s="18"/>
      <c r="P851" s="18"/>
      <c r="Q851" s="22"/>
      <c r="R851" s="21"/>
      <c r="S851" s="21"/>
      <c r="T851" s="21"/>
      <c r="AA851"/>
      <c r="AH851" t="str">
        <f t="shared" si="132"/>
        <v>k yet</v>
      </c>
    </row>
    <row r="852" spans="1:34">
      <c r="A852" s="42" t="s">
        <v>256</v>
      </c>
      <c r="B852" s="1" t="s">
        <v>20</v>
      </c>
      <c r="C852" s="40" t="str">
        <f t="shared" si="129"/>
        <v>11-&gt;</v>
      </c>
      <c r="D852" s="40" t="str">
        <f t="shared" si="130"/>
        <v xml:space="preserve">No pick yet                                                 </v>
      </c>
      <c r="E852" s="52">
        <f t="shared" si="131"/>
        <v>0</v>
      </c>
      <c r="M852" s="18"/>
      <c r="N852" s="18"/>
      <c r="O852" s="18"/>
      <c r="P852" s="18"/>
      <c r="Q852" s="22"/>
      <c r="R852" s="21"/>
      <c r="S852" s="21"/>
      <c r="T852" s="21"/>
      <c r="AA852"/>
      <c r="AH852" t="str">
        <f t="shared" si="132"/>
        <v>k yet</v>
      </c>
    </row>
    <row r="853" spans="1:34">
      <c r="A853" s="42" t="s">
        <v>257</v>
      </c>
      <c r="B853" s="1" t="s">
        <v>20</v>
      </c>
      <c r="C853" s="40" t="str">
        <f t="shared" si="129"/>
        <v>12-&gt;</v>
      </c>
      <c r="D853" s="40" t="str">
        <f t="shared" si="130"/>
        <v xml:space="preserve">No pick yet                                                 </v>
      </c>
      <c r="E853" s="52">
        <f t="shared" si="131"/>
        <v>0</v>
      </c>
      <c r="M853" s="18"/>
      <c r="N853" s="18"/>
      <c r="O853" s="18"/>
      <c r="P853" s="18"/>
      <c r="Q853" s="22"/>
      <c r="R853" s="21"/>
      <c r="S853" s="21"/>
      <c r="T853" s="21"/>
      <c r="AA853"/>
      <c r="AH853" t="str">
        <f t="shared" si="132"/>
        <v>k yet</v>
      </c>
    </row>
    <row r="854" spans="1:34">
      <c r="A854" s="42" t="s">
        <v>258</v>
      </c>
      <c r="B854" s="1" t="s">
        <v>20</v>
      </c>
      <c r="C854" s="40" t="str">
        <f t="shared" si="129"/>
        <v>13-&gt;</v>
      </c>
      <c r="D854" s="40" t="str">
        <f t="shared" si="130"/>
        <v xml:space="preserve">No pick yet                                                 </v>
      </c>
      <c r="E854" s="52">
        <f t="shared" si="131"/>
        <v>0</v>
      </c>
      <c r="M854" s="18"/>
      <c r="N854" s="18"/>
      <c r="O854" s="18"/>
      <c r="P854" s="18"/>
      <c r="Q854" s="22"/>
      <c r="R854" s="21"/>
      <c r="S854" s="21"/>
      <c r="T854" s="21"/>
      <c r="AA854"/>
      <c r="AH854" t="str">
        <f t="shared" si="132"/>
        <v>k yet</v>
      </c>
    </row>
    <row r="855" spans="1:34">
      <c r="A855" s="42" t="s">
        <v>259</v>
      </c>
      <c r="B855" s="1" t="s">
        <v>20</v>
      </c>
      <c r="C855" s="40" t="str">
        <f t="shared" si="129"/>
        <v>14-&gt;</v>
      </c>
      <c r="D855" s="40" t="str">
        <f t="shared" si="130"/>
        <v xml:space="preserve">No pick yet                                                 </v>
      </c>
      <c r="E855" s="52">
        <f t="shared" si="131"/>
        <v>0</v>
      </c>
      <c r="M855" s="18"/>
      <c r="N855" s="18"/>
      <c r="O855" s="18"/>
      <c r="P855" s="18"/>
      <c r="Q855" s="22"/>
      <c r="R855" s="21"/>
      <c r="S855" s="21"/>
      <c r="T855" s="21"/>
      <c r="AA855"/>
      <c r="AH855" t="str">
        <f t="shared" si="132"/>
        <v>k yet</v>
      </c>
    </row>
    <row r="856" spans="1:34">
      <c r="A856" s="42" t="s">
        <v>260</v>
      </c>
      <c r="B856" s="1" t="s">
        <v>20</v>
      </c>
      <c r="C856" s="40" t="str">
        <f t="shared" si="129"/>
        <v>15-&gt;</v>
      </c>
      <c r="D856" s="40" t="str">
        <f t="shared" si="130"/>
        <v xml:space="preserve">No pick yet                                                 </v>
      </c>
      <c r="E856" s="52">
        <f t="shared" si="131"/>
        <v>0</v>
      </c>
      <c r="M856" s="18"/>
      <c r="N856" s="18"/>
      <c r="O856" s="18"/>
      <c r="P856" s="18"/>
      <c r="Q856" s="22"/>
      <c r="R856" s="21"/>
      <c r="S856" s="21"/>
      <c r="T856" s="21"/>
      <c r="AA856"/>
      <c r="AH856" t="str">
        <f t="shared" si="132"/>
        <v>k yet</v>
      </c>
    </row>
    <row r="857" spans="1:34">
      <c r="A857" s="42" t="s">
        <v>261</v>
      </c>
      <c r="B857" s="1" t="s">
        <v>20</v>
      </c>
      <c r="C857" s="40" t="str">
        <f t="shared" si="129"/>
        <v>16-&gt;</v>
      </c>
      <c r="D857" s="40" t="str">
        <f t="shared" si="130"/>
        <v xml:space="preserve">No pick yet                                                 </v>
      </c>
      <c r="E857" s="52">
        <f t="shared" si="131"/>
        <v>0</v>
      </c>
      <c r="M857" s="18"/>
      <c r="N857" s="18"/>
      <c r="O857" s="18"/>
      <c r="P857" s="18"/>
      <c r="Q857" s="22"/>
      <c r="R857" s="21"/>
      <c r="S857" s="21"/>
      <c r="T857" s="21"/>
      <c r="AA857"/>
      <c r="AH857" t="str">
        <f t="shared" si="132"/>
        <v>k yet</v>
      </c>
    </row>
    <row r="858" spans="1:34">
      <c r="A858" s="42" t="s">
        <v>262</v>
      </c>
      <c r="B858" s="1" t="s">
        <v>20</v>
      </c>
      <c r="C858" s="40" t="str">
        <f t="shared" si="129"/>
        <v>17-&gt;</v>
      </c>
      <c r="D858" s="40" t="str">
        <f t="shared" si="130"/>
        <v xml:space="preserve">No pick yet                                                 </v>
      </c>
      <c r="E858" s="52">
        <f t="shared" si="131"/>
        <v>0</v>
      </c>
      <c r="K858" s="22"/>
      <c r="N858" s="22"/>
      <c r="O858" s="22"/>
      <c r="P858" s="22"/>
      <c r="Q858" s="22"/>
      <c r="R858" s="22"/>
      <c r="S858" s="22"/>
      <c r="Z858" s="53"/>
      <c r="AA858"/>
      <c r="AH858" t="str">
        <f t="shared" si="132"/>
        <v>k yet</v>
      </c>
    </row>
    <row r="859" spans="1:34">
      <c r="A859" s="42" t="s">
        <v>263</v>
      </c>
      <c r="B859" s="1" t="s">
        <v>20</v>
      </c>
      <c r="C859" s="40" t="str">
        <f t="shared" si="129"/>
        <v>18-&gt;</v>
      </c>
      <c r="D859" s="40" t="str">
        <f t="shared" si="130"/>
        <v xml:space="preserve">No pick yet                                                 </v>
      </c>
      <c r="E859" s="52">
        <f t="shared" si="131"/>
        <v>0</v>
      </c>
      <c r="F859" s="18"/>
      <c r="L859" s="21"/>
      <c r="N859" s="22"/>
      <c r="O859" s="22"/>
      <c r="P859" s="18"/>
      <c r="Q859" s="22"/>
      <c r="R859" s="22"/>
      <c r="S859" s="22"/>
      <c r="Z859" s="53"/>
      <c r="AA859"/>
      <c r="AH859" t="str">
        <f t="shared" si="132"/>
        <v>k yet</v>
      </c>
    </row>
    <row r="860" spans="1:34">
      <c r="A860" s="42" t="s">
        <v>264</v>
      </c>
      <c r="B860" s="1" t="s">
        <v>20</v>
      </c>
      <c r="C860" s="40" t="str">
        <f t="shared" si="129"/>
        <v>19-&gt;</v>
      </c>
      <c r="D860" s="40" t="str">
        <f t="shared" si="130"/>
        <v xml:space="preserve">No pick yet                                                 </v>
      </c>
      <c r="E860" s="52">
        <f t="shared" si="131"/>
        <v>0</v>
      </c>
      <c r="F860" s="18"/>
      <c r="M860" s="18"/>
      <c r="N860" s="18"/>
      <c r="O860" s="18"/>
      <c r="P860" s="18"/>
      <c r="Q860" s="22"/>
      <c r="R860" s="21"/>
      <c r="S860" s="21"/>
      <c r="T860" s="21"/>
      <c r="AA860"/>
      <c r="AH860" t="str">
        <f t="shared" si="132"/>
        <v>k yet</v>
      </c>
    </row>
    <row r="861" spans="1:34">
      <c r="A861" s="42" t="s">
        <v>265</v>
      </c>
      <c r="B861" s="1" t="s">
        <v>20</v>
      </c>
      <c r="C861" s="40" t="str">
        <f t="shared" si="129"/>
        <v>20-&gt;</v>
      </c>
      <c r="D861" s="40" t="str">
        <f t="shared" si="130"/>
        <v xml:space="preserve">No pick yet                                                 </v>
      </c>
      <c r="E861" s="52">
        <f t="shared" si="131"/>
        <v>0</v>
      </c>
      <c r="F861" s="18"/>
      <c r="M861" s="18"/>
      <c r="N861" s="18"/>
      <c r="O861" s="18"/>
      <c r="P861" s="18"/>
      <c r="Q861" s="22"/>
      <c r="R861" s="21"/>
      <c r="S861" s="21"/>
      <c r="T861" s="21"/>
      <c r="AA861"/>
      <c r="AH861" t="str">
        <f t="shared" si="132"/>
        <v>k yet</v>
      </c>
    </row>
    <row r="862" spans="1:34">
      <c r="A862" s="42" t="s">
        <v>266</v>
      </c>
      <c r="B862" s="1" t="s">
        <v>20</v>
      </c>
      <c r="C862" s="40" t="str">
        <f t="shared" si="129"/>
        <v>21-&gt;</v>
      </c>
      <c r="D862" s="40" t="str">
        <f t="shared" si="130"/>
        <v xml:space="preserve">No pick yet                                                 </v>
      </c>
      <c r="E862" s="52">
        <f t="shared" si="131"/>
        <v>0</v>
      </c>
      <c r="F862" s="18"/>
      <c r="M862" s="18"/>
      <c r="N862" s="18"/>
      <c r="O862" s="18"/>
      <c r="P862" s="18"/>
      <c r="Q862" s="22"/>
      <c r="R862" s="21"/>
      <c r="S862" s="21"/>
      <c r="T862" s="21"/>
      <c r="AA862"/>
      <c r="AH862" t="str">
        <f t="shared" si="132"/>
        <v>k yet</v>
      </c>
    </row>
    <row r="863" spans="1:34">
      <c r="A863" s="42" t="s">
        <v>267</v>
      </c>
      <c r="B863" s="1" t="s">
        <v>20</v>
      </c>
      <c r="C863" s="40" t="str">
        <f t="shared" si="129"/>
        <v>22-&gt;</v>
      </c>
      <c r="D863" s="40" t="str">
        <f t="shared" si="130"/>
        <v xml:space="preserve">No pick yet                                                 </v>
      </c>
      <c r="E863" s="52">
        <f t="shared" si="131"/>
        <v>0</v>
      </c>
      <c r="F863" s="18"/>
      <c r="G863" s="22"/>
      <c r="I863" s="22"/>
      <c r="J863" s="22"/>
      <c r="M863" s="18"/>
      <c r="N863" s="18"/>
      <c r="O863" s="18"/>
      <c r="P863" s="18"/>
      <c r="Q863" s="22"/>
      <c r="R863" s="21"/>
      <c r="S863" s="21"/>
      <c r="T863" s="21"/>
      <c r="AA863"/>
      <c r="AH863" t="str">
        <f t="shared" si="132"/>
        <v>k yet</v>
      </c>
    </row>
    <row r="864" spans="1:34">
      <c r="A864" s="42" t="s">
        <v>268</v>
      </c>
      <c r="B864" s="1" t="s">
        <v>20</v>
      </c>
      <c r="C864" s="40" t="str">
        <f t="shared" si="129"/>
        <v>23-&gt;</v>
      </c>
      <c r="D864" s="40" t="str">
        <f t="shared" si="130"/>
        <v xml:space="preserve">No pick yet                                                 </v>
      </c>
      <c r="E864" s="52">
        <f t="shared" si="131"/>
        <v>0</v>
      </c>
      <c r="F864" s="18"/>
      <c r="H864" s="21"/>
      <c r="I864" s="22"/>
      <c r="J864" s="22"/>
      <c r="M864" s="18"/>
      <c r="N864" s="18"/>
      <c r="O864" s="18"/>
      <c r="P864" s="18"/>
      <c r="Q864" s="22"/>
      <c r="R864" s="21"/>
      <c r="S864" s="21"/>
      <c r="T864" s="21"/>
      <c r="AA864"/>
      <c r="AH864" t="str">
        <f t="shared" si="132"/>
        <v>k yet</v>
      </c>
    </row>
    <row r="865" spans="1:39">
      <c r="A865" s="42" t="s">
        <v>269</v>
      </c>
      <c r="B865" s="1" t="s">
        <v>20</v>
      </c>
      <c r="C865" s="40" t="str">
        <f t="shared" si="129"/>
        <v>24-&gt;</v>
      </c>
      <c r="D865" s="40" t="str">
        <f t="shared" si="130"/>
        <v xml:space="preserve">No pick yet                                                 </v>
      </c>
      <c r="E865" s="52">
        <f t="shared" si="131"/>
        <v>0</v>
      </c>
      <c r="F865" s="18"/>
      <c r="M865" s="18"/>
      <c r="N865" s="18"/>
      <c r="O865" s="18"/>
      <c r="P865" s="18"/>
      <c r="Q865" s="22"/>
      <c r="R865" s="21"/>
      <c r="S865" s="21"/>
      <c r="T865" s="21"/>
      <c r="AA865"/>
      <c r="AH865" t="str">
        <f t="shared" si="132"/>
        <v>k yet</v>
      </c>
    </row>
    <row r="866" spans="1:39">
      <c r="A866" s="42" t="s">
        <v>270</v>
      </c>
      <c r="B866" s="1" t="s">
        <v>20</v>
      </c>
      <c r="C866" s="40" t="str">
        <f t="shared" si="129"/>
        <v>25-&gt;</v>
      </c>
      <c r="D866" s="40" t="str">
        <f t="shared" si="130"/>
        <v xml:space="preserve">No pick yet                                                 </v>
      </c>
      <c r="E866" s="52">
        <f t="shared" si="131"/>
        <v>0</v>
      </c>
      <c r="F866" s="18"/>
      <c r="M866" s="18"/>
      <c r="N866" s="18"/>
      <c r="O866" s="18"/>
      <c r="P866" s="18"/>
      <c r="Q866" s="22"/>
      <c r="R866" s="21"/>
      <c r="S866" s="21"/>
      <c r="T866" s="21"/>
      <c r="AA866"/>
      <c r="AH866" t="str">
        <f t="shared" si="132"/>
        <v>k yet</v>
      </c>
    </row>
    <row r="867" spans="1:39">
      <c r="A867" s="42" t="s">
        <v>271</v>
      </c>
      <c r="B867" s="1" t="s">
        <v>20</v>
      </c>
      <c r="C867" s="40" t="str">
        <f t="shared" si="129"/>
        <v>26-&gt;</v>
      </c>
      <c r="D867" s="40" t="str">
        <f t="shared" si="130"/>
        <v xml:space="preserve">No pick yet                                                 </v>
      </c>
      <c r="E867" s="52">
        <f t="shared" si="131"/>
        <v>0</v>
      </c>
      <c r="F867" s="18"/>
      <c r="M867" s="18"/>
      <c r="N867" s="18"/>
      <c r="O867" s="18"/>
      <c r="P867" s="18"/>
      <c r="Q867" s="22"/>
      <c r="R867" s="21"/>
      <c r="S867" s="21"/>
      <c r="T867" s="21"/>
      <c r="AA867"/>
      <c r="AH867" t="str">
        <f t="shared" si="132"/>
        <v>k yet</v>
      </c>
    </row>
    <row r="868" spans="1:39">
      <c r="A868" s="38"/>
      <c r="B868" s="40"/>
      <c r="C868" s="40"/>
      <c r="D868" s="49"/>
      <c r="E868" s="41" t="s">
        <v>69</v>
      </c>
      <c r="F868" s="18"/>
      <c r="K868" s="22" t="s">
        <v>73</v>
      </c>
      <c r="L868" s="18" t="s">
        <v>74</v>
      </c>
      <c r="M868" s="22" t="s">
        <v>78</v>
      </c>
      <c r="N868" s="22" t="s">
        <v>79</v>
      </c>
      <c r="O868" s="22" t="s">
        <v>80</v>
      </c>
      <c r="P868" s="22" t="s">
        <v>81</v>
      </c>
      <c r="Q868" s="22" t="s">
        <v>82</v>
      </c>
      <c r="R868" s="22" t="s">
        <v>83</v>
      </c>
      <c r="S868" s="22" t="s">
        <v>84</v>
      </c>
      <c r="T868" s="18" t="s">
        <v>85</v>
      </c>
      <c r="U868" s="18" t="s">
        <v>86</v>
      </c>
      <c r="V868" s="18" t="s">
        <v>87</v>
      </c>
      <c r="W868" s="18" t="s">
        <v>88</v>
      </c>
      <c r="X868" s="18" t="s">
        <v>89</v>
      </c>
      <c r="Y868" s="18" t="s">
        <v>90</v>
      </c>
      <c r="Z868" s="18" t="s">
        <v>91</v>
      </c>
      <c r="AA868" s="18" t="s">
        <v>92</v>
      </c>
      <c r="AB868" s="18" t="s">
        <v>93</v>
      </c>
      <c r="AC868" s="18" t="s">
        <v>94</v>
      </c>
      <c r="AD868" s="18" t="s">
        <v>235</v>
      </c>
      <c r="AE868" s="18" t="s">
        <v>236</v>
      </c>
      <c r="AF868" s="18" t="s">
        <v>237</v>
      </c>
      <c r="AG868" s="18" t="s">
        <v>238</v>
      </c>
      <c r="AH868" s="18" t="s">
        <v>239</v>
      </c>
      <c r="AI868" s="18" t="s">
        <v>240</v>
      </c>
      <c r="AJ868" s="18" t="s">
        <v>241</v>
      </c>
      <c r="AK868" s="18" t="s">
        <v>242</v>
      </c>
      <c r="AL868" s="18" t="s">
        <v>243</v>
      </c>
      <c r="AM868" s="50" t="s">
        <v>244</v>
      </c>
    </row>
    <row r="869" spans="1:39">
      <c r="A869" s="40" t="s">
        <v>245</v>
      </c>
      <c r="B869" s="51" t="str">
        <f>D30</f>
        <v/>
      </c>
      <c r="C869" s="40" t="str">
        <f t="shared" ref="C869:C895" si="133">A869</f>
        <v>#</v>
      </c>
      <c r="D869" s="40" t="str">
        <f>"   "&amp;B869&amp;REPT(" ",$AH$70-LEN(B869)-3)</f>
        <v xml:space="preserve">                                                            </v>
      </c>
      <c r="E869" s="38" t="str">
        <f>SUM(E870:E895)&amp;" pts[/b]"</f>
        <v>0 pts[/b]</v>
      </c>
      <c r="F869" s="21">
        <f>SUM(E870:E895)</f>
        <v>0</v>
      </c>
      <c r="K869" s="18">
        <f>COUNTIF(E870:E895,"&gt;0")</f>
        <v>0</v>
      </c>
      <c r="L869" s="21">
        <f>AM869-K869</f>
        <v>0</v>
      </c>
      <c r="M869" s="22">
        <f>MAX(E870:E895)</f>
        <v>0</v>
      </c>
      <c r="N869" s="22">
        <f>LARGE(E870:E895,2)</f>
        <v>0</v>
      </c>
      <c r="O869" s="22">
        <f>LARGE(E870:E895,3)</f>
        <v>0</v>
      </c>
      <c r="P869" s="18">
        <f>LARGE(E870:E895,4)</f>
        <v>0</v>
      </c>
      <c r="Q869" s="22">
        <f>LARGE(E870:E895,5)</f>
        <v>0</v>
      </c>
      <c r="R869" s="22">
        <f>LARGE(E870:E895,6)</f>
        <v>0</v>
      </c>
      <c r="S869" s="22">
        <f>LARGE(E870:E895,7)</f>
        <v>0</v>
      </c>
      <c r="T869" s="18">
        <f>LARGE(E870:E895,8)</f>
        <v>0</v>
      </c>
      <c r="U869" s="18">
        <f>LARGE(E870:E895,9)</f>
        <v>0</v>
      </c>
      <c r="V869" s="18">
        <f>LARGE(E870:E895,10)</f>
        <v>0</v>
      </c>
      <c r="W869" s="18">
        <f>LARGE(E870:E895,11)</f>
        <v>0</v>
      </c>
      <c r="X869" s="18">
        <f>LARGE(E870:E895,12)</f>
        <v>0</v>
      </c>
      <c r="Y869" s="18">
        <f>LARGE(E870:E895,13)</f>
        <v>0</v>
      </c>
      <c r="Z869" s="18">
        <f>LARGE(E870:E895,14)</f>
        <v>0</v>
      </c>
      <c r="AA869" s="18">
        <f>LARGE(E870:E895,15)</f>
        <v>0</v>
      </c>
      <c r="AB869" s="18">
        <f>LARGE(E870:E895,16)</f>
        <v>0</v>
      </c>
      <c r="AC869" s="18">
        <f>LARGE(E870:E895,17)</f>
        <v>0</v>
      </c>
      <c r="AD869" s="18">
        <f>LARGE(E870:E896,13)</f>
        <v>0</v>
      </c>
      <c r="AE869" s="18">
        <f>LARGE(E870:E895,19)</f>
        <v>0</v>
      </c>
      <c r="AF869" s="18">
        <f>LARGE(E870:E895,20)</f>
        <v>0</v>
      </c>
      <c r="AG869" s="18">
        <f>LARGE(E870:E895,21)</f>
        <v>0</v>
      </c>
      <c r="AH869" s="18">
        <f>LARGE(E870:E895,22)</f>
        <v>0</v>
      </c>
      <c r="AI869" s="18">
        <f>LARGE(E870:E895,23)</f>
        <v>0</v>
      </c>
      <c r="AJ869" s="18">
        <f>LARGE(E870:E895,24)</f>
        <v>0</v>
      </c>
      <c r="AK869" s="18">
        <f>LARGE(E870:E895,25)</f>
        <v>0</v>
      </c>
      <c r="AL869" s="18">
        <f>LARGE(E870:E895,26)</f>
        <v>0</v>
      </c>
      <c r="AM869" s="50">
        <f>COUNTIF(AH870:AH895,"&lt;&gt;"&amp;AH76)-(26-COUNTIF(E870:E895,"&gt;=0"))</f>
        <v>0</v>
      </c>
    </row>
    <row r="870" spans="1:39">
      <c r="A870" s="42" t="s">
        <v>246</v>
      </c>
      <c r="B870" s="1" t="s">
        <v>20</v>
      </c>
      <c r="C870" s="40" t="str">
        <f t="shared" si="133"/>
        <v>01-&gt;</v>
      </c>
      <c r="D870" s="40" t="str">
        <f t="shared" ref="D870:D895" si="134">B870&amp;REPT(" ",$AH$70-LEN(B870))</f>
        <v xml:space="preserve">No pick yet                                                 </v>
      </c>
      <c r="E870" s="52">
        <f t="shared" ref="E870:E895" si="135">VLOOKUP(RIGHT(B870,LEN(B870)-$AH$66),$H$138:$I$420,2,0)</f>
        <v>0</v>
      </c>
      <c r="F870" s="18"/>
      <c r="M870" s="18"/>
      <c r="N870" s="18"/>
      <c r="O870" s="18"/>
      <c r="P870" s="18"/>
      <c r="Q870" s="22"/>
      <c r="R870" s="21"/>
      <c r="S870" s="21"/>
      <c r="T870" s="21"/>
      <c r="AA870"/>
      <c r="AH870" t="str">
        <f t="shared" ref="AH870:AH895" si="136">RIGHT(B870,LEN(B870)-$AH$66)</f>
        <v>k yet</v>
      </c>
    </row>
    <row r="871" spans="1:39">
      <c r="A871" s="42" t="s">
        <v>247</v>
      </c>
      <c r="B871" s="1" t="s">
        <v>20</v>
      </c>
      <c r="C871" s="40" t="str">
        <f t="shared" si="133"/>
        <v>02-&gt;</v>
      </c>
      <c r="D871" s="40" t="str">
        <f t="shared" si="134"/>
        <v xml:space="preserve">No pick yet                                                 </v>
      </c>
      <c r="E871" s="52">
        <f t="shared" si="135"/>
        <v>0</v>
      </c>
      <c r="F871" s="18"/>
      <c r="K871" s="22"/>
      <c r="N871" s="22"/>
      <c r="O871" s="22"/>
      <c r="P871" s="22"/>
      <c r="Q871" s="22"/>
      <c r="R871" s="22"/>
      <c r="S871" s="22"/>
      <c r="Z871" s="53"/>
      <c r="AA871"/>
      <c r="AH871" t="str">
        <f t="shared" si="136"/>
        <v>k yet</v>
      </c>
    </row>
    <row r="872" spans="1:39">
      <c r="A872" s="42" t="s">
        <v>248</v>
      </c>
      <c r="B872" s="1" t="s">
        <v>20</v>
      </c>
      <c r="C872" s="40" t="str">
        <f t="shared" si="133"/>
        <v>03-&gt;</v>
      </c>
      <c r="D872" s="40" t="str">
        <f t="shared" si="134"/>
        <v xml:space="preserve">No pick yet                                                 </v>
      </c>
      <c r="E872" s="52">
        <f t="shared" si="135"/>
        <v>0</v>
      </c>
      <c r="F872" s="18"/>
      <c r="L872" s="21"/>
      <c r="N872" s="22"/>
      <c r="O872" s="22"/>
      <c r="P872" s="18"/>
      <c r="Q872" s="22"/>
      <c r="R872" s="22"/>
      <c r="S872" s="22"/>
      <c r="Z872" s="53"/>
      <c r="AA872"/>
      <c r="AH872" t="str">
        <f t="shared" si="136"/>
        <v>k yet</v>
      </c>
    </row>
    <row r="873" spans="1:39">
      <c r="A873" s="42" t="s">
        <v>249</v>
      </c>
      <c r="B873" s="1" t="s">
        <v>20</v>
      </c>
      <c r="C873" s="40" t="str">
        <f t="shared" si="133"/>
        <v>04-&gt;</v>
      </c>
      <c r="D873" s="40" t="str">
        <f t="shared" si="134"/>
        <v xml:space="preserve">No pick yet                                                 </v>
      </c>
      <c r="E873" s="52">
        <f t="shared" si="135"/>
        <v>0</v>
      </c>
      <c r="F873" s="18"/>
      <c r="M873" s="18"/>
      <c r="N873" s="18"/>
      <c r="O873" s="18"/>
      <c r="P873" s="18"/>
      <c r="Q873" s="22"/>
      <c r="R873" s="21"/>
      <c r="S873" s="21"/>
      <c r="T873" s="21"/>
      <c r="AA873"/>
      <c r="AH873" t="str">
        <f t="shared" si="136"/>
        <v>k yet</v>
      </c>
    </row>
    <row r="874" spans="1:39">
      <c r="A874" s="42" t="s">
        <v>250</v>
      </c>
      <c r="B874" s="1" t="s">
        <v>20</v>
      </c>
      <c r="C874" s="40" t="str">
        <f t="shared" si="133"/>
        <v>05-&gt;</v>
      </c>
      <c r="D874" s="40" t="str">
        <f t="shared" si="134"/>
        <v xml:space="preserve">No pick yet                                                 </v>
      </c>
      <c r="E874" s="52">
        <f t="shared" si="135"/>
        <v>0</v>
      </c>
      <c r="F874" s="18"/>
      <c r="M874" s="18"/>
      <c r="N874" s="18"/>
      <c r="O874" s="18"/>
      <c r="P874" s="18"/>
      <c r="Q874" s="22"/>
      <c r="R874" s="21"/>
      <c r="S874" s="21"/>
      <c r="T874" s="21"/>
      <c r="AA874"/>
      <c r="AH874" t="str">
        <f t="shared" si="136"/>
        <v>k yet</v>
      </c>
    </row>
    <row r="875" spans="1:39">
      <c r="A875" s="42" t="s">
        <v>251</v>
      </c>
      <c r="B875" s="1" t="s">
        <v>20</v>
      </c>
      <c r="C875" s="40" t="str">
        <f t="shared" si="133"/>
        <v>06-&gt;</v>
      </c>
      <c r="D875" s="40" t="str">
        <f t="shared" si="134"/>
        <v xml:space="preserve">No pick yet                                                 </v>
      </c>
      <c r="E875" s="52">
        <f t="shared" si="135"/>
        <v>0</v>
      </c>
      <c r="F875" s="18"/>
      <c r="M875" s="18"/>
      <c r="N875" s="18"/>
      <c r="O875" s="18"/>
      <c r="P875" s="18"/>
      <c r="Q875" s="22"/>
      <c r="R875" s="21"/>
      <c r="S875" s="21"/>
      <c r="T875" s="21"/>
      <c r="AA875"/>
      <c r="AH875" t="str">
        <f t="shared" si="136"/>
        <v>k yet</v>
      </c>
    </row>
    <row r="876" spans="1:39">
      <c r="A876" s="42" t="s">
        <v>252</v>
      </c>
      <c r="B876" s="1" t="s">
        <v>20</v>
      </c>
      <c r="C876" s="40" t="str">
        <f t="shared" si="133"/>
        <v>07-&gt;</v>
      </c>
      <c r="D876" s="40" t="str">
        <f t="shared" si="134"/>
        <v xml:space="preserve">No pick yet                                                 </v>
      </c>
      <c r="E876" s="52">
        <f t="shared" si="135"/>
        <v>0</v>
      </c>
      <c r="F876" s="18"/>
      <c r="M876" s="18"/>
      <c r="N876" s="18"/>
      <c r="O876" s="18"/>
      <c r="P876" s="18"/>
      <c r="Q876" s="22"/>
      <c r="R876" s="21"/>
      <c r="S876" s="21"/>
      <c r="T876" s="21"/>
      <c r="AA876"/>
      <c r="AH876" t="str">
        <f t="shared" si="136"/>
        <v>k yet</v>
      </c>
    </row>
    <row r="877" spans="1:39">
      <c r="A877" s="42" t="s">
        <v>253</v>
      </c>
      <c r="B877" s="1" t="s">
        <v>20</v>
      </c>
      <c r="C877" s="40" t="str">
        <f t="shared" si="133"/>
        <v>08-&gt;</v>
      </c>
      <c r="D877" s="40" t="str">
        <f t="shared" si="134"/>
        <v xml:space="preserve">No pick yet                                                 </v>
      </c>
      <c r="E877" s="52">
        <f t="shared" si="135"/>
        <v>0</v>
      </c>
      <c r="F877" s="18"/>
      <c r="M877" s="18"/>
      <c r="N877" s="18"/>
      <c r="O877" s="18"/>
      <c r="P877" s="18"/>
      <c r="Q877" s="22"/>
      <c r="R877" s="21"/>
      <c r="S877" s="21"/>
      <c r="T877" s="21"/>
      <c r="AA877"/>
      <c r="AH877" t="str">
        <f t="shared" si="136"/>
        <v>k yet</v>
      </c>
    </row>
    <row r="878" spans="1:39">
      <c r="A878" s="42" t="s">
        <v>254</v>
      </c>
      <c r="B878" s="1" t="s">
        <v>20</v>
      </c>
      <c r="C878" s="40" t="str">
        <f t="shared" si="133"/>
        <v>09-&gt;</v>
      </c>
      <c r="D878" s="40" t="str">
        <f t="shared" si="134"/>
        <v xml:space="preserve">No pick yet                                                 </v>
      </c>
      <c r="E878" s="52">
        <f t="shared" si="135"/>
        <v>0</v>
      </c>
      <c r="F878" s="18"/>
      <c r="G878" s="22"/>
      <c r="I878" s="22"/>
      <c r="J878" s="22"/>
      <c r="M878" s="18"/>
      <c r="N878" s="18"/>
      <c r="O878" s="18"/>
      <c r="P878" s="18"/>
      <c r="Q878" s="22"/>
      <c r="R878" s="21"/>
      <c r="S878" s="21"/>
      <c r="T878" s="21"/>
      <c r="AA878"/>
      <c r="AH878" t="str">
        <f t="shared" si="136"/>
        <v>k yet</v>
      </c>
    </row>
    <row r="879" spans="1:39">
      <c r="A879" s="42" t="s">
        <v>255</v>
      </c>
      <c r="B879" s="1" t="s">
        <v>20</v>
      </c>
      <c r="C879" s="40" t="str">
        <f t="shared" si="133"/>
        <v>10-&gt;</v>
      </c>
      <c r="D879" s="40" t="str">
        <f t="shared" si="134"/>
        <v xml:space="preserve">No pick yet                                                 </v>
      </c>
      <c r="E879" s="52">
        <f t="shared" si="135"/>
        <v>0</v>
      </c>
      <c r="F879" s="22"/>
      <c r="H879" s="21"/>
      <c r="I879" s="22"/>
      <c r="J879" s="22"/>
      <c r="M879" s="18"/>
      <c r="N879" s="18"/>
      <c r="O879" s="18"/>
      <c r="P879" s="18"/>
      <c r="Q879" s="22"/>
      <c r="R879" s="21"/>
      <c r="S879" s="21"/>
      <c r="T879" s="21"/>
      <c r="AA879"/>
      <c r="AH879" t="str">
        <f t="shared" si="136"/>
        <v>k yet</v>
      </c>
    </row>
    <row r="880" spans="1:39">
      <c r="A880" s="42" t="s">
        <v>256</v>
      </c>
      <c r="B880" s="1" t="s">
        <v>20</v>
      </c>
      <c r="C880" s="40" t="str">
        <f t="shared" si="133"/>
        <v>11-&gt;</v>
      </c>
      <c r="D880" s="40" t="str">
        <f t="shared" si="134"/>
        <v xml:space="preserve">No pick yet                                                 </v>
      </c>
      <c r="E880" s="52">
        <f t="shared" si="135"/>
        <v>0</v>
      </c>
      <c r="M880" s="18"/>
      <c r="N880" s="18"/>
      <c r="O880" s="18"/>
      <c r="P880" s="18"/>
      <c r="Q880" s="22"/>
      <c r="R880" s="21"/>
      <c r="S880" s="21"/>
      <c r="T880" s="21"/>
      <c r="AA880"/>
      <c r="AH880" t="str">
        <f t="shared" si="136"/>
        <v>k yet</v>
      </c>
    </row>
    <row r="881" spans="1:39">
      <c r="A881" s="42" t="s">
        <v>257</v>
      </c>
      <c r="B881" s="1" t="s">
        <v>20</v>
      </c>
      <c r="C881" s="40" t="str">
        <f t="shared" si="133"/>
        <v>12-&gt;</v>
      </c>
      <c r="D881" s="40" t="str">
        <f t="shared" si="134"/>
        <v xml:space="preserve">No pick yet                                                 </v>
      </c>
      <c r="E881" s="52">
        <f t="shared" si="135"/>
        <v>0</v>
      </c>
      <c r="M881" s="18"/>
      <c r="N881" s="18"/>
      <c r="O881" s="18"/>
      <c r="P881" s="18"/>
      <c r="Q881" s="22"/>
      <c r="R881" s="21"/>
      <c r="S881" s="21"/>
      <c r="T881" s="21"/>
      <c r="AA881"/>
      <c r="AH881" t="str">
        <f t="shared" si="136"/>
        <v>k yet</v>
      </c>
    </row>
    <row r="882" spans="1:39">
      <c r="A882" s="42" t="s">
        <v>258</v>
      </c>
      <c r="B882" s="1" t="s">
        <v>20</v>
      </c>
      <c r="C882" s="40" t="str">
        <f t="shared" si="133"/>
        <v>13-&gt;</v>
      </c>
      <c r="D882" s="40" t="str">
        <f t="shared" si="134"/>
        <v xml:space="preserve">No pick yet                                                 </v>
      </c>
      <c r="E882" s="52">
        <f t="shared" si="135"/>
        <v>0</v>
      </c>
      <c r="M882" s="18"/>
      <c r="N882" s="18"/>
      <c r="O882" s="18"/>
      <c r="P882" s="18"/>
      <c r="Q882" s="22"/>
      <c r="R882" s="21"/>
      <c r="S882" s="21"/>
      <c r="T882" s="21"/>
      <c r="AA882"/>
      <c r="AH882" t="str">
        <f t="shared" si="136"/>
        <v>k yet</v>
      </c>
    </row>
    <row r="883" spans="1:39">
      <c r="A883" s="42" t="s">
        <v>259</v>
      </c>
      <c r="B883" s="1" t="s">
        <v>20</v>
      </c>
      <c r="C883" s="40" t="str">
        <f t="shared" si="133"/>
        <v>14-&gt;</v>
      </c>
      <c r="D883" s="40" t="str">
        <f t="shared" si="134"/>
        <v xml:space="preserve">No pick yet                                                 </v>
      </c>
      <c r="E883" s="52">
        <f t="shared" si="135"/>
        <v>0</v>
      </c>
      <c r="M883" s="18"/>
      <c r="N883" s="18"/>
      <c r="O883" s="18"/>
      <c r="P883" s="18"/>
      <c r="Q883" s="22"/>
      <c r="R883" s="21"/>
      <c r="S883" s="21"/>
      <c r="T883" s="21"/>
      <c r="AA883"/>
      <c r="AH883" t="str">
        <f t="shared" si="136"/>
        <v>k yet</v>
      </c>
    </row>
    <row r="884" spans="1:39">
      <c r="A884" s="42" t="s">
        <v>260</v>
      </c>
      <c r="B884" s="1" t="s">
        <v>20</v>
      </c>
      <c r="C884" s="40" t="str">
        <f t="shared" si="133"/>
        <v>15-&gt;</v>
      </c>
      <c r="D884" s="40" t="str">
        <f t="shared" si="134"/>
        <v xml:space="preserve">No pick yet                                                 </v>
      </c>
      <c r="E884" s="52">
        <f t="shared" si="135"/>
        <v>0</v>
      </c>
      <c r="M884" s="18"/>
      <c r="N884" s="18"/>
      <c r="O884" s="18"/>
      <c r="P884" s="18"/>
      <c r="Q884" s="22"/>
      <c r="R884" s="21"/>
      <c r="S884" s="21"/>
      <c r="T884" s="21"/>
      <c r="AA884"/>
      <c r="AH884" t="str">
        <f t="shared" si="136"/>
        <v>k yet</v>
      </c>
    </row>
    <row r="885" spans="1:39">
      <c r="A885" s="42" t="s">
        <v>261</v>
      </c>
      <c r="B885" s="1" t="s">
        <v>20</v>
      </c>
      <c r="C885" s="40" t="str">
        <f t="shared" si="133"/>
        <v>16-&gt;</v>
      </c>
      <c r="D885" s="40" t="str">
        <f t="shared" si="134"/>
        <v xml:space="preserve">No pick yet                                                 </v>
      </c>
      <c r="E885" s="52">
        <f t="shared" si="135"/>
        <v>0</v>
      </c>
      <c r="M885" s="18"/>
      <c r="N885" s="18"/>
      <c r="O885" s="18"/>
      <c r="P885" s="18"/>
      <c r="Q885" s="22"/>
      <c r="R885" s="21"/>
      <c r="S885" s="21"/>
      <c r="T885" s="21"/>
      <c r="AA885"/>
      <c r="AH885" t="str">
        <f t="shared" si="136"/>
        <v>k yet</v>
      </c>
    </row>
    <row r="886" spans="1:39">
      <c r="A886" s="42" t="s">
        <v>262</v>
      </c>
      <c r="B886" s="1" t="s">
        <v>20</v>
      </c>
      <c r="C886" s="40" t="str">
        <f t="shared" si="133"/>
        <v>17-&gt;</v>
      </c>
      <c r="D886" s="40" t="str">
        <f t="shared" si="134"/>
        <v xml:space="preserve">No pick yet                                                 </v>
      </c>
      <c r="E886" s="52">
        <f t="shared" si="135"/>
        <v>0</v>
      </c>
      <c r="K886" s="22"/>
      <c r="N886" s="22"/>
      <c r="O886" s="22"/>
      <c r="P886" s="22"/>
      <c r="Q886" s="22"/>
      <c r="R886" s="22"/>
      <c r="S886" s="22"/>
      <c r="Z886" s="53"/>
      <c r="AA886"/>
      <c r="AH886" t="str">
        <f t="shared" si="136"/>
        <v>k yet</v>
      </c>
    </row>
    <row r="887" spans="1:39">
      <c r="A887" s="42" t="s">
        <v>263</v>
      </c>
      <c r="B887" s="1" t="s">
        <v>20</v>
      </c>
      <c r="C887" s="40" t="str">
        <f t="shared" si="133"/>
        <v>18-&gt;</v>
      </c>
      <c r="D887" s="40" t="str">
        <f t="shared" si="134"/>
        <v xml:space="preserve">No pick yet                                                 </v>
      </c>
      <c r="E887" s="52">
        <f t="shared" si="135"/>
        <v>0</v>
      </c>
      <c r="F887" s="18"/>
      <c r="L887" s="21"/>
      <c r="N887" s="22"/>
      <c r="O887" s="22"/>
      <c r="P887" s="18"/>
      <c r="Q887" s="22"/>
      <c r="R887" s="22"/>
      <c r="S887" s="22"/>
      <c r="Z887" s="53"/>
      <c r="AA887"/>
      <c r="AH887" t="str">
        <f t="shared" si="136"/>
        <v>k yet</v>
      </c>
    </row>
    <row r="888" spans="1:39">
      <c r="A888" s="42" t="s">
        <v>264</v>
      </c>
      <c r="B888" s="1" t="s">
        <v>20</v>
      </c>
      <c r="C888" s="40" t="str">
        <f t="shared" si="133"/>
        <v>19-&gt;</v>
      </c>
      <c r="D888" s="40" t="str">
        <f t="shared" si="134"/>
        <v xml:space="preserve">No pick yet                                                 </v>
      </c>
      <c r="E888" s="52">
        <f t="shared" si="135"/>
        <v>0</v>
      </c>
      <c r="F888" s="18"/>
      <c r="M888" s="18"/>
      <c r="N888" s="18"/>
      <c r="O888" s="18"/>
      <c r="P888" s="18"/>
      <c r="Q888" s="22"/>
      <c r="R888" s="21"/>
      <c r="S888" s="21"/>
      <c r="T888" s="21"/>
      <c r="AA888"/>
      <c r="AH888" t="str">
        <f t="shared" si="136"/>
        <v>k yet</v>
      </c>
    </row>
    <row r="889" spans="1:39">
      <c r="A889" s="42" t="s">
        <v>265</v>
      </c>
      <c r="B889" s="1" t="s">
        <v>20</v>
      </c>
      <c r="C889" s="40" t="str">
        <f t="shared" si="133"/>
        <v>20-&gt;</v>
      </c>
      <c r="D889" s="40" t="str">
        <f t="shared" si="134"/>
        <v xml:space="preserve">No pick yet                                                 </v>
      </c>
      <c r="E889" s="52">
        <f t="shared" si="135"/>
        <v>0</v>
      </c>
      <c r="F889" s="18"/>
      <c r="M889" s="18"/>
      <c r="N889" s="18"/>
      <c r="O889" s="18"/>
      <c r="P889" s="18"/>
      <c r="Q889" s="22"/>
      <c r="R889" s="21"/>
      <c r="S889" s="21"/>
      <c r="T889" s="21"/>
      <c r="AA889"/>
      <c r="AH889" t="str">
        <f t="shared" si="136"/>
        <v>k yet</v>
      </c>
    </row>
    <row r="890" spans="1:39">
      <c r="A890" s="42" t="s">
        <v>266</v>
      </c>
      <c r="B890" s="1" t="s">
        <v>20</v>
      </c>
      <c r="C890" s="40" t="str">
        <f t="shared" si="133"/>
        <v>21-&gt;</v>
      </c>
      <c r="D890" s="40" t="str">
        <f t="shared" si="134"/>
        <v xml:space="preserve">No pick yet                                                 </v>
      </c>
      <c r="E890" s="52">
        <f t="shared" si="135"/>
        <v>0</v>
      </c>
      <c r="F890" s="18"/>
      <c r="M890" s="18"/>
      <c r="N890" s="18"/>
      <c r="O890" s="18"/>
      <c r="P890" s="18"/>
      <c r="Q890" s="22"/>
      <c r="R890" s="21"/>
      <c r="S890" s="21"/>
      <c r="T890" s="21"/>
      <c r="AA890"/>
      <c r="AH890" t="str">
        <f t="shared" si="136"/>
        <v>k yet</v>
      </c>
    </row>
    <row r="891" spans="1:39">
      <c r="A891" s="42" t="s">
        <v>267</v>
      </c>
      <c r="B891" s="1" t="s">
        <v>20</v>
      </c>
      <c r="C891" s="40" t="str">
        <f t="shared" si="133"/>
        <v>22-&gt;</v>
      </c>
      <c r="D891" s="40" t="str">
        <f t="shared" si="134"/>
        <v xml:space="preserve">No pick yet                                                 </v>
      </c>
      <c r="E891" s="52">
        <f t="shared" si="135"/>
        <v>0</v>
      </c>
      <c r="F891" s="18"/>
      <c r="M891" s="18"/>
      <c r="N891" s="18"/>
      <c r="O891" s="18"/>
      <c r="P891" s="18"/>
      <c r="Q891" s="22"/>
      <c r="R891" s="21"/>
      <c r="S891" s="21"/>
      <c r="T891" s="21"/>
      <c r="AA891"/>
      <c r="AH891" t="str">
        <f t="shared" si="136"/>
        <v>k yet</v>
      </c>
    </row>
    <row r="892" spans="1:39">
      <c r="A892" s="42" t="s">
        <v>268</v>
      </c>
      <c r="B892" s="1" t="s">
        <v>20</v>
      </c>
      <c r="C892" s="40" t="str">
        <f t="shared" si="133"/>
        <v>23-&gt;</v>
      </c>
      <c r="D892" s="40" t="str">
        <f t="shared" si="134"/>
        <v xml:space="preserve">No pick yet                                                 </v>
      </c>
      <c r="E892" s="52">
        <f t="shared" si="135"/>
        <v>0</v>
      </c>
      <c r="F892" s="18"/>
      <c r="M892" s="18"/>
      <c r="N892" s="18"/>
      <c r="O892" s="18"/>
      <c r="P892" s="18"/>
      <c r="Q892" s="22"/>
      <c r="R892" s="21"/>
      <c r="S892" s="21"/>
      <c r="T892" s="21"/>
      <c r="AA892"/>
      <c r="AH892" t="str">
        <f t="shared" si="136"/>
        <v>k yet</v>
      </c>
    </row>
    <row r="893" spans="1:39">
      <c r="A893" s="42" t="s">
        <v>269</v>
      </c>
      <c r="B893" s="1" t="s">
        <v>20</v>
      </c>
      <c r="C893" s="40" t="str">
        <f t="shared" si="133"/>
        <v>24-&gt;</v>
      </c>
      <c r="D893" s="40" t="str">
        <f t="shared" si="134"/>
        <v xml:space="preserve">No pick yet                                                 </v>
      </c>
      <c r="E893" s="52">
        <f t="shared" si="135"/>
        <v>0</v>
      </c>
      <c r="F893" s="18"/>
      <c r="G893" s="22"/>
      <c r="I893" s="22"/>
      <c r="J893" s="22"/>
      <c r="M893" s="18"/>
      <c r="N893" s="18"/>
      <c r="O893" s="18"/>
      <c r="P893" s="18"/>
      <c r="Q893" s="22"/>
      <c r="R893" s="21"/>
      <c r="S893" s="21"/>
      <c r="T893" s="21"/>
      <c r="AA893"/>
      <c r="AH893" t="str">
        <f t="shared" si="136"/>
        <v>k yet</v>
      </c>
    </row>
    <row r="894" spans="1:39">
      <c r="A894" s="42" t="s">
        <v>270</v>
      </c>
      <c r="B894" s="1" t="s">
        <v>20</v>
      </c>
      <c r="C894" s="40" t="str">
        <f t="shared" si="133"/>
        <v>25-&gt;</v>
      </c>
      <c r="D894" s="40" t="str">
        <f t="shared" si="134"/>
        <v xml:space="preserve">No pick yet                                                 </v>
      </c>
      <c r="E894" s="52">
        <f t="shared" si="135"/>
        <v>0</v>
      </c>
      <c r="F894" s="18"/>
      <c r="H894" s="21"/>
      <c r="I894" s="22"/>
      <c r="J894" s="22"/>
      <c r="M894" s="18"/>
      <c r="N894" s="18"/>
      <c r="O894" s="18"/>
      <c r="P894" s="18"/>
      <c r="Q894" s="22"/>
      <c r="R894" s="21"/>
      <c r="S894" s="21"/>
      <c r="T894" s="21"/>
      <c r="AA894"/>
      <c r="AH894" t="str">
        <f t="shared" si="136"/>
        <v>k yet</v>
      </c>
    </row>
    <row r="895" spans="1:39">
      <c r="A895" s="42" t="s">
        <v>271</v>
      </c>
      <c r="B895" s="1" t="s">
        <v>20</v>
      </c>
      <c r="C895" s="40" t="str">
        <f t="shared" si="133"/>
        <v>26-&gt;</v>
      </c>
      <c r="D895" s="40" t="str">
        <f t="shared" si="134"/>
        <v xml:space="preserve">No pick yet                                                 </v>
      </c>
      <c r="E895" s="52">
        <f t="shared" si="135"/>
        <v>0</v>
      </c>
      <c r="F895" s="18"/>
      <c r="M895" s="18"/>
      <c r="N895" s="18"/>
      <c r="O895" s="18"/>
      <c r="P895" s="18"/>
      <c r="Q895" s="22"/>
      <c r="R895" s="21"/>
      <c r="S895" s="21"/>
      <c r="T895" s="21"/>
      <c r="AA895"/>
      <c r="AH895" t="str">
        <f t="shared" si="136"/>
        <v>k yet</v>
      </c>
    </row>
    <row r="896" spans="1:39">
      <c r="A896" s="38"/>
      <c r="B896" s="40"/>
      <c r="C896" s="40"/>
      <c r="D896" s="49"/>
      <c r="E896" s="41" t="s">
        <v>69</v>
      </c>
      <c r="F896" s="18"/>
      <c r="K896" s="22" t="s">
        <v>73</v>
      </c>
      <c r="L896" s="18" t="s">
        <v>74</v>
      </c>
      <c r="M896" s="22" t="s">
        <v>78</v>
      </c>
      <c r="N896" s="22" t="s">
        <v>79</v>
      </c>
      <c r="O896" s="22" t="s">
        <v>80</v>
      </c>
      <c r="P896" s="22" t="s">
        <v>81</v>
      </c>
      <c r="Q896" s="22" t="s">
        <v>82</v>
      </c>
      <c r="R896" s="22" t="s">
        <v>83</v>
      </c>
      <c r="S896" s="22" t="s">
        <v>84</v>
      </c>
      <c r="T896" s="18" t="s">
        <v>85</v>
      </c>
      <c r="U896" s="18" t="s">
        <v>86</v>
      </c>
      <c r="V896" s="18" t="s">
        <v>87</v>
      </c>
      <c r="W896" s="18" t="s">
        <v>88</v>
      </c>
      <c r="X896" s="18" t="s">
        <v>89</v>
      </c>
      <c r="Y896" s="18" t="s">
        <v>90</v>
      </c>
      <c r="Z896" s="18" t="s">
        <v>91</v>
      </c>
      <c r="AA896" s="18" t="s">
        <v>92</v>
      </c>
      <c r="AB896" s="18" t="s">
        <v>93</v>
      </c>
      <c r="AC896" s="18" t="s">
        <v>94</v>
      </c>
      <c r="AD896" s="18" t="s">
        <v>235</v>
      </c>
      <c r="AE896" s="18" t="s">
        <v>236</v>
      </c>
      <c r="AF896" s="18" t="s">
        <v>237</v>
      </c>
      <c r="AG896" s="18" t="s">
        <v>238</v>
      </c>
      <c r="AH896" s="18" t="s">
        <v>239</v>
      </c>
      <c r="AI896" s="18" t="s">
        <v>240</v>
      </c>
      <c r="AJ896" s="18" t="s">
        <v>241</v>
      </c>
      <c r="AK896" s="18" t="s">
        <v>242</v>
      </c>
      <c r="AL896" s="18" t="s">
        <v>243</v>
      </c>
      <c r="AM896" s="50" t="s">
        <v>244</v>
      </c>
    </row>
    <row r="897" spans="1:39">
      <c r="A897" s="40" t="s">
        <v>245</v>
      </c>
      <c r="B897" s="51" t="str">
        <f>D31</f>
        <v/>
      </c>
      <c r="C897" s="40" t="str">
        <f t="shared" ref="C897:C923" si="137">A897</f>
        <v>#</v>
      </c>
      <c r="D897" s="40" t="str">
        <f>"   "&amp;B897&amp;REPT(" ",$AH$70-LEN(B897)-3)</f>
        <v xml:space="preserve">                                                            </v>
      </c>
      <c r="E897" s="38" t="str">
        <f>SUM(E898:E923)&amp;" pts[/b]"</f>
        <v>0 pts[/b]</v>
      </c>
      <c r="F897" s="21">
        <f>SUM(E898:E923)</f>
        <v>0</v>
      </c>
      <c r="K897" s="18">
        <f>COUNTIF(E898:E923,"&gt;0")</f>
        <v>0</v>
      </c>
      <c r="L897" s="21">
        <f>AM897-K897</f>
        <v>0</v>
      </c>
      <c r="M897" s="22">
        <f>MAX(E898:E923)</f>
        <v>0</v>
      </c>
      <c r="N897" s="22">
        <f>LARGE(E898:E923,2)</f>
        <v>0</v>
      </c>
      <c r="O897" s="22">
        <f>LARGE(E898:E923,3)</f>
        <v>0</v>
      </c>
      <c r="P897" s="18">
        <f>LARGE(E898:E923,4)</f>
        <v>0</v>
      </c>
      <c r="Q897" s="22">
        <f>LARGE(E898:E923,5)</f>
        <v>0</v>
      </c>
      <c r="R897" s="22">
        <f>LARGE(E898:E923,6)</f>
        <v>0</v>
      </c>
      <c r="S897" s="22">
        <f>LARGE(E898:E923,7)</f>
        <v>0</v>
      </c>
      <c r="T897" s="18">
        <f>LARGE(E898:E923,8)</f>
        <v>0</v>
      </c>
      <c r="U897" s="18">
        <f>LARGE(E898:E923,9)</f>
        <v>0</v>
      </c>
      <c r="V897" s="18">
        <f>LARGE(E898:E923,10)</f>
        <v>0</v>
      </c>
      <c r="W897" s="18">
        <f>LARGE(E898:E923,11)</f>
        <v>0</v>
      </c>
      <c r="X897" s="18">
        <f>LARGE(E898:E923,12)</f>
        <v>0</v>
      </c>
      <c r="Y897" s="18">
        <f>LARGE(E898:E923,13)</f>
        <v>0</v>
      </c>
      <c r="Z897" s="18">
        <f>LARGE(E898:E923,14)</f>
        <v>0</v>
      </c>
      <c r="AA897" s="18">
        <f>LARGE(E898:E923,15)</f>
        <v>0</v>
      </c>
      <c r="AB897" s="18">
        <f>LARGE(E898:E923,16)</f>
        <v>0</v>
      </c>
      <c r="AC897" s="18">
        <f>LARGE(E898:E923,17)</f>
        <v>0</v>
      </c>
      <c r="AD897" s="18">
        <f>LARGE(E898:E924,13)</f>
        <v>0</v>
      </c>
      <c r="AE897" s="18">
        <f>LARGE(E898:E923,19)</f>
        <v>0</v>
      </c>
      <c r="AF897" s="18">
        <f>LARGE(E898:E923,20)</f>
        <v>0</v>
      </c>
      <c r="AG897" s="18">
        <f>LARGE(E898:E923,21)</f>
        <v>0</v>
      </c>
      <c r="AH897" s="18">
        <f>LARGE(E898:E923,22)</f>
        <v>0</v>
      </c>
      <c r="AI897" s="18">
        <f>LARGE(E898:E923,23)</f>
        <v>0</v>
      </c>
      <c r="AJ897" s="18">
        <f>LARGE(E898:E923,24)</f>
        <v>0</v>
      </c>
      <c r="AK897" s="18">
        <f>LARGE(E898:E923,25)</f>
        <v>0</v>
      </c>
      <c r="AL897" s="18">
        <f>LARGE(E898:E923,26)</f>
        <v>0</v>
      </c>
      <c r="AM897" s="50">
        <f>COUNTIF(AH898:AH923,"&lt;&gt;"&amp;AH76)-(26-COUNTIF(E898:E923,"&gt;=0"))</f>
        <v>0</v>
      </c>
    </row>
    <row r="898" spans="1:39">
      <c r="A898" s="42" t="s">
        <v>246</v>
      </c>
      <c r="B898" s="1" t="s">
        <v>20</v>
      </c>
      <c r="C898" s="40" t="str">
        <f t="shared" si="137"/>
        <v>01-&gt;</v>
      </c>
      <c r="D898" s="40" t="str">
        <f t="shared" ref="D898:D923" si="138">B898&amp;REPT(" ",$AH$70-LEN(B898))</f>
        <v xml:space="preserve">No pick yet                                                 </v>
      </c>
      <c r="E898" s="52">
        <f t="shared" ref="E898:E922" si="139">VLOOKUP(RIGHT(B898,LEN(B898)-$AH$66),$H$138:$I$420,2,0)</f>
        <v>0</v>
      </c>
      <c r="F898" s="18"/>
      <c r="M898" s="18"/>
      <c r="N898" s="18"/>
      <c r="O898" s="18"/>
      <c r="P898" s="18"/>
      <c r="Q898" s="22"/>
      <c r="R898" s="21"/>
      <c r="S898" s="21"/>
      <c r="T898" s="21"/>
      <c r="AA898"/>
      <c r="AH898" t="str">
        <f t="shared" ref="AH898:AH923" si="140">RIGHT(B898,LEN(B898)-$AH$66)</f>
        <v>k yet</v>
      </c>
    </row>
    <row r="899" spans="1:39">
      <c r="A899" s="42" t="s">
        <v>247</v>
      </c>
      <c r="B899" s="1" t="s">
        <v>20</v>
      </c>
      <c r="C899" s="40" t="str">
        <f t="shared" si="137"/>
        <v>02-&gt;</v>
      </c>
      <c r="D899" s="40" t="str">
        <f t="shared" si="138"/>
        <v xml:space="preserve">No pick yet                                                 </v>
      </c>
      <c r="E899" s="52">
        <f t="shared" si="139"/>
        <v>0</v>
      </c>
      <c r="F899" s="18"/>
      <c r="K899" s="22"/>
      <c r="N899" s="22"/>
      <c r="O899" s="22"/>
      <c r="P899" s="22"/>
      <c r="Q899" s="22"/>
      <c r="R899" s="22"/>
      <c r="S899" s="22"/>
      <c r="Z899" s="53"/>
      <c r="AA899"/>
      <c r="AH899" t="str">
        <f t="shared" si="140"/>
        <v>k yet</v>
      </c>
    </row>
    <row r="900" spans="1:39">
      <c r="A900" s="42" t="s">
        <v>248</v>
      </c>
      <c r="B900" s="1" t="s">
        <v>20</v>
      </c>
      <c r="C900" s="40" t="str">
        <f t="shared" si="137"/>
        <v>03-&gt;</v>
      </c>
      <c r="D900" s="40" t="str">
        <f t="shared" si="138"/>
        <v xml:space="preserve">No pick yet                                                 </v>
      </c>
      <c r="E900" s="52">
        <f t="shared" si="139"/>
        <v>0</v>
      </c>
      <c r="F900" s="18"/>
      <c r="L900" s="21"/>
      <c r="N900" s="22"/>
      <c r="O900" s="22"/>
      <c r="P900" s="18"/>
      <c r="Q900" s="22"/>
      <c r="R900" s="22"/>
      <c r="S900" s="22"/>
      <c r="Z900" s="53"/>
      <c r="AA900"/>
      <c r="AH900" t="str">
        <f t="shared" si="140"/>
        <v>k yet</v>
      </c>
    </row>
    <row r="901" spans="1:39">
      <c r="A901" s="42" t="s">
        <v>249</v>
      </c>
      <c r="B901" s="1" t="s">
        <v>20</v>
      </c>
      <c r="C901" s="40" t="str">
        <f t="shared" si="137"/>
        <v>04-&gt;</v>
      </c>
      <c r="D901" s="40" t="str">
        <f t="shared" si="138"/>
        <v xml:space="preserve">No pick yet                                                 </v>
      </c>
      <c r="E901" s="52">
        <f t="shared" si="139"/>
        <v>0</v>
      </c>
      <c r="F901" s="18"/>
      <c r="M901" s="18"/>
      <c r="N901" s="18"/>
      <c r="O901" s="18"/>
      <c r="P901" s="18"/>
      <c r="Q901" s="22"/>
      <c r="R901" s="21"/>
      <c r="S901" s="21"/>
      <c r="T901" s="21"/>
      <c r="AA901"/>
      <c r="AH901" t="str">
        <f t="shared" si="140"/>
        <v>k yet</v>
      </c>
    </row>
    <row r="902" spans="1:39">
      <c r="A902" s="42" t="s">
        <v>250</v>
      </c>
      <c r="B902" s="1" t="s">
        <v>20</v>
      </c>
      <c r="C902" s="40" t="str">
        <f t="shared" si="137"/>
        <v>05-&gt;</v>
      </c>
      <c r="D902" s="40" t="str">
        <f t="shared" si="138"/>
        <v xml:space="preserve">No pick yet                                                 </v>
      </c>
      <c r="E902" s="52">
        <f t="shared" si="139"/>
        <v>0</v>
      </c>
      <c r="F902" s="18"/>
      <c r="M902" s="18"/>
      <c r="N902" s="18"/>
      <c r="O902" s="18"/>
      <c r="P902" s="18"/>
      <c r="Q902" s="22"/>
      <c r="R902" s="21"/>
      <c r="S902" s="21"/>
      <c r="T902" s="21"/>
      <c r="AA902"/>
      <c r="AH902" t="str">
        <f t="shared" si="140"/>
        <v>k yet</v>
      </c>
    </row>
    <row r="903" spans="1:39">
      <c r="A903" s="42" t="s">
        <v>251</v>
      </c>
      <c r="B903" s="1" t="s">
        <v>20</v>
      </c>
      <c r="C903" s="40" t="str">
        <f t="shared" si="137"/>
        <v>06-&gt;</v>
      </c>
      <c r="D903" s="40" t="str">
        <f t="shared" si="138"/>
        <v xml:space="preserve">No pick yet                                                 </v>
      </c>
      <c r="E903" s="52">
        <f t="shared" si="139"/>
        <v>0</v>
      </c>
      <c r="F903" s="18"/>
      <c r="M903" s="18"/>
      <c r="N903" s="18"/>
      <c r="O903" s="18"/>
      <c r="P903" s="18"/>
      <c r="Q903" s="22"/>
      <c r="R903" s="21"/>
      <c r="S903" s="21"/>
      <c r="T903" s="21"/>
      <c r="AA903"/>
      <c r="AH903" t="str">
        <f t="shared" si="140"/>
        <v>k yet</v>
      </c>
    </row>
    <row r="904" spans="1:39">
      <c r="A904" s="42" t="s">
        <v>252</v>
      </c>
      <c r="B904" s="1" t="s">
        <v>20</v>
      </c>
      <c r="C904" s="40" t="str">
        <f t="shared" si="137"/>
        <v>07-&gt;</v>
      </c>
      <c r="D904" s="40" t="str">
        <f t="shared" si="138"/>
        <v xml:space="preserve">No pick yet                                                 </v>
      </c>
      <c r="E904" s="52">
        <f t="shared" si="139"/>
        <v>0</v>
      </c>
      <c r="F904" s="18"/>
      <c r="M904" s="18"/>
      <c r="N904" s="18"/>
      <c r="O904" s="18"/>
      <c r="P904" s="18"/>
      <c r="Q904" s="22"/>
      <c r="R904" s="21"/>
      <c r="S904" s="21"/>
      <c r="T904" s="21"/>
      <c r="AA904"/>
      <c r="AH904" t="str">
        <f t="shared" si="140"/>
        <v>k yet</v>
      </c>
    </row>
    <row r="905" spans="1:39">
      <c r="A905" s="42" t="s">
        <v>253</v>
      </c>
      <c r="B905" s="1" t="s">
        <v>20</v>
      </c>
      <c r="C905" s="40" t="str">
        <f t="shared" si="137"/>
        <v>08-&gt;</v>
      </c>
      <c r="D905" s="40" t="str">
        <f t="shared" si="138"/>
        <v xml:space="preserve">No pick yet                                                 </v>
      </c>
      <c r="E905" s="52">
        <f t="shared" si="139"/>
        <v>0</v>
      </c>
      <c r="F905" s="18"/>
      <c r="M905" s="18"/>
      <c r="N905" s="18"/>
      <c r="O905" s="18"/>
      <c r="P905" s="18"/>
      <c r="Q905" s="22"/>
      <c r="R905" s="21"/>
      <c r="S905" s="21"/>
      <c r="T905" s="21"/>
      <c r="AA905"/>
      <c r="AH905" t="str">
        <f t="shared" si="140"/>
        <v>k yet</v>
      </c>
    </row>
    <row r="906" spans="1:39">
      <c r="A906" s="42" t="s">
        <v>254</v>
      </c>
      <c r="B906" s="1" t="s">
        <v>20</v>
      </c>
      <c r="C906" s="40" t="str">
        <f t="shared" si="137"/>
        <v>09-&gt;</v>
      </c>
      <c r="D906" s="40" t="str">
        <f>B906&amp;REPT(" ",$AH$70-LEN(B906))</f>
        <v xml:space="preserve">No pick yet                                                 </v>
      </c>
      <c r="E906" s="52">
        <f t="shared" si="139"/>
        <v>0</v>
      </c>
      <c r="F906" s="18"/>
      <c r="M906" s="18"/>
      <c r="N906" s="18"/>
      <c r="O906" s="18"/>
      <c r="P906" s="18"/>
      <c r="Q906" s="22"/>
      <c r="R906" s="21"/>
      <c r="S906" s="21"/>
      <c r="T906" s="21"/>
      <c r="AA906"/>
      <c r="AH906" t="str">
        <f t="shared" si="140"/>
        <v>k yet</v>
      </c>
    </row>
    <row r="907" spans="1:39">
      <c r="A907" s="42" t="s">
        <v>255</v>
      </c>
      <c r="B907" s="1" t="s">
        <v>20</v>
      </c>
      <c r="C907" s="40" t="str">
        <f t="shared" si="137"/>
        <v>10-&gt;</v>
      </c>
      <c r="D907" s="40" t="str">
        <f t="shared" si="138"/>
        <v xml:space="preserve">No pick yet                                                 </v>
      </c>
      <c r="E907" s="52">
        <f t="shared" si="139"/>
        <v>0</v>
      </c>
      <c r="F907" s="22"/>
      <c r="M907" s="18"/>
      <c r="N907" s="18"/>
      <c r="O907" s="18"/>
      <c r="P907" s="18"/>
      <c r="Q907" s="22"/>
      <c r="R907" s="21"/>
      <c r="S907" s="21"/>
      <c r="T907" s="21"/>
      <c r="AA907"/>
      <c r="AH907" t="str">
        <f t="shared" si="140"/>
        <v>k yet</v>
      </c>
    </row>
    <row r="908" spans="1:39">
      <c r="A908" s="42" t="s">
        <v>256</v>
      </c>
      <c r="B908" s="1" t="s">
        <v>20</v>
      </c>
      <c r="C908" s="40" t="str">
        <f t="shared" si="137"/>
        <v>11-&gt;</v>
      </c>
      <c r="D908" s="40" t="str">
        <f t="shared" si="138"/>
        <v xml:space="preserve">No pick yet                                                 </v>
      </c>
      <c r="E908" s="52">
        <f t="shared" si="139"/>
        <v>0</v>
      </c>
      <c r="G908" s="22"/>
      <c r="I908" s="22"/>
      <c r="J908" s="22"/>
      <c r="M908" s="18"/>
      <c r="N908" s="18"/>
      <c r="O908" s="18"/>
      <c r="P908" s="18"/>
      <c r="Q908" s="22"/>
      <c r="R908" s="21"/>
      <c r="S908" s="21"/>
      <c r="T908" s="21"/>
      <c r="AA908"/>
      <c r="AH908" t="str">
        <f t="shared" si="140"/>
        <v>k yet</v>
      </c>
    </row>
    <row r="909" spans="1:39">
      <c r="A909" s="42" t="s">
        <v>257</v>
      </c>
      <c r="B909" s="1" t="s">
        <v>20</v>
      </c>
      <c r="C909" s="40" t="str">
        <f t="shared" si="137"/>
        <v>12-&gt;</v>
      </c>
      <c r="D909" s="40" t="str">
        <f t="shared" si="138"/>
        <v xml:space="preserve">No pick yet                                                 </v>
      </c>
      <c r="E909" s="52">
        <f t="shared" si="139"/>
        <v>0</v>
      </c>
      <c r="H909" s="21"/>
      <c r="I909" s="22"/>
      <c r="J909" s="22"/>
      <c r="M909" s="18"/>
      <c r="N909" s="18"/>
      <c r="O909" s="18"/>
      <c r="P909" s="18"/>
      <c r="Q909" s="22"/>
      <c r="R909" s="21"/>
      <c r="S909" s="21"/>
      <c r="T909" s="21"/>
      <c r="AA909"/>
      <c r="AH909" t="str">
        <f t="shared" si="140"/>
        <v>k yet</v>
      </c>
    </row>
    <row r="910" spans="1:39">
      <c r="A910" s="42" t="s">
        <v>258</v>
      </c>
      <c r="B910" s="1" t="s">
        <v>20</v>
      </c>
      <c r="C910" s="40" t="str">
        <f t="shared" si="137"/>
        <v>13-&gt;</v>
      </c>
      <c r="D910" s="40" t="str">
        <f t="shared" si="138"/>
        <v xml:space="preserve">No pick yet                                                 </v>
      </c>
      <c r="E910" s="52">
        <f t="shared" si="139"/>
        <v>0</v>
      </c>
      <c r="M910" s="18"/>
      <c r="N910" s="18"/>
      <c r="O910" s="18"/>
      <c r="P910" s="18"/>
      <c r="Q910" s="22"/>
      <c r="R910" s="21"/>
      <c r="S910" s="21"/>
      <c r="T910" s="21"/>
      <c r="AA910"/>
      <c r="AH910" t="str">
        <f t="shared" si="140"/>
        <v>k yet</v>
      </c>
    </row>
    <row r="911" spans="1:39">
      <c r="A911" s="42" t="s">
        <v>259</v>
      </c>
      <c r="B911" s="1" t="s">
        <v>20</v>
      </c>
      <c r="C911" s="40" t="str">
        <f t="shared" si="137"/>
        <v>14-&gt;</v>
      </c>
      <c r="D911" s="40" t="str">
        <f t="shared" si="138"/>
        <v xml:space="preserve">No pick yet                                                 </v>
      </c>
      <c r="E911" s="52">
        <f t="shared" si="139"/>
        <v>0</v>
      </c>
      <c r="M911" s="18"/>
      <c r="N911" s="18"/>
      <c r="O911" s="18"/>
      <c r="P911" s="18"/>
      <c r="Q911" s="22"/>
      <c r="R911" s="21"/>
      <c r="S911" s="21"/>
      <c r="T911" s="21"/>
      <c r="AA911"/>
      <c r="AH911" t="str">
        <f t="shared" si="140"/>
        <v>k yet</v>
      </c>
    </row>
    <row r="912" spans="1:39">
      <c r="A912" s="42" t="s">
        <v>260</v>
      </c>
      <c r="B912" s="1" t="s">
        <v>20</v>
      </c>
      <c r="C912" s="40" t="str">
        <f t="shared" si="137"/>
        <v>15-&gt;</v>
      </c>
      <c r="D912" s="40" t="str">
        <f t="shared" si="138"/>
        <v xml:space="preserve">No pick yet                                                 </v>
      </c>
      <c r="E912" s="52">
        <f t="shared" si="139"/>
        <v>0</v>
      </c>
      <c r="M912" s="18"/>
      <c r="N912" s="18"/>
      <c r="O912" s="18"/>
      <c r="P912" s="18"/>
      <c r="Q912" s="22"/>
      <c r="R912" s="21"/>
      <c r="S912" s="21"/>
      <c r="T912" s="21"/>
      <c r="AA912"/>
      <c r="AH912" t="str">
        <f t="shared" si="140"/>
        <v>k yet</v>
      </c>
    </row>
    <row r="913" spans="1:39">
      <c r="A913" s="42" t="s">
        <v>261</v>
      </c>
      <c r="B913" s="1" t="s">
        <v>20</v>
      </c>
      <c r="C913" s="40" t="str">
        <f t="shared" si="137"/>
        <v>16-&gt;</v>
      </c>
      <c r="D913" s="40" t="str">
        <f t="shared" si="138"/>
        <v xml:space="preserve">No pick yet                                                 </v>
      </c>
      <c r="E913" s="52">
        <f t="shared" si="139"/>
        <v>0</v>
      </c>
      <c r="M913" s="18"/>
      <c r="N913" s="18"/>
      <c r="O913" s="18"/>
      <c r="P913" s="18"/>
      <c r="Q913" s="22"/>
      <c r="R913" s="21"/>
      <c r="S913" s="21"/>
      <c r="T913" s="21"/>
      <c r="AA913"/>
      <c r="AH913" t="str">
        <f t="shared" si="140"/>
        <v>k yet</v>
      </c>
    </row>
    <row r="914" spans="1:39">
      <c r="A914" s="42" t="s">
        <v>262</v>
      </c>
      <c r="B914" s="1" t="s">
        <v>20</v>
      </c>
      <c r="C914" s="40" t="str">
        <f t="shared" si="137"/>
        <v>17-&gt;</v>
      </c>
      <c r="D914" s="40" t="str">
        <f t="shared" si="138"/>
        <v xml:space="preserve">No pick yet                                                 </v>
      </c>
      <c r="E914" s="52">
        <f t="shared" si="139"/>
        <v>0</v>
      </c>
      <c r="K914" s="22"/>
      <c r="N914" s="22"/>
      <c r="O914" s="22"/>
      <c r="P914" s="22"/>
      <c r="Q914" s="22"/>
      <c r="R914" s="22"/>
      <c r="S914" s="22"/>
      <c r="Z914" s="53"/>
      <c r="AA914"/>
      <c r="AH914" t="str">
        <f t="shared" si="140"/>
        <v>k yet</v>
      </c>
    </row>
    <row r="915" spans="1:39">
      <c r="A915" s="42" t="s">
        <v>263</v>
      </c>
      <c r="B915" s="1" t="s">
        <v>20</v>
      </c>
      <c r="C915" s="40" t="str">
        <f t="shared" si="137"/>
        <v>18-&gt;</v>
      </c>
      <c r="D915" s="40" t="str">
        <f t="shared" si="138"/>
        <v xml:space="preserve">No pick yet                                                 </v>
      </c>
      <c r="E915" s="52">
        <f t="shared" si="139"/>
        <v>0</v>
      </c>
      <c r="F915" s="18"/>
      <c r="L915" s="21"/>
      <c r="N915" s="22"/>
      <c r="O915" s="22"/>
      <c r="P915" s="18"/>
      <c r="Q915" s="22"/>
      <c r="R915" s="22"/>
      <c r="S915" s="22"/>
      <c r="Z915" s="53"/>
      <c r="AA915"/>
      <c r="AH915" t="str">
        <f t="shared" si="140"/>
        <v>k yet</v>
      </c>
    </row>
    <row r="916" spans="1:39">
      <c r="A916" s="42" t="s">
        <v>264</v>
      </c>
      <c r="B916" s="1" t="s">
        <v>20</v>
      </c>
      <c r="C916" s="40" t="str">
        <f t="shared" si="137"/>
        <v>19-&gt;</v>
      </c>
      <c r="D916" s="40" t="str">
        <f t="shared" si="138"/>
        <v xml:space="preserve">No pick yet                                                 </v>
      </c>
      <c r="E916" s="52">
        <f t="shared" si="139"/>
        <v>0</v>
      </c>
      <c r="F916" s="18"/>
      <c r="M916" s="18"/>
      <c r="N916" s="18"/>
      <c r="O916" s="18"/>
      <c r="P916" s="18"/>
      <c r="Q916" s="22"/>
      <c r="R916" s="21"/>
      <c r="S916" s="21"/>
      <c r="T916" s="21"/>
      <c r="AA916"/>
      <c r="AH916" t="str">
        <f t="shared" si="140"/>
        <v>k yet</v>
      </c>
    </row>
    <row r="917" spans="1:39">
      <c r="A917" s="42" t="s">
        <v>265</v>
      </c>
      <c r="B917" s="1" t="s">
        <v>20</v>
      </c>
      <c r="C917" s="40" t="str">
        <f t="shared" si="137"/>
        <v>20-&gt;</v>
      </c>
      <c r="D917" s="40" t="str">
        <f t="shared" si="138"/>
        <v xml:space="preserve">No pick yet                                                 </v>
      </c>
      <c r="E917" s="52">
        <f t="shared" si="139"/>
        <v>0</v>
      </c>
      <c r="F917" s="18"/>
      <c r="M917" s="18"/>
      <c r="N917" s="18"/>
      <c r="O917" s="18"/>
      <c r="P917" s="18"/>
      <c r="Q917" s="22"/>
      <c r="R917" s="21"/>
      <c r="S917" s="21"/>
      <c r="T917" s="21"/>
      <c r="AA917"/>
      <c r="AH917" t="str">
        <f t="shared" si="140"/>
        <v>k yet</v>
      </c>
    </row>
    <row r="918" spans="1:39">
      <c r="A918" s="42" t="s">
        <v>266</v>
      </c>
      <c r="B918" s="1" t="s">
        <v>20</v>
      </c>
      <c r="C918" s="40" t="str">
        <f t="shared" si="137"/>
        <v>21-&gt;</v>
      </c>
      <c r="D918" s="40" t="str">
        <f t="shared" si="138"/>
        <v xml:space="preserve">No pick yet                                                 </v>
      </c>
      <c r="E918" s="52">
        <f t="shared" si="139"/>
        <v>0</v>
      </c>
      <c r="F918" s="18"/>
      <c r="M918" s="18"/>
      <c r="N918" s="18"/>
      <c r="O918" s="18"/>
      <c r="P918" s="18"/>
      <c r="Q918" s="22"/>
      <c r="R918" s="21"/>
      <c r="S918" s="21"/>
      <c r="T918" s="21"/>
      <c r="AA918"/>
      <c r="AH918" t="str">
        <f t="shared" si="140"/>
        <v>k yet</v>
      </c>
    </row>
    <row r="919" spans="1:39">
      <c r="A919" s="42" t="s">
        <v>267</v>
      </c>
      <c r="B919" s="1" t="s">
        <v>20</v>
      </c>
      <c r="C919" s="40" t="str">
        <f t="shared" si="137"/>
        <v>22-&gt;</v>
      </c>
      <c r="D919" s="40" t="str">
        <f t="shared" si="138"/>
        <v xml:space="preserve">No pick yet                                                 </v>
      </c>
      <c r="E919" s="52">
        <f t="shared" si="139"/>
        <v>0</v>
      </c>
      <c r="F919" s="18"/>
      <c r="M919" s="18"/>
      <c r="N919" s="18"/>
      <c r="O919" s="18"/>
      <c r="P919" s="18"/>
      <c r="Q919" s="22"/>
      <c r="R919" s="21"/>
      <c r="S919" s="21"/>
      <c r="T919" s="21"/>
      <c r="AA919"/>
      <c r="AH919" t="str">
        <f t="shared" si="140"/>
        <v>k yet</v>
      </c>
    </row>
    <row r="920" spans="1:39">
      <c r="A920" s="42" t="s">
        <v>268</v>
      </c>
      <c r="B920" s="1" t="s">
        <v>20</v>
      </c>
      <c r="C920" s="40" t="str">
        <f t="shared" si="137"/>
        <v>23-&gt;</v>
      </c>
      <c r="D920" s="40" t="str">
        <f t="shared" si="138"/>
        <v xml:space="preserve">No pick yet                                                 </v>
      </c>
      <c r="E920" s="52">
        <f t="shared" si="139"/>
        <v>0</v>
      </c>
      <c r="F920" s="18"/>
      <c r="M920" s="18"/>
      <c r="N920" s="18"/>
      <c r="O920" s="18"/>
      <c r="P920" s="18"/>
      <c r="Q920" s="22"/>
      <c r="R920" s="21"/>
      <c r="S920" s="21"/>
      <c r="T920" s="21"/>
      <c r="AA920"/>
      <c r="AH920" t="str">
        <f t="shared" si="140"/>
        <v>k yet</v>
      </c>
    </row>
    <row r="921" spans="1:39">
      <c r="A921" s="42" t="s">
        <v>269</v>
      </c>
      <c r="B921" s="1" t="s">
        <v>20</v>
      </c>
      <c r="C921" s="40" t="str">
        <f t="shared" si="137"/>
        <v>24-&gt;</v>
      </c>
      <c r="D921" s="40" t="str">
        <f t="shared" si="138"/>
        <v xml:space="preserve">No pick yet                                                 </v>
      </c>
      <c r="E921" s="52">
        <f t="shared" si="139"/>
        <v>0</v>
      </c>
      <c r="F921" s="18"/>
      <c r="M921" s="18"/>
      <c r="N921" s="18"/>
      <c r="O921" s="18"/>
      <c r="P921" s="18"/>
      <c r="Q921" s="22"/>
      <c r="R921" s="21"/>
      <c r="S921" s="21"/>
      <c r="T921" s="21"/>
      <c r="AA921"/>
      <c r="AH921" t="str">
        <f t="shared" si="140"/>
        <v>k yet</v>
      </c>
    </row>
    <row r="922" spans="1:39">
      <c r="A922" s="42" t="s">
        <v>270</v>
      </c>
      <c r="B922" s="1" t="s">
        <v>20</v>
      </c>
      <c r="C922" s="40" t="str">
        <f t="shared" si="137"/>
        <v>25-&gt;</v>
      </c>
      <c r="D922" s="40" t="str">
        <f t="shared" si="138"/>
        <v xml:space="preserve">No pick yet                                                 </v>
      </c>
      <c r="E922" s="52">
        <f t="shared" si="139"/>
        <v>0</v>
      </c>
      <c r="F922" s="18"/>
      <c r="M922" s="18"/>
      <c r="N922" s="18"/>
      <c r="O922" s="18"/>
      <c r="P922" s="18"/>
      <c r="Q922" s="22"/>
      <c r="R922" s="21"/>
      <c r="S922" s="21"/>
      <c r="T922" s="21"/>
      <c r="AA922"/>
      <c r="AH922" t="str">
        <f t="shared" si="140"/>
        <v>k yet</v>
      </c>
    </row>
    <row r="923" spans="1:39">
      <c r="A923" s="42" t="s">
        <v>271</v>
      </c>
      <c r="B923" s="1" t="s">
        <v>20</v>
      </c>
      <c r="C923" s="40" t="str">
        <f t="shared" si="137"/>
        <v>26-&gt;</v>
      </c>
      <c r="D923" s="40" t="str">
        <f t="shared" si="138"/>
        <v xml:space="preserve">No pick yet                                                 </v>
      </c>
      <c r="E923" s="52">
        <v>0</v>
      </c>
      <c r="F923" s="18"/>
      <c r="G923" s="22"/>
      <c r="I923" s="22"/>
      <c r="J923" s="22"/>
      <c r="M923" s="18"/>
      <c r="N923" s="18"/>
      <c r="O923" s="18"/>
      <c r="P923" s="18"/>
      <c r="Q923" s="22"/>
      <c r="R923" s="21"/>
      <c r="S923" s="21"/>
      <c r="T923" s="21"/>
      <c r="AA923"/>
      <c r="AH923" t="str">
        <f t="shared" si="140"/>
        <v>k yet</v>
      </c>
    </row>
    <row r="924" spans="1:39">
      <c r="A924" s="38"/>
      <c r="B924" s="40"/>
      <c r="C924" s="40"/>
      <c r="D924" s="49"/>
      <c r="E924" s="41" t="s">
        <v>69</v>
      </c>
      <c r="F924" s="18"/>
      <c r="H924" s="21"/>
      <c r="I924" s="22"/>
      <c r="J924" s="22"/>
      <c r="K924" s="22" t="s">
        <v>73</v>
      </c>
      <c r="L924" s="18" t="s">
        <v>74</v>
      </c>
      <c r="M924" s="22" t="s">
        <v>78</v>
      </c>
      <c r="N924" s="22" t="s">
        <v>79</v>
      </c>
      <c r="O924" s="22" t="s">
        <v>80</v>
      </c>
      <c r="P924" s="22" t="s">
        <v>81</v>
      </c>
      <c r="Q924" s="22" t="s">
        <v>82</v>
      </c>
      <c r="R924" s="22" t="s">
        <v>83</v>
      </c>
      <c r="S924" s="22" t="s">
        <v>84</v>
      </c>
      <c r="T924" s="18" t="s">
        <v>85</v>
      </c>
      <c r="U924" s="18" t="s">
        <v>86</v>
      </c>
      <c r="V924" s="18" t="s">
        <v>87</v>
      </c>
      <c r="W924" s="18" t="s">
        <v>88</v>
      </c>
      <c r="X924" s="18" t="s">
        <v>89</v>
      </c>
      <c r="Y924" s="18" t="s">
        <v>90</v>
      </c>
      <c r="Z924" s="18" t="s">
        <v>91</v>
      </c>
      <c r="AA924" s="18" t="s">
        <v>92</v>
      </c>
      <c r="AB924" s="18" t="s">
        <v>93</v>
      </c>
      <c r="AC924" s="18" t="s">
        <v>94</v>
      </c>
      <c r="AD924" s="18" t="s">
        <v>235</v>
      </c>
      <c r="AE924" s="18" t="s">
        <v>236</v>
      </c>
      <c r="AF924" s="18" t="s">
        <v>237</v>
      </c>
      <c r="AG924" s="18" t="s">
        <v>238</v>
      </c>
      <c r="AH924" s="18" t="s">
        <v>239</v>
      </c>
      <c r="AI924" s="18" t="s">
        <v>240</v>
      </c>
      <c r="AJ924" s="18" t="s">
        <v>241</v>
      </c>
      <c r="AK924" s="18" t="s">
        <v>242</v>
      </c>
      <c r="AL924" s="18" t="s">
        <v>243</v>
      </c>
      <c r="AM924" s="50" t="s">
        <v>244</v>
      </c>
    </row>
    <row r="925" spans="1:39">
      <c r="A925" s="40" t="s">
        <v>245</v>
      </c>
      <c r="B925" s="51" t="str">
        <f>D32</f>
        <v/>
      </c>
      <c r="C925" s="40" t="str">
        <f t="shared" ref="C925:C951" si="141">A925</f>
        <v>#</v>
      </c>
      <c r="D925" s="40" t="str">
        <f>"   "&amp;B925&amp;REPT(" ",$AH$70-LEN(B925)-3)</f>
        <v xml:space="preserve">                                                            </v>
      </c>
      <c r="E925" s="38" t="str">
        <f>SUM(E926:E951)&amp;" pts[/b]"</f>
        <v>0 pts[/b]</v>
      </c>
      <c r="F925" s="21">
        <f>SUM(E926:E951)</f>
        <v>0</v>
      </c>
      <c r="K925" s="18">
        <f>COUNTIF(E926:E951,"&gt;0")</f>
        <v>0</v>
      </c>
      <c r="L925" s="21">
        <f>AM925-K925</f>
        <v>0</v>
      </c>
      <c r="M925" s="22">
        <f>MAX(E926:E951)</f>
        <v>0</v>
      </c>
      <c r="N925" s="22">
        <f>LARGE(E926:E951,2)</f>
        <v>0</v>
      </c>
      <c r="O925" s="22">
        <f>LARGE(E926:E951,3)</f>
        <v>0</v>
      </c>
      <c r="P925" s="18">
        <f>LARGE(E926:E951,4)</f>
        <v>0</v>
      </c>
      <c r="Q925" s="22">
        <f>LARGE(E926:E951,5)</f>
        <v>0</v>
      </c>
      <c r="R925" s="22">
        <f>LARGE(E926:E951,6)</f>
        <v>0</v>
      </c>
      <c r="S925" s="22">
        <f>LARGE(E926:E951,7)</f>
        <v>0</v>
      </c>
      <c r="T925" s="18">
        <f>LARGE(E926:E951,8)</f>
        <v>0</v>
      </c>
      <c r="U925" s="18">
        <f>LARGE(E926:E951,9)</f>
        <v>0</v>
      </c>
      <c r="V925" s="18">
        <f>LARGE(E926:E951,10)</f>
        <v>0</v>
      </c>
      <c r="W925" s="18">
        <f>LARGE(E926:E951,11)</f>
        <v>0</v>
      </c>
      <c r="X925" s="18">
        <f>LARGE(E926:E951,12)</f>
        <v>0</v>
      </c>
      <c r="Y925" s="18">
        <f>LARGE(E926:E951,13)</f>
        <v>0</v>
      </c>
      <c r="Z925" s="18">
        <f>LARGE(E926:E951,14)</f>
        <v>0</v>
      </c>
      <c r="AA925" s="18">
        <f>LARGE(E926:E951,15)</f>
        <v>0</v>
      </c>
      <c r="AB925" s="18">
        <f>LARGE(E926:E951,16)</f>
        <v>0</v>
      </c>
      <c r="AC925" s="18">
        <f>LARGE(E926:E951,17)</f>
        <v>0</v>
      </c>
      <c r="AD925" s="18">
        <f>LARGE(E926:E952,13)</f>
        <v>0</v>
      </c>
      <c r="AE925" s="18">
        <f>LARGE(E926:E951,19)</f>
        <v>0</v>
      </c>
      <c r="AF925" s="18">
        <f>LARGE(E926:E951,20)</f>
        <v>0</v>
      </c>
      <c r="AG925" s="18">
        <f>LARGE(E926:E951,21)</f>
        <v>0</v>
      </c>
      <c r="AH925" s="18">
        <f>LARGE(E926:E951,22)</f>
        <v>0</v>
      </c>
      <c r="AI925" s="18">
        <f>LARGE(E926:E951,23)</f>
        <v>0</v>
      </c>
      <c r="AJ925" s="18">
        <f>LARGE(E926:E951,24)</f>
        <v>0</v>
      </c>
      <c r="AK925" s="18">
        <f>LARGE(E926:E951,25)</f>
        <v>0</v>
      </c>
      <c r="AL925" s="18">
        <f>LARGE(E926:E951,26)</f>
        <v>0</v>
      </c>
      <c r="AM925" s="50">
        <f>COUNTIF(AH926:AH951,"&lt;&gt;"&amp;AH76)-(26-COUNTIF(E926:E951,"&gt;=0"))</f>
        <v>0</v>
      </c>
    </row>
    <row r="926" spans="1:39">
      <c r="A926" s="42" t="s">
        <v>246</v>
      </c>
      <c r="B926" s="1" t="s">
        <v>20</v>
      </c>
      <c r="C926" s="40" t="str">
        <f t="shared" si="141"/>
        <v>01-&gt;</v>
      </c>
      <c r="D926" s="40" t="str">
        <f t="shared" ref="D926:D951" si="142">B926&amp;REPT(" ",$AH$70-LEN(B926))</f>
        <v xml:space="preserve">No pick yet                                                 </v>
      </c>
      <c r="E926" s="52">
        <f t="shared" ref="E926:E951" si="143">VLOOKUP(RIGHT(B926,LEN(B926)-$AH$66),$H$138:$I$420,2,0)</f>
        <v>0</v>
      </c>
      <c r="F926" s="18"/>
      <c r="M926" s="18"/>
      <c r="N926" s="18"/>
      <c r="O926" s="18"/>
      <c r="P926" s="18"/>
      <c r="Q926" s="22"/>
      <c r="R926" s="21"/>
      <c r="S926" s="21"/>
      <c r="T926" s="21"/>
      <c r="AA926"/>
      <c r="AH926" t="str">
        <f t="shared" ref="AH926:AH951" si="144">RIGHT(B926,LEN(B926)-$AH$66)</f>
        <v>k yet</v>
      </c>
    </row>
    <row r="927" spans="1:39">
      <c r="A927" s="42" t="s">
        <v>247</v>
      </c>
      <c r="B927" s="1" t="s">
        <v>20</v>
      </c>
      <c r="C927" s="40" t="str">
        <f t="shared" si="141"/>
        <v>02-&gt;</v>
      </c>
      <c r="D927" s="40" t="str">
        <f t="shared" si="142"/>
        <v xml:space="preserve">No pick yet                                                 </v>
      </c>
      <c r="E927" s="52">
        <f t="shared" si="143"/>
        <v>0</v>
      </c>
      <c r="F927" s="18"/>
      <c r="K927" s="22"/>
      <c r="N927" s="22"/>
      <c r="O927" s="22"/>
      <c r="P927" s="22"/>
      <c r="Q927" s="22"/>
      <c r="R927" s="22"/>
      <c r="S927" s="22"/>
      <c r="Z927" s="53"/>
      <c r="AA927"/>
      <c r="AH927" t="str">
        <f t="shared" si="144"/>
        <v>k yet</v>
      </c>
    </row>
    <row r="928" spans="1:39">
      <c r="A928" s="42" t="s">
        <v>248</v>
      </c>
      <c r="B928" s="1" t="s">
        <v>20</v>
      </c>
      <c r="C928" s="40" t="str">
        <f t="shared" si="141"/>
        <v>03-&gt;</v>
      </c>
      <c r="D928" s="40" t="str">
        <f t="shared" si="142"/>
        <v xml:space="preserve">No pick yet                                                 </v>
      </c>
      <c r="E928" s="52">
        <f t="shared" si="143"/>
        <v>0</v>
      </c>
      <c r="F928" s="18"/>
      <c r="L928" s="21"/>
      <c r="N928" s="22"/>
      <c r="O928" s="22"/>
      <c r="P928" s="18"/>
      <c r="Q928" s="22"/>
      <c r="R928" s="22"/>
      <c r="S928" s="22"/>
      <c r="Z928" s="53"/>
      <c r="AA928"/>
      <c r="AH928" t="str">
        <f t="shared" si="144"/>
        <v>k yet</v>
      </c>
    </row>
    <row r="929" spans="1:34">
      <c r="A929" s="42" t="s">
        <v>249</v>
      </c>
      <c r="B929" s="1" t="s">
        <v>20</v>
      </c>
      <c r="C929" s="40" t="str">
        <f t="shared" si="141"/>
        <v>04-&gt;</v>
      </c>
      <c r="D929" s="40" t="str">
        <f t="shared" si="142"/>
        <v xml:space="preserve">No pick yet                                                 </v>
      </c>
      <c r="E929" s="52">
        <f t="shared" si="143"/>
        <v>0</v>
      </c>
      <c r="F929" s="18"/>
      <c r="M929" s="18"/>
      <c r="N929" s="18"/>
      <c r="O929" s="18"/>
      <c r="P929" s="18"/>
      <c r="Q929" s="22"/>
      <c r="R929" s="21"/>
      <c r="S929" s="21"/>
      <c r="T929" s="21"/>
      <c r="AA929"/>
      <c r="AH929" t="str">
        <f t="shared" si="144"/>
        <v>k yet</v>
      </c>
    </row>
    <row r="930" spans="1:34">
      <c r="A930" s="42" t="s">
        <v>250</v>
      </c>
      <c r="B930" s="1" t="s">
        <v>20</v>
      </c>
      <c r="C930" s="40" t="str">
        <f t="shared" si="141"/>
        <v>05-&gt;</v>
      </c>
      <c r="D930" s="40" t="str">
        <f t="shared" si="142"/>
        <v xml:space="preserve">No pick yet                                                 </v>
      </c>
      <c r="E930" s="52">
        <f t="shared" si="143"/>
        <v>0</v>
      </c>
      <c r="F930" s="18"/>
      <c r="M930" s="18"/>
      <c r="N930" s="18"/>
      <c r="O930" s="18"/>
      <c r="P930" s="18"/>
      <c r="Q930" s="22"/>
      <c r="R930" s="21"/>
      <c r="S930" s="21"/>
      <c r="T930" s="21"/>
      <c r="AA930"/>
      <c r="AH930" t="str">
        <f t="shared" si="144"/>
        <v>k yet</v>
      </c>
    </row>
    <row r="931" spans="1:34">
      <c r="A931" s="42" t="s">
        <v>251</v>
      </c>
      <c r="B931" s="1" t="s">
        <v>20</v>
      </c>
      <c r="C931" s="40" t="str">
        <f t="shared" si="141"/>
        <v>06-&gt;</v>
      </c>
      <c r="D931" s="40" t="str">
        <f t="shared" si="142"/>
        <v xml:space="preserve">No pick yet                                                 </v>
      </c>
      <c r="E931" s="52">
        <f t="shared" si="143"/>
        <v>0</v>
      </c>
      <c r="F931" s="18"/>
      <c r="M931" s="18"/>
      <c r="N931" s="18"/>
      <c r="O931" s="18"/>
      <c r="P931" s="18"/>
      <c r="Q931" s="22"/>
      <c r="R931" s="21"/>
      <c r="S931" s="21"/>
      <c r="T931" s="21"/>
      <c r="AA931"/>
      <c r="AH931" t="str">
        <f t="shared" si="144"/>
        <v>k yet</v>
      </c>
    </row>
    <row r="932" spans="1:34">
      <c r="A932" s="42" t="s">
        <v>252</v>
      </c>
      <c r="B932" s="1" t="s">
        <v>20</v>
      </c>
      <c r="C932" s="40" t="str">
        <f t="shared" si="141"/>
        <v>07-&gt;</v>
      </c>
      <c r="D932" s="40" t="str">
        <f t="shared" si="142"/>
        <v xml:space="preserve">No pick yet                                                 </v>
      </c>
      <c r="E932" s="52">
        <f t="shared" si="143"/>
        <v>0</v>
      </c>
      <c r="F932" s="18"/>
      <c r="M932" s="18"/>
      <c r="N932" s="18"/>
      <c r="O932" s="18"/>
      <c r="P932" s="18"/>
      <c r="Q932" s="22"/>
      <c r="R932" s="21"/>
      <c r="S932" s="21"/>
      <c r="T932" s="21"/>
      <c r="AA932"/>
      <c r="AH932" t="str">
        <f t="shared" si="144"/>
        <v>k yet</v>
      </c>
    </row>
    <row r="933" spans="1:34">
      <c r="A933" s="42" t="s">
        <v>253</v>
      </c>
      <c r="B933" s="1" t="s">
        <v>20</v>
      </c>
      <c r="C933" s="40" t="str">
        <f t="shared" si="141"/>
        <v>08-&gt;</v>
      </c>
      <c r="D933" s="40" t="str">
        <f t="shared" si="142"/>
        <v xml:space="preserve">No pick yet                                                 </v>
      </c>
      <c r="E933" s="52">
        <f t="shared" si="143"/>
        <v>0</v>
      </c>
      <c r="F933" s="18"/>
      <c r="M933" s="18"/>
      <c r="N933" s="18"/>
      <c r="O933" s="18"/>
      <c r="P933" s="18"/>
      <c r="Q933" s="22"/>
      <c r="R933" s="21"/>
      <c r="S933" s="21"/>
      <c r="T933" s="21"/>
      <c r="AA933"/>
      <c r="AH933" t="str">
        <f t="shared" si="144"/>
        <v>k yet</v>
      </c>
    </row>
    <row r="934" spans="1:34">
      <c r="A934" s="42" t="s">
        <v>254</v>
      </c>
      <c r="B934" s="1" t="s">
        <v>20</v>
      </c>
      <c r="C934" s="40" t="str">
        <f t="shared" si="141"/>
        <v>09-&gt;</v>
      </c>
      <c r="D934" s="40" t="str">
        <f t="shared" si="142"/>
        <v xml:space="preserve">No pick yet                                                 </v>
      </c>
      <c r="E934" s="52">
        <f t="shared" si="143"/>
        <v>0</v>
      </c>
      <c r="F934" s="18"/>
      <c r="M934" s="18"/>
      <c r="N934" s="18"/>
      <c r="O934" s="18"/>
      <c r="P934" s="18"/>
      <c r="Q934" s="22"/>
      <c r="R934" s="21"/>
      <c r="S934" s="21"/>
      <c r="T934" s="21"/>
      <c r="AA934"/>
      <c r="AH934" t="str">
        <f t="shared" si="144"/>
        <v>k yet</v>
      </c>
    </row>
    <row r="935" spans="1:34">
      <c r="A935" s="42" t="s">
        <v>255</v>
      </c>
      <c r="B935" s="1" t="s">
        <v>20</v>
      </c>
      <c r="C935" s="40" t="str">
        <f t="shared" si="141"/>
        <v>10-&gt;</v>
      </c>
      <c r="D935" s="40" t="str">
        <f t="shared" si="142"/>
        <v xml:space="preserve">No pick yet                                                 </v>
      </c>
      <c r="E935" s="52">
        <f t="shared" si="143"/>
        <v>0</v>
      </c>
      <c r="F935" s="22"/>
      <c r="M935" s="18"/>
      <c r="N935" s="18"/>
      <c r="O935" s="18"/>
      <c r="P935" s="18"/>
      <c r="Q935" s="22"/>
      <c r="R935" s="21"/>
      <c r="S935" s="21"/>
      <c r="T935" s="21"/>
      <c r="AA935"/>
      <c r="AH935" t="str">
        <f t="shared" si="144"/>
        <v>k yet</v>
      </c>
    </row>
    <row r="936" spans="1:34">
      <c r="A936" s="42" t="s">
        <v>256</v>
      </c>
      <c r="B936" s="1" t="s">
        <v>20</v>
      </c>
      <c r="C936" s="40" t="str">
        <f t="shared" si="141"/>
        <v>11-&gt;</v>
      </c>
      <c r="D936" s="40" t="str">
        <f t="shared" si="142"/>
        <v xml:space="preserve">No pick yet                                                 </v>
      </c>
      <c r="E936" s="52">
        <f t="shared" si="143"/>
        <v>0</v>
      </c>
      <c r="M936" s="18"/>
      <c r="N936" s="18"/>
      <c r="O936" s="18"/>
      <c r="P936" s="18"/>
      <c r="Q936" s="22"/>
      <c r="R936" s="21"/>
      <c r="S936" s="21"/>
      <c r="T936" s="21"/>
      <c r="AA936"/>
      <c r="AH936" t="str">
        <f t="shared" si="144"/>
        <v>k yet</v>
      </c>
    </row>
    <row r="937" spans="1:34">
      <c r="A937" s="42" t="s">
        <v>257</v>
      </c>
      <c r="B937" s="1" t="s">
        <v>20</v>
      </c>
      <c r="C937" s="40" t="str">
        <f t="shared" si="141"/>
        <v>12-&gt;</v>
      </c>
      <c r="D937" s="40" t="str">
        <f t="shared" si="142"/>
        <v xml:space="preserve">No pick yet                                                 </v>
      </c>
      <c r="E937" s="52">
        <f t="shared" si="143"/>
        <v>0</v>
      </c>
      <c r="M937" s="18"/>
      <c r="N937" s="18"/>
      <c r="O937" s="18"/>
      <c r="P937" s="18"/>
      <c r="Q937" s="22"/>
      <c r="R937" s="21"/>
      <c r="S937" s="21"/>
      <c r="T937" s="21"/>
      <c r="AA937"/>
      <c r="AH937" t="str">
        <f t="shared" si="144"/>
        <v>k yet</v>
      </c>
    </row>
    <row r="938" spans="1:34">
      <c r="A938" s="42" t="s">
        <v>258</v>
      </c>
      <c r="B938" s="1" t="s">
        <v>20</v>
      </c>
      <c r="C938" s="40" t="str">
        <f t="shared" si="141"/>
        <v>13-&gt;</v>
      </c>
      <c r="D938" s="40" t="str">
        <f t="shared" si="142"/>
        <v xml:space="preserve">No pick yet                                                 </v>
      </c>
      <c r="E938" s="52">
        <f t="shared" si="143"/>
        <v>0</v>
      </c>
      <c r="G938" s="22"/>
      <c r="I938" s="22"/>
      <c r="J938" s="22"/>
      <c r="M938" s="18"/>
      <c r="N938" s="18"/>
      <c r="O938" s="18"/>
      <c r="P938" s="18"/>
      <c r="Q938" s="22"/>
      <c r="R938" s="21"/>
      <c r="S938" s="21"/>
      <c r="T938" s="21"/>
      <c r="AA938"/>
      <c r="AH938" t="str">
        <f t="shared" si="144"/>
        <v>k yet</v>
      </c>
    </row>
    <row r="939" spans="1:34">
      <c r="A939" s="42" t="s">
        <v>259</v>
      </c>
      <c r="B939" s="1" t="s">
        <v>20</v>
      </c>
      <c r="C939" s="40" t="str">
        <f t="shared" si="141"/>
        <v>14-&gt;</v>
      </c>
      <c r="D939" s="40" t="str">
        <f t="shared" si="142"/>
        <v xml:space="preserve">No pick yet                                                 </v>
      </c>
      <c r="E939" s="52">
        <f t="shared" si="143"/>
        <v>0</v>
      </c>
      <c r="H939" s="21"/>
      <c r="I939" s="22"/>
      <c r="J939" s="22"/>
      <c r="M939" s="18"/>
      <c r="N939" s="18"/>
      <c r="O939" s="18"/>
      <c r="P939" s="18"/>
      <c r="Q939" s="22"/>
      <c r="R939" s="21"/>
      <c r="S939" s="21"/>
      <c r="T939" s="21"/>
      <c r="AA939"/>
      <c r="AH939" t="str">
        <f t="shared" si="144"/>
        <v>k yet</v>
      </c>
    </row>
    <row r="940" spans="1:34">
      <c r="A940" s="42" t="s">
        <v>260</v>
      </c>
      <c r="B940" s="1" t="s">
        <v>20</v>
      </c>
      <c r="C940" s="40" t="str">
        <f t="shared" si="141"/>
        <v>15-&gt;</v>
      </c>
      <c r="D940" s="40" t="str">
        <f t="shared" si="142"/>
        <v xml:space="preserve">No pick yet                                                 </v>
      </c>
      <c r="E940" s="52">
        <f t="shared" si="143"/>
        <v>0</v>
      </c>
      <c r="M940" s="18"/>
      <c r="N940" s="18"/>
      <c r="O940" s="18"/>
      <c r="P940" s="18"/>
      <c r="Q940" s="22"/>
      <c r="R940" s="21"/>
      <c r="S940" s="21"/>
      <c r="T940" s="21"/>
      <c r="AA940"/>
      <c r="AH940" t="str">
        <f t="shared" si="144"/>
        <v>k yet</v>
      </c>
    </row>
    <row r="941" spans="1:34">
      <c r="A941" s="42" t="s">
        <v>261</v>
      </c>
      <c r="B941" s="1" t="s">
        <v>20</v>
      </c>
      <c r="C941" s="40" t="str">
        <f t="shared" si="141"/>
        <v>16-&gt;</v>
      </c>
      <c r="D941" s="40" t="str">
        <f t="shared" si="142"/>
        <v xml:space="preserve">No pick yet                                                 </v>
      </c>
      <c r="E941" s="52">
        <f t="shared" si="143"/>
        <v>0</v>
      </c>
      <c r="M941" s="18"/>
      <c r="N941" s="18"/>
      <c r="O941" s="18"/>
      <c r="P941" s="18"/>
      <c r="Q941" s="22"/>
      <c r="R941" s="21"/>
      <c r="S941" s="21"/>
      <c r="T941" s="21"/>
      <c r="AA941"/>
      <c r="AH941" t="str">
        <f t="shared" si="144"/>
        <v>k yet</v>
      </c>
    </row>
    <row r="942" spans="1:34">
      <c r="A942" s="42" t="s">
        <v>262</v>
      </c>
      <c r="B942" s="1" t="s">
        <v>20</v>
      </c>
      <c r="C942" s="40" t="str">
        <f t="shared" si="141"/>
        <v>17-&gt;</v>
      </c>
      <c r="D942" s="40" t="str">
        <f t="shared" si="142"/>
        <v xml:space="preserve">No pick yet                                                 </v>
      </c>
      <c r="E942" s="52">
        <f t="shared" si="143"/>
        <v>0</v>
      </c>
      <c r="K942" s="22"/>
      <c r="N942" s="22"/>
      <c r="O942" s="22"/>
      <c r="P942" s="22"/>
      <c r="Q942" s="22"/>
      <c r="R942" s="22"/>
      <c r="S942" s="22"/>
      <c r="Z942" s="53"/>
      <c r="AA942"/>
      <c r="AH942" t="str">
        <f t="shared" si="144"/>
        <v>k yet</v>
      </c>
    </row>
    <row r="943" spans="1:34">
      <c r="A943" s="42" t="s">
        <v>263</v>
      </c>
      <c r="B943" s="1" t="s">
        <v>20</v>
      </c>
      <c r="C943" s="40" t="str">
        <f t="shared" si="141"/>
        <v>18-&gt;</v>
      </c>
      <c r="D943" s="40" t="str">
        <f t="shared" si="142"/>
        <v xml:space="preserve">No pick yet                                                 </v>
      </c>
      <c r="E943" s="52">
        <f t="shared" si="143"/>
        <v>0</v>
      </c>
      <c r="F943" s="18"/>
      <c r="L943" s="21"/>
      <c r="N943" s="22"/>
      <c r="O943" s="22"/>
      <c r="P943" s="18"/>
      <c r="Q943" s="22"/>
      <c r="R943" s="22"/>
      <c r="S943" s="22"/>
      <c r="Z943" s="53"/>
      <c r="AA943"/>
      <c r="AH943" t="str">
        <f t="shared" si="144"/>
        <v>k yet</v>
      </c>
    </row>
    <row r="944" spans="1:34">
      <c r="A944" s="42" t="s">
        <v>264</v>
      </c>
      <c r="B944" s="1" t="s">
        <v>20</v>
      </c>
      <c r="C944" s="40" t="str">
        <f t="shared" si="141"/>
        <v>19-&gt;</v>
      </c>
      <c r="D944" s="40" t="str">
        <f t="shared" si="142"/>
        <v xml:space="preserve">No pick yet                                                 </v>
      </c>
      <c r="E944" s="52">
        <f t="shared" si="143"/>
        <v>0</v>
      </c>
      <c r="F944" s="18"/>
      <c r="M944" s="18"/>
      <c r="N944" s="18"/>
      <c r="O944" s="18"/>
      <c r="P944" s="18"/>
      <c r="Q944" s="22"/>
      <c r="R944" s="21"/>
      <c r="S944" s="21"/>
      <c r="T944" s="21"/>
      <c r="AA944"/>
      <c r="AH944" t="str">
        <f t="shared" si="144"/>
        <v>k yet</v>
      </c>
    </row>
    <row r="945" spans="1:39">
      <c r="A945" s="42" t="s">
        <v>265</v>
      </c>
      <c r="B945" s="1" t="s">
        <v>20</v>
      </c>
      <c r="C945" s="40" t="str">
        <f t="shared" si="141"/>
        <v>20-&gt;</v>
      </c>
      <c r="D945" s="40" t="str">
        <f t="shared" si="142"/>
        <v xml:space="preserve">No pick yet                                                 </v>
      </c>
      <c r="E945" s="52">
        <f t="shared" si="143"/>
        <v>0</v>
      </c>
      <c r="F945" s="18"/>
      <c r="M945" s="18"/>
      <c r="N945" s="18"/>
      <c r="O945" s="18"/>
      <c r="P945" s="18"/>
      <c r="Q945" s="22"/>
      <c r="R945" s="21"/>
      <c r="S945" s="21"/>
      <c r="T945" s="21"/>
      <c r="AA945"/>
      <c r="AH945" t="str">
        <f t="shared" si="144"/>
        <v>k yet</v>
      </c>
    </row>
    <row r="946" spans="1:39">
      <c r="A946" s="42" t="s">
        <v>266</v>
      </c>
      <c r="B946" s="1" t="s">
        <v>20</v>
      </c>
      <c r="C946" s="40" t="str">
        <f t="shared" si="141"/>
        <v>21-&gt;</v>
      </c>
      <c r="D946" s="40" t="str">
        <f t="shared" si="142"/>
        <v xml:space="preserve">No pick yet                                                 </v>
      </c>
      <c r="E946" s="52">
        <f t="shared" si="143"/>
        <v>0</v>
      </c>
      <c r="F946" s="18"/>
      <c r="M946" s="18"/>
      <c r="N946" s="18"/>
      <c r="O946" s="18"/>
      <c r="P946" s="18"/>
      <c r="Q946" s="22"/>
      <c r="R946" s="21"/>
      <c r="S946" s="21"/>
      <c r="T946" s="21"/>
      <c r="AA946"/>
      <c r="AH946" t="str">
        <f t="shared" si="144"/>
        <v>k yet</v>
      </c>
    </row>
    <row r="947" spans="1:39">
      <c r="A947" s="42" t="s">
        <v>267</v>
      </c>
      <c r="B947" s="1" t="s">
        <v>20</v>
      </c>
      <c r="C947" s="40" t="str">
        <f t="shared" si="141"/>
        <v>22-&gt;</v>
      </c>
      <c r="D947" s="40" t="str">
        <f t="shared" si="142"/>
        <v xml:space="preserve">No pick yet                                                 </v>
      </c>
      <c r="E947" s="52">
        <f t="shared" si="143"/>
        <v>0</v>
      </c>
      <c r="F947" s="18"/>
      <c r="M947" s="18"/>
      <c r="N947" s="18"/>
      <c r="O947" s="18"/>
      <c r="P947" s="18"/>
      <c r="Q947" s="22"/>
      <c r="R947" s="21"/>
      <c r="S947" s="21"/>
      <c r="T947" s="21"/>
      <c r="AA947"/>
      <c r="AH947" t="str">
        <f t="shared" si="144"/>
        <v>k yet</v>
      </c>
    </row>
    <row r="948" spans="1:39">
      <c r="A948" s="42" t="s">
        <v>268</v>
      </c>
      <c r="B948" s="1" t="s">
        <v>20</v>
      </c>
      <c r="C948" s="40" t="str">
        <f t="shared" si="141"/>
        <v>23-&gt;</v>
      </c>
      <c r="D948" s="40" t="str">
        <f t="shared" si="142"/>
        <v xml:space="preserve">No pick yet                                                 </v>
      </c>
      <c r="E948" s="52">
        <f t="shared" si="143"/>
        <v>0</v>
      </c>
      <c r="F948" s="18"/>
      <c r="M948" s="18"/>
      <c r="N948" s="18"/>
      <c r="O948" s="18"/>
      <c r="P948" s="18"/>
      <c r="Q948" s="22"/>
      <c r="R948" s="21"/>
      <c r="S948" s="21"/>
      <c r="T948" s="21"/>
      <c r="AA948"/>
      <c r="AH948" t="str">
        <f t="shared" si="144"/>
        <v>k yet</v>
      </c>
    </row>
    <row r="949" spans="1:39">
      <c r="A949" s="42" t="s">
        <v>269</v>
      </c>
      <c r="B949" s="1" t="s">
        <v>20</v>
      </c>
      <c r="C949" s="40" t="str">
        <f t="shared" si="141"/>
        <v>24-&gt;</v>
      </c>
      <c r="D949" s="40" t="str">
        <f t="shared" si="142"/>
        <v xml:space="preserve">No pick yet                                                 </v>
      </c>
      <c r="E949" s="52">
        <f t="shared" si="143"/>
        <v>0</v>
      </c>
      <c r="F949" s="18"/>
      <c r="M949" s="18"/>
      <c r="N949" s="18"/>
      <c r="O949" s="18"/>
      <c r="P949" s="18"/>
      <c r="Q949" s="22"/>
      <c r="R949" s="21"/>
      <c r="S949" s="21"/>
      <c r="T949" s="21"/>
      <c r="AA949"/>
      <c r="AH949" t="str">
        <f t="shared" si="144"/>
        <v>k yet</v>
      </c>
    </row>
    <row r="950" spans="1:39">
      <c r="A950" s="42" t="s">
        <v>270</v>
      </c>
      <c r="B950" s="1" t="s">
        <v>20</v>
      </c>
      <c r="C950" s="40" t="str">
        <f t="shared" si="141"/>
        <v>25-&gt;</v>
      </c>
      <c r="D950" s="40" t="str">
        <f t="shared" si="142"/>
        <v xml:space="preserve">No pick yet                                                 </v>
      </c>
      <c r="E950" s="52">
        <f t="shared" si="143"/>
        <v>0</v>
      </c>
      <c r="F950" s="18"/>
      <c r="M950" s="18"/>
      <c r="N950" s="18"/>
      <c r="O950" s="18"/>
      <c r="P950" s="18"/>
      <c r="Q950" s="22"/>
      <c r="R950" s="21"/>
      <c r="S950" s="21"/>
      <c r="T950" s="21"/>
      <c r="AA950"/>
      <c r="AH950" t="str">
        <f t="shared" si="144"/>
        <v>k yet</v>
      </c>
    </row>
    <row r="951" spans="1:39">
      <c r="A951" s="42" t="s">
        <v>271</v>
      </c>
      <c r="B951" s="1" t="s">
        <v>20</v>
      </c>
      <c r="C951" s="40" t="str">
        <f t="shared" si="141"/>
        <v>26-&gt;</v>
      </c>
      <c r="D951" s="40" t="str">
        <f t="shared" si="142"/>
        <v xml:space="preserve">No pick yet                                                 </v>
      </c>
      <c r="E951" s="52">
        <f t="shared" si="143"/>
        <v>0</v>
      </c>
      <c r="F951" s="18"/>
      <c r="M951" s="18"/>
      <c r="N951" s="18"/>
      <c r="O951" s="18"/>
      <c r="P951" s="18"/>
      <c r="Q951" s="22"/>
      <c r="R951" s="21"/>
      <c r="S951" s="21"/>
      <c r="T951" s="21"/>
      <c r="AA951"/>
      <c r="AH951" t="str">
        <f t="shared" si="144"/>
        <v>k yet</v>
      </c>
    </row>
    <row r="952" spans="1:39">
      <c r="A952" s="38"/>
      <c r="B952" s="40"/>
      <c r="C952" s="40"/>
      <c r="D952" s="49"/>
      <c r="E952" s="41" t="s">
        <v>69</v>
      </c>
      <c r="F952" s="18"/>
      <c r="K952" s="22" t="s">
        <v>73</v>
      </c>
      <c r="L952" s="18" t="s">
        <v>74</v>
      </c>
      <c r="M952" s="22" t="s">
        <v>78</v>
      </c>
      <c r="N952" s="22" t="s">
        <v>79</v>
      </c>
      <c r="O952" s="22" t="s">
        <v>80</v>
      </c>
      <c r="P952" s="22" t="s">
        <v>81</v>
      </c>
      <c r="Q952" s="22" t="s">
        <v>82</v>
      </c>
      <c r="R952" s="22" t="s">
        <v>83</v>
      </c>
      <c r="S952" s="22" t="s">
        <v>84</v>
      </c>
      <c r="T952" s="18" t="s">
        <v>85</v>
      </c>
      <c r="U952" s="18" t="s">
        <v>86</v>
      </c>
      <c r="V952" s="18" t="s">
        <v>87</v>
      </c>
      <c r="W952" s="18" t="s">
        <v>88</v>
      </c>
      <c r="X952" s="18" t="s">
        <v>89</v>
      </c>
      <c r="Y952" s="18" t="s">
        <v>90</v>
      </c>
      <c r="Z952" s="18" t="s">
        <v>91</v>
      </c>
      <c r="AA952" s="18" t="s">
        <v>92</v>
      </c>
      <c r="AB952" s="18" t="s">
        <v>93</v>
      </c>
      <c r="AC952" s="18" t="s">
        <v>94</v>
      </c>
      <c r="AD952" s="18" t="s">
        <v>235</v>
      </c>
      <c r="AE952" s="18" t="s">
        <v>236</v>
      </c>
      <c r="AF952" s="18" t="s">
        <v>237</v>
      </c>
      <c r="AG952" s="18" t="s">
        <v>238</v>
      </c>
      <c r="AH952" s="18" t="s">
        <v>239</v>
      </c>
      <c r="AI952" s="18" t="s">
        <v>240</v>
      </c>
      <c r="AJ952" s="18" t="s">
        <v>241</v>
      </c>
      <c r="AK952" s="18" t="s">
        <v>242</v>
      </c>
      <c r="AL952" s="18" t="s">
        <v>243</v>
      </c>
      <c r="AM952" s="50" t="s">
        <v>244</v>
      </c>
    </row>
    <row r="953" spans="1:39">
      <c r="A953" s="40" t="s">
        <v>245</v>
      </c>
      <c r="B953" s="51" t="str">
        <f>D33</f>
        <v/>
      </c>
      <c r="C953" s="40" t="str">
        <f t="shared" ref="C953:C979" si="145">A953</f>
        <v>#</v>
      </c>
      <c r="D953" s="40" t="str">
        <f>"   "&amp;B953&amp;REPT(" ",$AH$70-LEN(B953)-3)</f>
        <v xml:space="preserve">                                                            </v>
      </c>
      <c r="E953" s="38" t="str">
        <f>SUM(E954:E979)&amp;" pts[/b]"</f>
        <v>0 pts[/b]</v>
      </c>
      <c r="F953" s="21">
        <f>SUM(E954:E979)</f>
        <v>0</v>
      </c>
      <c r="G953" s="22"/>
      <c r="I953" s="22"/>
      <c r="J953" s="22"/>
      <c r="K953" s="18">
        <f>COUNTIF(E954:E979,"&gt;0")</f>
        <v>0</v>
      </c>
      <c r="L953" s="21">
        <f>AM953-K953</f>
        <v>0</v>
      </c>
      <c r="M953" s="22">
        <f>MAX(E954:E979)</f>
        <v>0</v>
      </c>
      <c r="N953" s="22">
        <f>LARGE(E954:E979,2)</f>
        <v>0</v>
      </c>
      <c r="O953" s="22">
        <f>LARGE(E954:E979,3)</f>
        <v>0</v>
      </c>
      <c r="P953" s="18">
        <f>LARGE(E954:E979,4)</f>
        <v>0</v>
      </c>
      <c r="Q953" s="22">
        <f>LARGE(E954:E979,5)</f>
        <v>0</v>
      </c>
      <c r="R953" s="22">
        <f>LARGE(E954:E979,6)</f>
        <v>0</v>
      </c>
      <c r="S953" s="22">
        <f>LARGE(E954:E979,7)</f>
        <v>0</v>
      </c>
      <c r="T953" s="18">
        <f>LARGE(E954:E979,8)</f>
        <v>0</v>
      </c>
      <c r="U953" s="18">
        <f>LARGE(E954:E979,9)</f>
        <v>0</v>
      </c>
      <c r="V953" s="18">
        <f>LARGE(E954:E979,10)</f>
        <v>0</v>
      </c>
      <c r="W953" s="18">
        <f>LARGE(E954:E979,11)</f>
        <v>0</v>
      </c>
      <c r="X953" s="18">
        <f>LARGE(E954:E979,12)</f>
        <v>0</v>
      </c>
      <c r="Y953" s="18">
        <f>LARGE(E954:E979,13)</f>
        <v>0</v>
      </c>
      <c r="Z953" s="18">
        <f>LARGE(E954:E979,14)</f>
        <v>0</v>
      </c>
      <c r="AA953" s="18">
        <f>LARGE(E954:E979,15)</f>
        <v>0</v>
      </c>
      <c r="AB953" s="18">
        <f>LARGE(E954:E979,16)</f>
        <v>0</v>
      </c>
      <c r="AC953" s="18">
        <f>LARGE(E954:E979,17)</f>
        <v>0</v>
      </c>
      <c r="AD953" s="18">
        <f>LARGE(E954:E980,13)</f>
        <v>0</v>
      </c>
      <c r="AE953" s="18">
        <f>LARGE(E954:E979,19)</f>
        <v>0</v>
      </c>
      <c r="AF953" s="18">
        <f>LARGE(E954:E979,20)</f>
        <v>0</v>
      </c>
      <c r="AG953" s="18">
        <f>LARGE(E954:E979,21)</f>
        <v>0</v>
      </c>
      <c r="AH953" s="18">
        <f>LARGE(E954:E979,22)</f>
        <v>0</v>
      </c>
      <c r="AI953" s="18">
        <f>LARGE(E954:E979,23)</f>
        <v>0</v>
      </c>
      <c r="AJ953" s="18">
        <f>LARGE(E954:E979,24)</f>
        <v>0</v>
      </c>
      <c r="AK953" s="18">
        <f>LARGE(E954:E979,25)</f>
        <v>0</v>
      </c>
      <c r="AL953" s="18">
        <f>LARGE(E954:E979,26)</f>
        <v>0</v>
      </c>
      <c r="AM953" s="50">
        <f>COUNTIF(AH954:AH979,"&lt;&gt;"&amp;AH76)-(26-COUNTIF(E954:E979,"&gt;=0"))</f>
        <v>0</v>
      </c>
    </row>
    <row r="954" spans="1:39">
      <c r="A954" s="42" t="s">
        <v>246</v>
      </c>
      <c r="B954" s="1" t="s">
        <v>20</v>
      </c>
      <c r="C954" s="40" t="str">
        <f t="shared" si="145"/>
        <v>01-&gt;</v>
      </c>
      <c r="D954" s="40" t="str">
        <f t="shared" ref="D954:D979" si="146">B954&amp;REPT(" ",$AH$70-LEN(B954))</f>
        <v xml:space="preserve">No pick yet                                                 </v>
      </c>
      <c r="E954" s="52">
        <f t="shared" ref="E954:E979" si="147">VLOOKUP(RIGHT(B954,LEN(B954)-$AH$66),$H$138:$I$420,2,0)</f>
        <v>0</v>
      </c>
      <c r="F954" s="18"/>
      <c r="H954" s="21"/>
      <c r="I954" s="22"/>
      <c r="J954" s="22"/>
      <c r="M954" s="18"/>
      <c r="N954" s="18"/>
      <c r="O954" s="18"/>
      <c r="P954" s="18"/>
      <c r="Q954" s="22"/>
      <c r="R954" s="21"/>
      <c r="S954" s="21"/>
      <c r="T954" s="21"/>
      <c r="AA954"/>
      <c r="AH954" t="str">
        <f t="shared" ref="AH954:AH979" si="148">RIGHT(B954,LEN(B954)-$AH$66)</f>
        <v>k yet</v>
      </c>
    </row>
    <row r="955" spans="1:39">
      <c r="A955" s="42" t="s">
        <v>247</v>
      </c>
      <c r="B955" s="1" t="s">
        <v>20</v>
      </c>
      <c r="C955" s="40" t="str">
        <f t="shared" si="145"/>
        <v>02-&gt;</v>
      </c>
      <c r="D955" s="40" t="str">
        <f t="shared" si="146"/>
        <v xml:space="preserve">No pick yet                                                 </v>
      </c>
      <c r="E955" s="52">
        <f t="shared" si="147"/>
        <v>0</v>
      </c>
      <c r="F955" s="18"/>
      <c r="K955" s="22"/>
      <c r="N955" s="22"/>
      <c r="O955" s="22"/>
      <c r="P955" s="22"/>
      <c r="Q955" s="22"/>
      <c r="R955" s="22"/>
      <c r="S955" s="22"/>
      <c r="Z955" s="53"/>
      <c r="AA955"/>
      <c r="AH955" t="str">
        <f t="shared" si="148"/>
        <v>k yet</v>
      </c>
    </row>
    <row r="956" spans="1:39">
      <c r="A956" s="42" t="s">
        <v>248</v>
      </c>
      <c r="B956" s="1" t="s">
        <v>20</v>
      </c>
      <c r="C956" s="40" t="str">
        <f t="shared" si="145"/>
        <v>03-&gt;</v>
      </c>
      <c r="D956" s="40" t="str">
        <f t="shared" si="146"/>
        <v xml:space="preserve">No pick yet                                                 </v>
      </c>
      <c r="E956" s="52">
        <f t="shared" si="147"/>
        <v>0</v>
      </c>
      <c r="F956" s="18"/>
      <c r="L956" s="21"/>
      <c r="N956" s="22"/>
      <c r="O956" s="22"/>
      <c r="P956" s="18"/>
      <c r="Q956" s="22"/>
      <c r="R956" s="22"/>
      <c r="S956" s="22"/>
      <c r="Z956" s="53"/>
      <c r="AA956"/>
      <c r="AH956" t="str">
        <f t="shared" si="148"/>
        <v>k yet</v>
      </c>
    </row>
    <row r="957" spans="1:39">
      <c r="A957" s="42" t="s">
        <v>249</v>
      </c>
      <c r="B957" s="1" t="s">
        <v>20</v>
      </c>
      <c r="C957" s="40" t="str">
        <f t="shared" si="145"/>
        <v>04-&gt;</v>
      </c>
      <c r="D957" s="40" t="str">
        <f t="shared" si="146"/>
        <v xml:space="preserve">No pick yet                                                 </v>
      </c>
      <c r="E957" s="52">
        <f t="shared" si="147"/>
        <v>0</v>
      </c>
      <c r="F957" s="18"/>
      <c r="M957" s="18"/>
      <c r="N957" s="18"/>
      <c r="O957" s="18"/>
      <c r="P957" s="18"/>
      <c r="Q957" s="22"/>
      <c r="R957" s="21"/>
      <c r="S957" s="21"/>
      <c r="T957" s="21"/>
      <c r="AA957"/>
      <c r="AH957" t="str">
        <f t="shared" si="148"/>
        <v>k yet</v>
      </c>
    </row>
    <row r="958" spans="1:39">
      <c r="A958" s="42" t="s">
        <v>250</v>
      </c>
      <c r="B958" s="1" t="s">
        <v>20</v>
      </c>
      <c r="C958" s="40" t="str">
        <f t="shared" si="145"/>
        <v>05-&gt;</v>
      </c>
      <c r="D958" s="40" t="str">
        <f t="shared" si="146"/>
        <v xml:space="preserve">No pick yet                                                 </v>
      </c>
      <c r="E958" s="52">
        <f t="shared" si="147"/>
        <v>0</v>
      </c>
      <c r="F958" s="18"/>
      <c r="M958" s="18"/>
      <c r="N958" s="18"/>
      <c r="O958" s="18"/>
      <c r="P958" s="18"/>
      <c r="Q958" s="22"/>
      <c r="R958" s="21"/>
      <c r="S958" s="21"/>
      <c r="T958" s="21"/>
      <c r="AA958"/>
      <c r="AH958" t="str">
        <f t="shared" si="148"/>
        <v>k yet</v>
      </c>
    </row>
    <row r="959" spans="1:39">
      <c r="A959" s="42" t="s">
        <v>251</v>
      </c>
      <c r="B959" s="1" t="s">
        <v>20</v>
      </c>
      <c r="C959" s="40" t="str">
        <f t="shared" si="145"/>
        <v>06-&gt;</v>
      </c>
      <c r="D959" s="40" t="str">
        <f t="shared" si="146"/>
        <v xml:space="preserve">No pick yet                                                 </v>
      </c>
      <c r="E959" s="52">
        <f t="shared" si="147"/>
        <v>0</v>
      </c>
      <c r="F959" s="18"/>
      <c r="M959" s="18"/>
      <c r="N959" s="18"/>
      <c r="O959" s="18"/>
      <c r="P959" s="18"/>
      <c r="Q959" s="22"/>
      <c r="R959" s="21"/>
      <c r="S959" s="21"/>
      <c r="T959" s="21"/>
      <c r="AA959"/>
      <c r="AH959" t="str">
        <f t="shared" si="148"/>
        <v>k yet</v>
      </c>
    </row>
    <row r="960" spans="1:39">
      <c r="A960" s="42" t="s">
        <v>252</v>
      </c>
      <c r="B960" s="1" t="s">
        <v>20</v>
      </c>
      <c r="C960" s="40" t="str">
        <f t="shared" si="145"/>
        <v>07-&gt;</v>
      </c>
      <c r="D960" s="40" t="str">
        <f t="shared" si="146"/>
        <v xml:space="preserve">No pick yet                                                 </v>
      </c>
      <c r="E960" s="52">
        <f t="shared" si="147"/>
        <v>0</v>
      </c>
      <c r="F960" s="18"/>
      <c r="M960" s="18"/>
      <c r="N960" s="18"/>
      <c r="O960" s="18"/>
      <c r="P960" s="18"/>
      <c r="Q960" s="22"/>
      <c r="R960" s="21"/>
      <c r="S960" s="21"/>
      <c r="T960" s="21"/>
      <c r="AA960"/>
      <c r="AH960" t="str">
        <f t="shared" si="148"/>
        <v>k yet</v>
      </c>
    </row>
    <row r="961" spans="1:34">
      <c r="A961" s="42" t="s">
        <v>253</v>
      </c>
      <c r="B961" s="1" t="s">
        <v>20</v>
      </c>
      <c r="C961" s="40" t="str">
        <f t="shared" si="145"/>
        <v>08-&gt;</v>
      </c>
      <c r="D961" s="40" t="str">
        <f t="shared" si="146"/>
        <v xml:space="preserve">No pick yet                                                 </v>
      </c>
      <c r="E961" s="52">
        <f t="shared" si="147"/>
        <v>0</v>
      </c>
      <c r="F961" s="18"/>
      <c r="M961" s="18"/>
      <c r="N961" s="18"/>
      <c r="O961" s="18"/>
      <c r="P961" s="18"/>
      <c r="Q961" s="22"/>
      <c r="R961" s="21"/>
      <c r="S961" s="21"/>
      <c r="T961" s="21"/>
      <c r="AA961"/>
      <c r="AH961" t="str">
        <f t="shared" si="148"/>
        <v>k yet</v>
      </c>
    </row>
    <row r="962" spans="1:34">
      <c r="A962" s="42" t="s">
        <v>254</v>
      </c>
      <c r="B962" s="1" t="s">
        <v>20</v>
      </c>
      <c r="C962" s="40" t="str">
        <f t="shared" si="145"/>
        <v>09-&gt;</v>
      </c>
      <c r="D962" s="40" t="str">
        <f t="shared" si="146"/>
        <v xml:space="preserve">No pick yet                                                 </v>
      </c>
      <c r="E962" s="52">
        <f t="shared" si="147"/>
        <v>0</v>
      </c>
      <c r="F962" s="18"/>
      <c r="M962" s="18"/>
      <c r="N962" s="18"/>
      <c r="O962" s="18"/>
      <c r="P962" s="18"/>
      <c r="Q962" s="22"/>
      <c r="R962" s="21"/>
      <c r="S962" s="21"/>
      <c r="T962" s="21"/>
      <c r="AA962"/>
      <c r="AH962" t="str">
        <f t="shared" si="148"/>
        <v>k yet</v>
      </c>
    </row>
    <row r="963" spans="1:34">
      <c r="A963" s="42" t="s">
        <v>255</v>
      </c>
      <c r="B963" s="1" t="s">
        <v>20</v>
      </c>
      <c r="C963" s="40" t="str">
        <f t="shared" si="145"/>
        <v>10-&gt;</v>
      </c>
      <c r="D963" s="40" t="str">
        <f t="shared" si="146"/>
        <v xml:space="preserve">No pick yet                                                 </v>
      </c>
      <c r="E963" s="52">
        <f t="shared" si="147"/>
        <v>0</v>
      </c>
      <c r="F963" s="22"/>
      <c r="M963" s="18"/>
      <c r="N963" s="18"/>
      <c r="O963" s="18"/>
      <c r="P963" s="18"/>
      <c r="Q963" s="22"/>
      <c r="R963" s="21"/>
      <c r="S963" s="21"/>
      <c r="T963" s="21"/>
      <c r="AA963"/>
      <c r="AH963" t="str">
        <f t="shared" si="148"/>
        <v>k yet</v>
      </c>
    </row>
    <row r="964" spans="1:34">
      <c r="A964" s="42" t="s">
        <v>256</v>
      </c>
      <c r="B964" s="1" t="s">
        <v>20</v>
      </c>
      <c r="C964" s="40" t="str">
        <f t="shared" si="145"/>
        <v>11-&gt;</v>
      </c>
      <c r="D964" s="40" t="str">
        <f t="shared" si="146"/>
        <v xml:space="preserve">No pick yet                                                 </v>
      </c>
      <c r="E964" s="52">
        <f t="shared" si="147"/>
        <v>0</v>
      </c>
      <c r="M964" s="18"/>
      <c r="N964" s="18"/>
      <c r="O964" s="18"/>
      <c r="P964" s="18"/>
      <c r="Q964" s="22"/>
      <c r="R964" s="21"/>
      <c r="S964" s="21"/>
      <c r="T964" s="21"/>
      <c r="AA964"/>
      <c r="AH964" t="str">
        <f t="shared" si="148"/>
        <v>k yet</v>
      </c>
    </row>
    <row r="965" spans="1:34">
      <c r="A965" s="42" t="s">
        <v>257</v>
      </c>
      <c r="B965" s="1" t="s">
        <v>20</v>
      </c>
      <c r="C965" s="40" t="str">
        <f t="shared" si="145"/>
        <v>12-&gt;</v>
      </c>
      <c r="D965" s="40" t="str">
        <f t="shared" si="146"/>
        <v xml:space="preserve">No pick yet                                                 </v>
      </c>
      <c r="E965" s="52">
        <f t="shared" si="147"/>
        <v>0</v>
      </c>
      <c r="M965" s="18"/>
      <c r="N965" s="18"/>
      <c r="O965" s="18"/>
      <c r="P965" s="18"/>
      <c r="Q965" s="22"/>
      <c r="R965" s="21"/>
      <c r="S965" s="21"/>
      <c r="T965" s="21"/>
      <c r="AA965"/>
      <c r="AH965" t="str">
        <f t="shared" si="148"/>
        <v>k yet</v>
      </c>
    </row>
    <row r="966" spans="1:34">
      <c r="A966" s="42" t="s">
        <v>258</v>
      </c>
      <c r="B966" s="1" t="s">
        <v>20</v>
      </c>
      <c r="C966" s="40" t="str">
        <f t="shared" si="145"/>
        <v>13-&gt;</v>
      </c>
      <c r="D966" s="40" t="str">
        <f t="shared" si="146"/>
        <v xml:space="preserve">No pick yet                                                 </v>
      </c>
      <c r="E966" s="52">
        <f t="shared" si="147"/>
        <v>0</v>
      </c>
      <c r="M966" s="18"/>
      <c r="N966" s="18"/>
      <c r="O966" s="18"/>
      <c r="P966" s="18"/>
      <c r="Q966" s="22"/>
      <c r="R966" s="21"/>
      <c r="S966" s="21"/>
      <c r="T966" s="21"/>
      <c r="AA966"/>
      <c r="AH966" t="str">
        <f t="shared" si="148"/>
        <v>k yet</v>
      </c>
    </row>
    <row r="967" spans="1:34">
      <c r="A967" s="42" t="s">
        <v>259</v>
      </c>
      <c r="B967" s="1" t="s">
        <v>20</v>
      </c>
      <c r="C967" s="40" t="str">
        <f t="shared" si="145"/>
        <v>14-&gt;</v>
      </c>
      <c r="D967" s="40" t="str">
        <f t="shared" si="146"/>
        <v xml:space="preserve">No pick yet                                                 </v>
      </c>
      <c r="E967" s="52">
        <f t="shared" si="147"/>
        <v>0</v>
      </c>
      <c r="M967" s="18"/>
      <c r="N967" s="18"/>
      <c r="O967" s="18"/>
      <c r="P967" s="18"/>
      <c r="Q967" s="22"/>
      <c r="R967" s="21"/>
      <c r="S967" s="21"/>
      <c r="T967" s="21"/>
      <c r="AA967"/>
      <c r="AH967" t="str">
        <f t="shared" si="148"/>
        <v>k yet</v>
      </c>
    </row>
    <row r="968" spans="1:34">
      <c r="A968" s="42" t="s">
        <v>260</v>
      </c>
      <c r="B968" s="1" t="s">
        <v>20</v>
      </c>
      <c r="C968" s="40" t="str">
        <f t="shared" si="145"/>
        <v>15-&gt;</v>
      </c>
      <c r="D968" s="40" t="str">
        <f t="shared" si="146"/>
        <v xml:space="preserve">No pick yet                                                 </v>
      </c>
      <c r="E968" s="52">
        <f t="shared" si="147"/>
        <v>0</v>
      </c>
      <c r="G968" s="22"/>
      <c r="I968" s="22"/>
      <c r="J968" s="22"/>
      <c r="M968" s="18"/>
      <c r="N968" s="18"/>
      <c r="O968" s="18"/>
      <c r="P968" s="18"/>
      <c r="Q968" s="22"/>
      <c r="R968" s="21"/>
      <c r="S968" s="21"/>
      <c r="T968" s="21"/>
      <c r="AA968"/>
      <c r="AH968" t="str">
        <f t="shared" si="148"/>
        <v>k yet</v>
      </c>
    </row>
    <row r="969" spans="1:34">
      <c r="A969" s="42" t="s">
        <v>261</v>
      </c>
      <c r="B969" s="1" t="s">
        <v>20</v>
      </c>
      <c r="C969" s="40" t="str">
        <f t="shared" si="145"/>
        <v>16-&gt;</v>
      </c>
      <c r="D969" s="40" t="str">
        <f t="shared" si="146"/>
        <v xml:space="preserve">No pick yet                                                 </v>
      </c>
      <c r="E969" s="52">
        <f t="shared" si="147"/>
        <v>0</v>
      </c>
      <c r="H969" s="21"/>
      <c r="I969" s="22"/>
      <c r="J969" s="22"/>
      <c r="M969" s="18"/>
      <c r="N969" s="18"/>
      <c r="O969" s="18"/>
      <c r="P969" s="18"/>
      <c r="Q969" s="22"/>
      <c r="R969" s="21"/>
      <c r="S969" s="21"/>
      <c r="T969" s="21"/>
      <c r="AA969"/>
      <c r="AH969" t="str">
        <f t="shared" si="148"/>
        <v>k yet</v>
      </c>
    </row>
    <row r="970" spans="1:34">
      <c r="A970" s="42" t="s">
        <v>262</v>
      </c>
      <c r="B970" s="1" t="s">
        <v>20</v>
      </c>
      <c r="C970" s="40" t="str">
        <f t="shared" si="145"/>
        <v>17-&gt;</v>
      </c>
      <c r="D970" s="40" t="str">
        <f t="shared" si="146"/>
        <v xml:space="preserve">No pick yet                                                 </v>
      </c>
      <c r="E970" s="52">
        <f t="shared" si="147"/>
        <v>0</v>
      </c>
      <c r="K970" s="22"/>
      <c r="N970" s="22"/>
      <c r="O970" s="22"/>
      <c r="P970" s="22"/>
      <c r="Q970" s="22"/>
      <c r="R970" s="22"/>
      <c r="S970" s="22"/>
      <c r="Z970" s="53"/>
      <c r="AA970"/>
      <c r="AH970" t="str">
        <f t="shared" si="148"/>
        <v>k yet</v>
      </c>
    </row>
    <row r="971" spans="1:34">
      <c r="A971" s="42" t="s">
        <v>263</v>
      </c>
      <c r="B971" s="1" t="s">
        <v>20</v>
      </c>
      <c r="C971" s="40" t="str">
        <f t="shared" si="145"/>
        <v>18-&gt;</v>
      </c>
      <c r="D971" s="40" t="str">
        <f t="shared" si="146"/>
        <v xml:space="preserve">No pick yet                                                 </v>
      </c>
      <c r="E971" s="52">
        <f t="shared" si="147"/>
        <v>0</v>
      </c>
      <c r="F971" s="18"/>
      <c r="L971" s="21"/>
      <c r="N971" s="22"/>
      <c r="O971" s="22"/>
      <c r="P971" s="18"/>
      <c r="Q971" s="22"/>
      <c r="R971" s="22"/>
      <c r="S971" s="22"/>
      <c r="Z971" s="53"/>
      <c r="AA971"/>
      <c r="AH971" t="str">
        <f t="shared" si="148"/>
        <v>k yet</v>
      </c>
    </row>
    <row r="972" spans="1:34">
      <c r="A972" s="42" t="s">
        <v>264</v>
      </c>
      <c r="B972" s="1" t="s">
        <v>20</v>
      </c>
      <c r="C972" s="40" t="str">
        <f t="shared" si="145"/>
        <v>19-&gt;</v>
      </c>
      <c r="D972" s="40" t="str">
        <f t="shared" si="146"/>
        <v xml:space="preserve">No pick yet                                                 </v>
      </c>
      <c r="E972" s="52">
        <f t="shared" si="147"/>
        <v>0</v>
      </c>
      <c r="F972" s="18"/>
      <c r="M972" s="18"/>
      <c r="N972" s="18"/>
      <c r="O972" s="18"/>
      <c r="P972" s="18"/>
      <c r="Q972" s="22"/>
      <c r="R972" s="21"/>
      <c r="S972" s="21"/>
      <c r="T972" s="21"/>
      <c r="AA972"/>
      <c r="AH972" t="str">
        <f t="shared" si="148"/>
        <v>k yet</v>
      </c>
    </row>
    <row r="973" spans="1:34">
      <c r="A973" s="42" t="s">
        <v>265</v>
      </c>
      <c r="B973" s="1" t="s">
        <v>20</v>
      </c>
      <c r="C973" s="40" t="str">
        <f t="shared" si="145"/>
        <v>20-&gt;</v>
      </c>
      <c r="D973" s="40" t="str">
        <f t="shared" si="146"/>
        <v xml:space="preserve">No pick yet                                                 </v>
      </c>
      <c r="E973" s="52">
        <f t="shared" si="147"/>
        <v>0</v>
      </c>
      <c r="F973" s="18"/>
      <c r="M973" s="18"/>
      <c r="N973" s="18"/>
      <c r="O973" s="18"/>
      <c r="P973" s="18"/>
      <c r="Q973" s="22"/>
      <c r="R973" s="21"/>
      <c r="S973" s="21"/>
      <c r="T973" s="21"/>
      <c r="AA973"/>
      <c r="AH973" t="str">
        <f t="shared" si="148"/>
        <v>k yet</v>
      </c>
    </row>
    <row r="974" spans="1:34">
      <c r="A974" s="42" t="s">
        <v>266</v>
      </c>
      <c r="B974" s="1" t="s">
        <v>20</v>
      </c>
      <c r="C974" s="40" t="str">
        <f t="shared" si="145"/>
        <v>21-&gt;</v>
      </c>
      <c r="D974" s="40" t="str">
        <f t="shared" si="146"/>
        <v xml:space="preserve">No pick yet                                                 </v>
      </c>
      <c r="E974" s="52">
        <f t="shared" si="147"/>
        <v>0</v>
      </c>
      <c r="F974" s="18"/>
      <c r="M974" s="18"/>
      <c r="N974" s="18"/>
      <c r="O974" s="18"/>
      <c r="P974" s="18"/>
      <c r="Q974" s="22"/>
      <c r="R974" s="21"/>
      <c r="S974" s="21"/>
      <c r="T974" s="21"/>
      <c r="AA974"/>
      <c r="AH974" t="str">
        <f t="shared" si="148"/>
        <v>k yet</v>
      </c>
    </row>
    <row r="975" spans="1:34">
      <c r="A975" s="42" t="s">
        <v>267</v>
      </c>
      <c r="B975" s="1" t="s">
        <v>20</v>
      </c>
      <c r="C975" s="40" t="str">
        <f t="shared" si="145"/>
        <v>22-&gt;</v>
      </c>
      <c r="D975" s="40" t="str">
        <f t="shared" si="146"/>
        <v xml:space="preserve">No pick yet                                                 </v>
      </c>
      <c r="E975" s="52">
        <f t="shared" si="147"/>
        <v>0</v>
      </c>
      <c r="F975" s="18"/>
      <c r="M975" s="18"/>
      <c r="N975" s="18"/>
      <c r="O975" s="18"/>
      <c r="P975" s="18"/>
      <c r="Q975" s="22"/>
      <c r="R975" s="21"/>
      <c r="S975" s="21"/>
      <c r="T975" s="21"/>
      <c r="AA975"/>
      <c r="AH975" t="str">
        <f t="shared" si="148"/>
        <v>k yet</v>
      </c>
    </row>
    <row r="976" spans="1:34">
      <c r="A976" s="42" t="s">
        <v>268</v>
      </c>
      <c r="B976" s="1" t="s">
        <v>20</v>
      </c>
      <c r="C976" s="40" t="str">
        <f t="shared" si="145"/>
        <v>23-&gt;</v>
      </c>
      <c r="D976" s="40" t="str">
        <f t="shared" si="146"/>
        <v xml:space="preserve">No pick yet                                                 </v>
      </c>
      <c r="E976" s="52">
        <f t="shared" si="147"/>
        <v>0</v>
      </c>
      <c r="F976" s="18"/>
      <c r="M976" s="18"/>
      <c r="N976" s="18"/>
      <c r="O976" s="18"/>
      <c r="P976" s="18"/>
      <c r="Q976" s="22"/>
      <c r="R976" s="21"/>
      <c r="S976" s="21"/>
      <c r="T976" s="21"/>
      <c r="AA976"/>
      <c r="AH976" t="str">
        <f t="shared" si="148"/>
        <v>k yet</v>
      </c>
    </row>
    <row r="977" spans="1:39">
      <c r="A977" s="42" t="s">
        <v>269</v>
      </c>
      <c r="B977" s="1" t="s">
        <v>20</v>
      </c>
      <c r="C977" s="40" t="str">
        <f t="shared" si="145"/>
        <v>24-&gt;</v>
      </c>
      <c r="D977" s="40" t="str">
        <f t="shared" si="146"/>
        <v xml:space="preserve">No pick yet                                                 </v>
      </c>
      <c r="E977" s="52">
        <f t="shared" si="147"/>
        <v>0</v>
      </c>
      <c r="F977" s="18"/>
      <c r="M977" s="18"/>
      <c r="N977" s="18"/>
      <c r="O977" s="18"/>
      <c r="P977" s="18"/>
      <c r="Q977" s="22"/>
      <c r="R977" s="21"/>
      <c r="S977" s="21"/>
      <c r="T977" s="21"/>
      <c r="AA977"/>
      <c r="AH977" t="str">
        <f t="shared" si="148"/>
        <v>k yet</v>
      </c>
    </row>
    <row r="978" spans="1:39">
      <c r="A978" s="42" t="s">
        <v>270</v>
      </c>
      <c r="B978" s="1" t="s">
        <v>20</v>
      </c>
      <c r="C978" s="40" t="str">
        <f t="shared" si="145"/>
        <v>25-&gt;</v>
      </c>
      <c r="D978" s="40" t="str">
        <f t="shared" si="146"/>
        <v xml:space="preserve">No pick yet                                                 </v>
      </c>
      <c r="E978" s="52">
        <f t="shared" si="147"/>
        <v>0</v>
      </c>
      <c r="F978" s="18"/>
      <c r="M978" s="18"/>
      <c r="N978" s="18"/>
      <c r="O978" s="18"/>
      <c r="P978" s="18"/>
      <c r="Q978" s="22"/>
      <c r="R978" s="21"/>
      <c r="S978" s="21"/>
      <c r="T978" s="21"/>
      <c r="AA978"/>
      <c r="AH978" t="str">
        <f t="shared" si="148"/>
        <v>k yet</v>
      </c>
    </row>
    <row r="979" spans="1:39">
      <c r="A979" s="42" t="s">
        <v>271</v>
      </c>
      <c r="B979" s="1" t="s">
        <v>20</v>
      </c>
      <c r="C979" s="40" t="str">
        <f t="shared" si="145"/>
        <v>26-&gt;</v>
      </c>
      <c r="D979" s="40" t="str">
        <f t="shared" si="146"/>
        <v xml:space="preserve">No pick yet                                                 </v>
      </c>
      <c r="E979" s="52">
        <f t="shared" si="147"/>
        <v>0</v>
      </c>
      <c r="F979" s="18"/>
      <c r="M979" s="18"/>
      <c r="N979" s="18"/>
      <c r="O979" s="18"/>
      <c r="P979" s="18"/>
      <c r="Q979" s="22"/>
      <c r="R979" s="21"/>
      <c r="S979" s="21"/>
      <c r="T979" s="21"/>
      <c r="AA979"/>
      <c r="AH979" t="str">
        <f t="shared" si="148"/>
        <v>k yet</v>
      </c>
    </row>
    <row r="980" spans="1:39">
      <c r="A980" s="38"/>
      <c r="B980" s="40"/>
      <c r="C980" s="40"/>
      <c r="D980" s="49"/>
      <c r="E980" s="41" t="s">
        <v>69</v>
      </c>
      <c r="F980" s="18"/>
      <c r="K980" s="22" t="s">
        <v>73</v>
      </c>
      <c r="L980" s="18" t="s">
        <v>74</v>
      </c>
      <c r="M980" s="22" t="s">
        <v>78</v>
      </c>
      <c r="N980" s="22" t="s">
        <v>79</v>
      </c>
      <c r="O980" s="22" t="s">
        <v>80</v>
      </c>
      <c r="P980" s="22" t="s">
        <v>81</v>
      </c>
      <c r="Q980" s="22" t="s">
        <v>82</v>
      </c>
      <c r="R980" s="22" t="s">
        <v>83</v>
      </c>
      <c r="S980" s="22" t="s">
        <v>84</v>
      </c>
      <c r="T980" s="18" t="s">
        <v>85</v>
      </c>
      <c r="U980" s="18" t="s">
        <v>86</v>
      </c>
      <c r="V980" s="18" t="s">
        <v>87</v>
      </c>
      <c r="W980" s="18" t="s">
        <v>88</v>
      </c>
      <c r="X980" s="18" t="s">
        <v>89</v>
      </c>
      <c r="Y980" s="18" t="s">
        <v>90</v>
      </c>
      <c r="Z980" s="18" t="s">
        <v>91</v>
      </c>
      <c r="AA980" s="18" t="s">
        <v>92</v>
      </c>
      <c r="AB980" s="18" t="s">
        <v>93</v>
      </c>
      <c r="AC980" s="18" t="s">
        <v>94</v>
      </c>
      <c r="AD980" s="18" t="s">
        <v>235</v>
      </c>
      <c r="AE980" s="18" t="s">
        <v>236</v>
      </c>
      <c r="AF980" s="18" t="s">
        <v>237</v>
      </c>
      <c r="AG980" s="18" t="s">
        <v>238</v>
      </c>
      <c r="AH980" s="18" t="s">
        <v>239</v>
      </c>
      <c r="AI980" s="18" t="s">
        <v>240</v>
      </c>
      <c r="AJ980" s="18" t="s">
        <v>241</v>
      </c>
      <c r="AK980" s="18" t="s">
        <v>242</v>
      </c>
      <c r="AL980" s="18" t="s">
        <v>243</v>
      </c>
      <c r="AM980" s="50" t="s">
        <v>244</v>
      </c>
    </row>
    <row r="981" spans="1:39">
      <c r="A981" s="40" t="s">
        <v>245</v>
      </c>
      <c r="B981" s="51" t="str">
        <f>D34</f>
        <v/>
      </c>
      <c r="C981" s="40" t="str">
        <f t="shared" ref="C981:C1007" si="149">A981</f>
        <v>#</v>
      </c>
      <c r="D981" s="40" t="str">
        <f>"   "&amp;B981&amp;REPT(" ",$AH$70-LEN(B981)-3)</f>
        <v xml:space="preserve">                                                            </v>
      </c>
      <c r="E981" s="38" t="str">
        <f>SUM(E982:E1007)&amp;" pts[/b]"</f>
        <v>0 pts[/b]</v>
      </c>
      <c r="F981" s="21">
        <f>SUM(E982:E1007)</f>
        <v>0</v>
      </c>
      <c r="K981" s="18">
        <f>COUNTIF(E982:E1007,"&gt;0")</f>
        <v>0</v>
      </c>
      <c r="L981" s="21">
        <f>AM981-K981</f>
        <v>0</v>
      </c>
      <c r="M981" s="22">
        <f>MAX(E982:E1007)</f>
        <v>0</v>
      </c>
      <c r="N981" s="22">
        <f>LARGE(E982:E1007,2)</f>
        <v>0</v>
      </c>
      <c r="O981" s="22">
        <f>LARGE(E982:E1007,3)</f>
        <v>0</v>
      </c>
      <c r="P981" s="18">
        <f>LARGE(E982:E1007,4)</f>
        <v>0</v>
      </c>
      <c r="Q981" s="22">
        <f>LARGE(E982:E1007,5)</f>
        <v>0</v>
      </c>
      <c r="R981" s="22">
        <f>LARGE(E982:E1007,6)</f>
        <v>0</v>
      </c>
      <c r="S981" s="22">
        <f>LARGE(E982:E1007,7)</f>
        <v>0</v>
      </c>
      <c r="T981" s="18">
        <f>LARGE(E982:E1007,8)</f>
        <v>0</v>
      </c>
      <c r="U981" s="18">
        <f>LARGE(E982:E1007,9)</f>
        <v>0</v>
      </c>
      <c r="V981" s="18">
        <f>LARGE(E982:E1007,10)</f>
        <v>0</v>
      </c>
      <c r="W981" s="18">
        <f>LARGE(E982:E1007,11)</f>
        <v>0</v>
      </c>
      <c r="X981" s="18">
        <f>LARGE(E982:E1007,12)</f>
        <v>0</v>
      </c>
      <c r="Y981" s="18">
        <f>LARGE(E982:E1007,13)</f>
        <v>0</v>
      </c>
      <c r="Z981" s="18">
        <f>LARGE(E982:E1007,14)</f>
        <v>0</v>
      </c>
      <c r="AA981" s="18">
        <f>LARGE(E982:E1007,15)</f>
        <v>0</v>
      </c>
      <c r="AB981" s="18">
        <f>LARGE(E982:E1007,16)</f>
        <v>0</v>
      </c>
      <c r="AC981" s="18">
        <f>LARGE(E982:E1007,17)</f>
        <v>0</v>
      </c>
      <c r="AD981" s="18">
        <f>LARGE(E982:E1008,13)</f>
        <v>0</v>
      </c>
      <c r="AE981" s="18">
        <f>LARGE(E982:E1007,19)</f>
        <v>0</v>
      </c>
      <c r="AF981" s="18">
        <f>LARGE(E982:E1007,20)</f>
        <v>0</v>
      </c>
      <c r="AG981" s="18">
        <f>LARGE(E982:E1007,21)</f>
        <v>0</v>
      </c>
      <c r="AH981" s="18">
        <f>LARGE(E982:E1007,22)</f>
        <v>0</v>
      </c>
      <c r="AI981" s="18">
        <f>LARGE(E982:E1007,23)</f>
        <v>0</v>
      </c>
      <c r="AJ981" s="18">
        <f>LARGE(E982:E1007,24)</f>
        <v>0</v>
      </c>
      <c r="AK981" s="18">
        <f>LARGE(E982:E1007,25)</f>
        <v>0</v>
      </c>
      <c r="AL981" s="18">
        <f>LARGE(E982:E1007,26)</f>
        <v>0</v>
      </c>
      <c r="AM981" s="50">
        <f>COUNTIF(AH982:AH1007,"&lt;&gt;"&amp;AH76)-(26-COUNTIF(E982:E1007,"&gt;=0"))</f>
        <v>0</v>
      </c>
    </row>
    <row r="982" spans="1:39">
      <c r="A982" s="42" t="s">
        <v>246</v>
      </c>
      <c r="B982" s="1" t="s">
        <v>20</v>
      </c>
      <c r="C982" s="40" t="str">
        <f t="shared" si="149"/>
        <v>01-&gt;</v>
      </c>
      <c r="D982" s="40" t="str">
        <f t="shared" ref="D982:D1007" si="150">B982&amp;REPT(" ",$AH$70-LEN(B982))</f>
        <v xml:space="preserve">No pick yet                                                 </v>
      </c>
      <c r="E982" s="52">
        <f t="shared" ref="E982:E1007" si="151">VLOOKUP(RIGHT(B982,LEN(B982)-$AH$66),$H$138:$I$420,2,0)</f>
        <v>0</v>
      </c>
      <c r="F982" s="18"/>
      <c r="M982" s="18"/>
      <c r="N982" s="18"/>
      <c r="O982" s="18"/>
      <c r="P982" s="18"/>
      <c r="Q982" s="22"/>
      <c r="R982" s="21"/>
      <c r="S982" s="21"/>
      <c r="T982" s="21"/>
      <c r="AA982"/>
      <c r="AH982" t="str">
        <f t="shared" ref="AH982:AH1007" si="152">RIGHT(B982,LEN(B982)-$AH$66)</f>
        <v>k yet</v>
      </c>
    </row>
    <row r="983" spans="1:39">
      <c r="A983" s="42" t="s">
        <v>247</v>
      </c>
      <c r="B983" s="1" t="s">
        <v>20</v>
      </c>
      <c r="C983" s="40" t="str">
        <f t="shared" si="149"/>
        <v>02-&gt;</v>
      </c>
      <c r="D983" s="40" t="str">
        <f t="shared" si="150"/>
        <v xml:space="preserve">No pick yet                                                 </v>
      </c>
      <c r="E983" s="52">
        <f t="shared" si="151"/>
        <v>0</v>
      </c>
      <c r="F983" s="18"/>
      <c r="G983" s="22"/>
      <c r="I983" s="22"/>
      <c r="J983" s="22"/>
      <c r="K983" s="22"/>
      <c r="N983" s="22"/>
      <c r="O983" s="22"/>
      <c r="P983" s="22"/>
      <c r="Q983" s="22"/>
      <c r="R983" s="22"/>
      <c r="S983" s="22"/>
      <c r="Z983" s="53"/>
      <c r="AA983"/>
      <c r="AH983" t="str">
        <f t="shared" si="152"/>
        <v>k yet</v>
      </c>
    </row>
    <row r="984" spans="1:39">
      <c r="A984" s="42" t="s">
        <v>248</v>
      </c>
      <c r="B984" s="1" t="s">
        <v>20</v>
      </c>
      <c r="C984" s="40" t="str">
        <f t="shared" si="149"/>
        <v>03-&gt;</v>
      </c>
      <c r="D984" s="40" t="str">
        <f t="shared" si="150"/>
        <v xml:space="preserve">No pick yet                                                 </v>
      </c>
      <c r="E984" s="52">
        <f t="shared" si="151"/>
        <v>0</v>
      </c>
      <c r="F984" s="18"/>
      <c r="H984" s="21"/>
      <c r="I984" s="22"/>
      <c r="J984" s="22"/>
      <c r="L984" s="21"/>
      <c r="N984" s="22"/>
      <c r="O984" s="22"/>
      <c r="P984" s="18"/>
      <c r="Q984" s="22"/>
      <c r="R984" s="22"/>
      <c r="S984" s="22"/>
      <c r="Z984" s="53"/>
      <c r="AA984"/>
      <c r="AH984" t="str">
        <f t="shared" si="152"/>
        <v>k yet</v>
      </c>
    </row>
    <row r="985" spans="1:39">
      <c r="A985" s="42" t="s">
        <v>249</v>
      </c>
      <c r="B985" s="1" t="s">
        <v>20</v>
      </c>
      <c r="C985" s="40" t="str">
        <f t="shared" si="149"/>
        <v>04-&gt;</v>
      </c>
      <c r="D985" s="40" t="str">
        <f t="shared" si="150"/>
        <v xml:space="preserve">No pick yet                                                 </v>
      </c>
      <c r="E985" s="52">
        <f t="shared" si="151"/>
        <v>0</v>
      </c>
      <c r="F985" s="18"/>
      <c r="M985" s="18"/>
      <c r="N985" s="18"/>
      <c r="O985" s="18"/>
      <c r="P985" s="18"/>
      <c r="Q985" s="22"/>
      <c r="R985" s="21"/>
      <c r="S985" s="21"/>
      <c r="T985" s="21"/>
      <c r="AA985"/>
      <c r="AH985" t="str">
        <f t="shared" si="152"/>
        <v>k yet</v>
      </c>
    </row>
    <row r="986" spans="1:39">
      <c r="A986" s="42" t="s">
        <v>250</v>
      </c>
      <c r="B986" s="1" t="s">
        <v>20</v>
      </c>
      <c r="C986" s="40" t="str">
        <f t="shared" si="149"/>
        <v>05-&gt;</v>
      </c>
      <c r="D986" s="40" t="str">
        <f t="shared" si="150"/>
        <v xml:space="preserve">No pick yet                                                 </v>
      </c>
      <c r="E986" s="52">
        <f t="shared" si="151"/>
        <v>0</v>
      </c>
      <c r="F986" s="18"/>
      <c r="M986" s="18"/>
      <c r="N986" s="18"/>
      <c r="O986" s="18"/>
      <c r="P986" s="18"/>
      <c r="Q986" s="22"/>
      <c r="R986" s="21"/>
      <c r="S986" s="21"/>
      <c r="T986" s="21"/>
      <c r="AA986"/>
      <c r="AH986" t="str">
        <f t="shared" si="152"/>
        <v>k yet</v>
      </c>
    </row>
    <row r="987" spans="1:39">
      <c r="A987" s="42" t="s">
        <v>251</v>
      </c>
      <c r="B987" s="1" t="s">
        <v>20</v>
      </c>
      <c r="C987" s="40" t="str">
        <f t="shared" si="149"/>
        <v>06-&gt;</v>
      </c>
      <c r="D987" s="40" t="str">
        <f t="shared" si="150"/>
        <v xml:space="preserve">No pick yet                                                 </v>
      </c>
      <c r="E987" s="52">
        <f t="shared" si="151"/>
        <v>0</v>
      </c>
      <c r="F987" s="18"/>
      <c r="M987" s="18"/>
      <c r="N987" s="18"/>
      <c r="O987" s="18"/>
      <c r="P987" s="18"/>
      <c r="Q987" s="22"/>
      <c r="R987" s="21"/>
      <c r="S987" s="21"/>
      <c r="T987" s="21"/>
      <c r="AA987"/>
      <c r="AH987" t="str">
        <f t="shared" si="152"/>
        <v>k yet</v>
      </c>
    </row>
    <row r="988" spans="1:39">
      <c r="A988" s="42" t="s">
        <v>252</v>
      </c>
      <c r="B988" s="1" t="s">
        <v>20</v>
      </c>
      <c r="C988" s="40" t="str">
        <f t="shared" si="149"/>
        <v>07-&gt;</v>
      </c>
      <c r="D988" s="40" t="str">
        <f t="shared" si="150"/>
        <v xml:space="preserve">No pick yet                                                 </v>
      </c>
      <c r="E988" s="52">
        <f t="shared" si="151"/>
        <v>0</v>
      </c>
      <c r="F988" s="18"/>
      <c r="M988" s="18"/>
      <c r="N988" s="18"/>
      <c r="O988" s="18"/>
      <c r="P988" s="18"/>
      <c r="Q988" s="22"/>
      <c r="R988" s="21"/>
      <c r="S988" s="21"/>
      <c r="T988" s="21"/>
      <c r="AA988"/>
      <c r="AH988" t="str">
        <f t="shared" si="152"/>
        <v>k yet</v>
      </c>
    </row>
    <row r="989" spans="1:39">
      <c r="A989" s="42" t="s">
        <v>253</v>
      </c>
      <c r="B989" s="1" t="s">
        <v>20</v>
      </c>
      <c r="C989" s="40" t="str">
        <f t="shared" si="149"/>
        <v>08-&gt;</v>
      </c>
      <c r="D989" s="40" t="str">
        <f t="shared" si="150"/>
        <v xml:space="preserve">No pick yet                                                 </v>
      </c>
      <c r="E989" s="52">
        <f t="shared" si="151"/>
        <v>0</v>
      </c>
      <c r="F989" s="18"/>
      <c r="M989" s="18"/>
      <c r="N989" s="18"/>
      <c r="O989" s="18"/>
      <c r="P989" s="18"/>
      <c r="Q989" s="22"/>
      <c r="R989" s="21"/>
      <c r="S989" s="21"/>
      <c r="T989" s="21"/>
      <c r="AA989"/>
      <c r="AH989" t="str">
        <f t="shared" si="152"/>
        <v>k yet</v>
      </c>
    </row>
    <row r="990" spans="1:39">
      <c r="A990" s="42" t="s">
        <v>254</v>
      </c>
      <c r="B990" s="1" t="s">
        <v>20</v>
      </c>
      <c r="C990" s="40" t="str">
        <f t="shared" si="149"/>
        <v>09-&gt;</v>
      </c>
      <c r="D990" s="40" t="str">
        <f t="shared" si="150"/>
        <v xml:space="preserve">No pick yet                                                 </v>
      </c>
      <c r="E990" s="52">
        <f t="shared" si="151"/>
        <v>0</v>
      </c>
      <c r="F990" s="18"/>
      <c r="M990" s="18"/>
      <c r="N990" s="18"/>
      <c r="O990" s="18"/>
      <c r="P990" s="18"/>
      <c r="Q990" s="22"/>
      <c r="R990" s="21"/>
      <c r="S990" s="21"/>
      <c r="T990" s="21"/>
      <c r="AA990"/>
      <c r="AH990" t="str">
        <f t="shared" si="152"/>
        <v>k yet</v>
      </c>
    </row>
    <row r="991" spans="1:39">
      <c r="A991" s="42" t="s">
        <v>255</v>
      </c>
      <c r="B991" s="1" t="s">
        <v>20</v>
      </c>
      <c r="C991" s="40" t="str">
        <f t="shared" si="149"/>
        <v>10-&gt;</v>
      </c>
      <c r="D991" s="40" t="str">
        <f t="shared" si="150"/>
        <v xml:space="preserve">No pick yet                                                 </v>
      </c>
      <c r="E991" s="52">
        <f t="shared" si="151"/>
        <v>0</v>
      </c>
      <c r="F991" s="22"/>
      <c r="M991" s="18"/>
      <c r="N991" s="18"/>
      <c r="O991" s="18"/>
      <c r="P991" s="18"/>
      <c r="Q991" s="22"/>
      <c r="R991" s="21"/>
      <c r="S991" s="21"/>
      <c r="T991" s="21"/>
      <c r="AA991"/>
      <c r="AH991" t="str">
        <f t="shared" si="152"/>
        <v>k yet</v>
      </c>
    </row>
    <row r="992" spans="1:39">
      <c r="A992" s="42" t="s">
        <v>256</v>
      </c>
      <c r="B992" s="1" t="s">
        <v>20</v>
      </c>
      <c r="C992" s="40" t="str">
        <f t="shared" si="149"/>
        <v>11-&gt;</v>
      </c>
      <c r="D992" s="40" t="str">
        <f t="shared" si="150"/>
        <v xml:space="preserve">No pick yet                                                 </v>
      </c>
      <c r="E992" s="52">
        <f t="shared" si="151"/>
        <v>0</v>
      </c>
      <c r="M992" s="18"/>
      <c r="N992" s="18"/>
      <c r="O992" s="18"/>
      <c r="P992" s="18"/>
      <c r="Q992" s="22"/>
      <c r="R992" s="21"/>
      <c r="S992" s="21"/>
      <c r="T992" s="21"/>
      <c r="AA992"/>
      <c r="AH992" t="str">
        <f t="shared" si="152"/>
        <v>k yet</v>
      </c>
    </row>
    <row r="993" spans="1:39">
      <c r="A993" s="42" t="s">
        <v>257</v>
      </c>
      <c r="B993" s="1" t="s">
        <v>20</v>
      </c>
      <c r="C993" s="40" t="str">
        <f t="shared" si="149"/>
        <v>12-&gt;</v>
      </c>
      <c r="D993" s="40" t="str">
        <f t="shared" si="150"/>
        <v xml:space="preserve">No pick yet                                                 </v>
      </c>
      <c r="E993" s="52">
        <f t="shared" si="151"/>
        <v>0</v>
      </c>
      <c r="M993" s="18"/>
      <c r="N993" s="18"/>
      <c r="O993" s="18"/>
      <c r="P993" s="18"/>
      <c r="Q993" s="22"/>
      <c r="R993" s="21"/>
      <c r="S993" s="21"/>
      <c r="T993" s="21"/>
      <c r="AA993"/>
      <c r="AH993" t="str">
        <f t="shared" si="152"/>
        <v>k yet</v>
      </c>
    </row>
    <row r="994" spans="1:39">
      <c r="A994" s="42" t="s">
        <v>258</v>
      </c>
      <c r="B994" s="1" t="s">
        <v>20</v>
      </c>
      <c r="C994" s="40" t="str">
        <f t="shared" si="149"/>
        <v>13-&gt;</v>
      </c>
      <c r="D994" s="40" t="str">
        <f t="shared" si="150"/>
        <v xml:space="preserve">No pick yet                                                 </v>
      </c>
      <c r="E994" s="52">
        <f t="shared" si="151"/>
        <v>0</v>
      </c>
      <c r="M994" s="18"/>
      <c r="N994" s="18"/>
      <c r="O994" s="18"/>
      <c r="P994" s="18"/>
      <c r="Q994" s="22"/>
      <c r="R994" s="21"/>
      <c r="S994" s="21"/>
      <c r="T994" s="21"/>
      <c r="AA994"/>
      <c r="AH994" t="str">
        <f t="shared" si="152"/>
        <v>k yet</v>
      </c>
    </row>
    <row r="995" spans="1:39">
      <c r="A995" s="42" t="s">
        <v>259</v>
      </c>
      <c r="B995" s="1" t="s">
        <v>20</v>
      </c>
      <c r="C995" s="40" t="str">
        <f t="shared" si="149"/>
        <v>14-&gt;</v>
      </c>
      <c r="D995" s="40" t="str">
        <f t="shared" si="150"/>
        <v xml:space="preserve">No pick yet                                                 </v>
      </c>
      <c r="E995" s="52">
        <f t="shared" si="151"/>
        <v>0</v>
      </c>
      <c r="M995" s="18"/>
      <c r="N995" s="18"/>
      <c r="O995" s="18"/>
      <c r="P995" s="18"/>
      <c r="Q995" s="22"/>
      <c r="R995" s="21"/>
      <c r="S995" s="21"/>
      <c r="T995" s="21"/>
      <c r="AA995"/>
      <c r="AH995" t="str">
        <f t="shared" si="152"/>
        <v>k yet</v>
      </c>
    </row>
    <row r="996" spans="1:39">
      <c r="A996" s="42" t="s">
        <v>260</v>
      </c>
      <c r="B996" s="1" t="s">
        <v>20</v>
      </c>
      <c r="C996" s="40" t="str">
        <f t="shared" si="149"/>
        <v>15-&gt;</v>
      </c>
      <c r="D996" s="40" t="str">
        <f t="shared" si="150"/>
        <v xml:space="preserve">No pick yet                                                 </v>
      </c>
      <c r="E996" s="52">
        <f t="shared" si="151"/>
        <v>0</v>
      </c>
      <c r="M996" s="18"/>
      <c r="N996" s="18"/>
      <c r="O996" s="18"/>
      <c r="P996" s="18"/>
      <c r="Q996" s="22"/>
      <c r="R996" s="21"/>
      <c r="S996" s="21"/>
      <c r="T996" s="21"/>
      <c r="AA996"/>
      <c r="AH996" t="str">
        <f t="shared" si="152"/>
        <v>k yet</v>
      </c>
    </row>
    <row r="997" spans="1:39">
      <c r="A997" s="42" t="s">
        <v>261</v>
      </c>
      <c r="B997" s="1" t="s">
        <v>20</v>
      </c>
      <c r="C997" s="40" t="str">
        <f t="shared" si="149"/>
        <v>16-&gt;</v>
      </c>
      <c r="D997" s="40" t="str">
        <f t="shared" si="150"/>
        <v xml:space="preserve">No pick yet                                                 </v>
      </c>
      <c r="E997" s="52">
        <f t="shared" si="151"/>
        <v>0</v>
      </c>
      <c r="M997" s="18"/>
      <c r="N997" s="18"/>
      <c r="O997" s="18"/>
      <c r="P997" s="18"/>
      <c r="Q997" s="22"/>
      <c r="R997" s="21"/>
      <c r="S997" s="21"/>
      <c r="T997" s="21"/>
      <c r="AA997"/>
      <c r="AH997" t="str">
        <f t="shared" si="152"/>
        <v>k yet</v>
      </c>
    </row>
    <row r="998" spans="1:39">
      <c r="A998" s="42" t="s">
        <v>262</v>
      </c>
      <c r="B998" s="1" t="s">
        <v>20</v>
      </c>
      <c r="C998" s="40" t="str">
        <f t="shared" si="149"/>
        <v>17-&gt;</v>
      </c>
      <c r="D998" s="40" t="str">
        <f t="shared" si="150"/>
        <v xml:space="preserve">No pick yet                                                 </v>
      </c>
      <c r="E998" s="52">
        <f t="shared" si="151"/>
        <v>0</v>
      </c>
      <c r="G998" s="22"/>
      <c r="I998" s="22"/>
      <c r="J998" s="22"/>
      <c r="K998" s="22"/>
      <c r="N998" s="22"/>
      <c r="O998" s="22"/>
      <c r="P998" s="22"/>
      <c r="Q998" s="22"/>
      <c r="R998" s="22"/>
      <c r="S998" s="22"/>
      <c r="Z998" s="53"/>
      <c r="AA998"/>
      <c r="AH998" t="str">
        <f t="shared" si="152"/>
        <v>k yet</v>
      </c>
    </row>
    <row r="999" spans="1:39">
      <c r="A999" s="42" t="s">
        <v>263</v>
      </c>
      <c r="B999" s="1" t="s">
        <v>20</v>
      </c>
      <c r="C999" s="40" t="str">
        <f t="shared" si="149"/>
        <v>18-&gt;</v>
      </c>
      <c r="D999" s="40" t="str">
        <f t="shared" si="150"/>
        <v xml:space="preserve">No pick yet                                                 </v>
      </c>
      <c r="E999" s="52">
        <f t="shared" si="151"/>
        <v>0</v>
      </c>
      <c r="F999" s="18"/>
      <c r="H999" s="21"/>
      <c r="I999" s="22"/>
      <c r="J999" s="22"/>
      <c r="L999" s="21"/>
      <c r="N999" s="22"/>
      <c r="O999" s="22"/>
      <c r="P999" s="18"/>
      <c r="Q999" s="22"/>
      <c r="R999" s="22"/>
      <c r="S999" s="22"/>
      <c r="Z999" s="53"/>
      <c r="AA999"/>
      <c r="AH999" t="str">
        <f t="shared" si="152"/>
        <v>k yet</v>
      </c>
    </row>
    <row r="1000" spans="1:39">
      <c r="A1000" s="42" t="s">
        <v>264</v>
      </c>
      <c r="B1000" s="1" t="s">
        <v>20</v>
      </c>
      <c r="C1000" s="40" t="str">
        <f t="shared" si="149"/>
        <v>19-&gt;</v>
      </c>
      <c r="D1000" s="40" t="str">
        <f t="shared" si="150"/>
        <v xml:space="preserve">No pick yet                                                 </v>
      </c>
      <c r="E1000" s="52">
        <f t="shared" si="151"/>
        <v>0</v>
      </c>
      <c r="F1000" s="18"/>
      <c r="M1000" s="18"/>
      <c r="N1000" s="18"/>
      <c r="O1000" s="18"/>
      <c r="P1000" s="18"/>
      <c r="Q1000" s="22"/>
      <c r="R1000" s="21"/>
      <c r="S1000" s="21"/>
      <c r="T1000" s="21"/>
      <c r="AA1000"/>
      <c r="AH1000" t="str">
        <f t="shared" si="152"/>
        <v>k yet</v>
      </c>
    </row>
    <row r="1001" spans="1:39">
      <c r="A1001" s="42" t="s">
        <v>265</v>
      </c>
      <c r="B1001" s="1" t="s">
        <v>20</v>
      </c>
      <c r="C1001" s="40" t="str">
        <f t="shared" si="149"/>
        <v>20-&gt;</v>
      </c>
      <c r="D1001" s="40" t="str">
        <f t="shared" si="150"/>
        <v xml:space="preserve">No pick yet                                                 </v>
      </c>
      <c r="E1001" s="52">
        <f t="shared" si="151"/>
        <v>0</v>
      </c>
      <c r="F1001" s="18"/>
      <c r="M1001" s="18"/>
      <c r="N1001" s="18"/>
      <c r="O1001" s="18"/>
      <c r="P1001" s="18"/>
      <c r="Q1001" s="22"/>
      <c r="R1001" s="21"/>
      <c r="S1001" s="21"/>
      <c r="T1001" s="21"/>
      <c r="AA1001"/>
      <c r="AH1001" t="str">
        <f t="shared" si="152"/>
        <v>k yet</v>
      </c>
    </row>
    <row r="1002" spans="1:39">
      <c r="A1002" s="42" t="s">
        <v>266</v>
      </c>
      <c r="B1002" s="1" t="s">
        <v>20</v>
      </c>
      <c r="C1002" s="40" t="str">
        <f t="shared" si="149"/>
        <v>21-&gt;</v>
      </c>
      <c r="D1002" s="40" t="str">
        <f t="shared" si="150"/>
        <v xml:space="preserve">No pick yet                                                 </v>
      </c>
      <c r="E1002" s="52">
        <f t="shared" si="151"/>
        <v>0</v>
      </c>
      <c r="F1002" s="18"/>
      <c r="M1002" s="18"/>
      <c r="N1002" s="18"/>
      <c r="O1002" s="18"/>
      <c r="P1002" s="18"/>
      <c r="Q1002" s="22"/>
      <c r="R1002" s="21"/>
      <c r="S1002" s="21"/>
      <c r="T1002" s="21"/>
      <c r="AA1002"/>
      <c r="AH1002" t="str">
        <f t="shared" si="152"/>
        <v>k yet</v>
      </c>
    </row>
    <row r="1003" spans="1:39">
      <c r="A1003" s="42" t="s">
        <v>267</v>
      </c>
      <c r="B1003" s="1" t="s">
        <v>20</v>
      </c>
      <c r="C1003" s="40" t="str">
        <f t="shared" si="149"/>
        <v>22-&gt;</v>
      </c>
      <c r="D1003" s="40" t="str">
        <f t="shared" si="150"/>
        <v xml:space="preserve">No pick yet                                                 </v>
      </c>
      <c r="E1003" s="52">
        <f t="shared" si="151"/>
        <v>0</v>
      </c>
      <c r="F1003" s="18"/>
      <c r="M1003" s="18"/>
      <c r="N1003" s="18"/>
      <c r="O1003" s="18"/>
      <c r="P1003" s="18"/>
      <c r="Q1003" s="22"/>
      <c r="R1003" s="21"/>
      <c r="S1003" s="21"/>
      <c r="T1003" s="21"/>
      <c r="AA1003"/>
      <c r="AH1003" t="str">
        <f t="shared" si="152"/>
        <v>k yet</v>
      </c>
    </row>
    <row r="1004" spans="1:39">
      <c r="A1004" s="42" t="s">
        <v>268</v>
      </c>
      <c r="B1004" s="1" t="s">
        <v>20</v>
      </c>
      <c r="C1004" s="40" t="str">
        <f t="shared" si="149"/>
        <v>23-&gt;</v>
      </c>
      <c r="D1004" s="40" t="str">
        <f t="shared" si="150"/>
        <v xml:space="preserve">No pick yet                                                 </v>
      </c>
      <c r="E1004" s="52">
        <f t="shared" si="151"/>
        <v>0</v>
      </c>
      <c r="F1004" s="18"/>
      <c r="M1004" s="18"/>
      <c r="N1004" s="18"/>
      <c r="O1004" s="18"/>
      <c r="P1004" s="18"/>
      <c r="Q1004" s="22"/>
      <c r="R1004" s="21"/>
      <c r="S1004" s="21"/>
      <c r="T1004" s="21"/>
      <c r="AA1004"/>
      <c r="AH1004" t="str">
        <f t="shared" si="152"/>
        <v>k yet</v>
      </c>
    </row>
    <row r="1005" spans="1:39">
      <c r="A1005" s="42" t="s">
        <v>269</v>
      </c>
      <c r="B1005" s="1" t="s">
        <v>20</v>
      </c>
      <c r="C1005" s="40" t="str">
        <f t="shared" si="149"/>
        <v>24-&gt;</v>
      </c>
      <c r="D1005" s="40" t="str">
        <f t="shared" si="150"/>
        <v xml:space="preserve">No pick yet                                                 </v>
      </c>
      <c r="E1005" s="52">
        <f t="shared" si="151"/>
        <v>0</v>
      </c>
      <c r="F1005" s="18"/>
      <c r="M1005" s="18"/>
      <c r="N1005" s="18"/>
      <c r="O1005" s="18"/>
      <c r="P1005" s="18"/>
      <c r="Q1005" s="22"/>
      <c r="R1005" s="21"/>
      <c r="S1005" s="21"/>
      <c r="T1005" s="21"/>
      <c r="AA1005"/>
      <c r="AH1005" t="str">
        <f t="shared" si="152"/>
        <v>k yet</v>
      </c>
    </row>
    <row r="1006" spans="1:39">
      <c r="A1006" s="42" t="s">
        <v>270</v>
      </c>
      <c r="B1006" s="1" t="s">
        <v>20</v>
      </c>
      <c r="C1006" s="40" t="str">
        <f t="shared" si="149"/>
        <v>25-&gt;</v>
      </c>
      <c r="D1006" s="40" t="str">
        <f t="shared" si="150"/>
        <v xml:space="preserve">No pick yet                                                 </v>
      </c>
      <c r="E1006" s="52">
        <f t="shared" si="151"/>
        <v>0</v>
      </c>
      <c r="F1006" s="18"/>
      <c r="M1006" s="18"/>
      <c r="N1006" s="18"/>
      <c r="O1006" s="18"/>
      <c r="P1006" s="18"/>
      <c r="Q1006" s="22"/>
      <c r="R1006" s="21"/>
      <c r="S1006" s="21"/>
      <c r="T1006" s="21"/>
      <c r="AA1006"/>
      <c r="AH1006" t="str">
        <f t="shared" si="152"/>
        <v>k yet</v>
      </c>
    </row>
    <row r="1007" spans="1:39">
      <c r="A1007" s="42" t="s">
        <v>271</v>
      </c>
      <c r="B1007" s="1" t="s">
        <v>20</v>
      </c>
      <c r="C1007" s="40" t="str">
        <f t="shared" si="149"/>
        <v>26-&gt;</v>
      </c>
      <c r="D1007" s="40" t="str">
        <f t="shared" si="150"/>
        <v xml:space="preserve">No pick yet                                                 </v>
      </c>
      <c r="E1007" s="52">
        <f t="shared" si="151"/>
        <v>0</v>
      </c>
      <c r="F1007" s="18"/>
      <c r="M1007" s="18"/>
      <c r="N1007" s="18"/>
      <c r="O1007" s="18"/>
      <c r="P1007" s="18"/>
      <c r="Q1007" s="22"/>
      <c r="R1007" s="21"/>
      <c r="S1007" s="21"/>
      <c r="T1007" s="21"/>
      <c r="AA1007"/>
      <c r="AH1007" t="str">
        <f t="shared" si="152"/>
        <v>k yet</v>
      </c>
    </row>
    <row r="1008" spans="1:39">
      <c r="A1008" s="38"/>
      <c r="B1008" s="40"/>
      <c r="C1008" s="40"/>
      <c r="D1008" s="49"/>
      <c r="E1008" s="41" t="s">
        <v>69</v>
      </c>
      <c r="F1008" s="18"/>
      <c r="K1008" s="22" t="s">
        <v>73</v>
      </c>
      <c r="L1008" s="18" t="s">
        <v>74</v>
      </c>
      <c r="M1008" s="22" t="s">
        <v>78</v>
      </c>
      <c r="N1008" s="22" t="s">
        <v>79</v>
      </c>
      <c r="O1008" s="22" t="s">
        <v>80</v>
      </c>
      <c r="P1008" s="22" t="s">
        <v>81</v>
      </c>
      <c r="Q1008" s="22" t="s">
        <v>82</v>
      </c>
      <c r="R1008" s="22" t="s">
        <v>83</v>
      </c>
      <c r="S1008" s="22" t="s">
        <v>84</v>
      </c>
      <c r="T1008" s="18" t="s">
        <v>85</v>
      </c>
      <c r="U1008" s="18" t="s">
        <v>86</v>
      </c>
      <c r="V1008" s="18" t="s">
        <v>87</v>
      </c>
      <c r="W1008" s="18" t="s">
        <v>88</v>
      </c>
      <c r="X1008" s="18" t="s">
        <v>89</v>
      </c>
      <c r="Y1008" s="18" t="s">
        <v>90</v>
      </c>
      <c r="Z1008" s="18" t="s">
        <v>91</v>
      </c>
      <c r="AA1008" s="18" t="s">
        <v>92</v>
      </c>
      <c r="AB1008" s="18" t="s">
        <v>93</v>
      </c>
      <c r="AC1008" s="18" t="s">
        <v>94</v>
      </c>
      <c r="AD1008" s="18" t="s">
        <v>235</v>
      </c>
      <c r="AE1008" s="18" t="s">
        <v>236</v>
      </c>
      <c r="AF1008" s="18" t="s">
        <v>237</v>
      </c>
      <c r="AG1008" s="18" t="s">
        <v>238</v>
      </c>
      <c r="AH1008" s="18" t="s">
        <v>239</v>
      </c>
      <c r="AI1008" s="18" t="s">
        <v>240</v>
      </c>
      <c r="AJ1008" s="18" t="s">
        <v>241</v>
      </c>
      <c r="AK1008" s="18" t="s">
        <v>242</v>
      </c>
      <c r="AL1008" s="18" t="s">
        <v>243</v>
      </c>
      <c r="AM1008" s="50" t="s">
        <v>244</v>
      </c>
    </row>
    <row r="1009" spans="1:39">
      <c r="A1009" s="40" t="s">
        <v>245</v>
      </c>
      <c r="B1009" s="51" t="str">
        <f>D35</f>
        <v/>
      </c>
      <c r="C1009" s="40" t="str">
        <f t="shared" ref="C1009:C1035" si="153">A1009</f>
        <v>#</v>
      </c>
      <c r="D1009" s="40" t="str">
        <f>"   "&amp;B1009&amp;REPT(" ",$AH$70-LEN(B1009)-3)</f>
        <v xml:space="preserve">                                                            </v>
      </c>
      <c r="E1009" s="38" t="str">
        <f>SUM(E1010:E1035)&amp;" pts[/b]"</f>
        <v>0 pts[/b]</v>
      </c>
      <c r="F1009" s="21">
        <f>SUM(E1010:E1035)</f>
        <v>0</v>
      </c>
      <c r="K1009" s="18">
        <f>COUNTIF(E1010:E1035,"&gt;0")</f>
        <v>0</v>
      </c>
      <c r="L1009" s="21">
        <f>AM1009-K1009</f>
        <v>0</v>
      </c>
      <c r="M1009" s="22">
        <f>MAX(E1010:E1035)</f>
        <v>0</v>
      </c>
      <c r="N1009" s="22">
        <f>LARGE(E1010:E1035,2)</f>
        <v>0</v>
      </c>
      <c r="O1009" s="22">
        <f>LARGE(E1010:E1035,3)</f>
        <v>0</v>
      </c>
      <c r="P1009" s="18">
        <f>LARGE(E1010:E1035,4)</f>
        <v>0</v>
      </c>
      <c r="Q1009" s="22">
        <f>LARGE(E1010:E1035,5)</f>
        <v>0</v>
      </c>
      <c r="R1009" s="22">
        <f>LARGE(E1010:E1035,6)</f>
        <v>0</v>
      </c>
      <c r="S1009" s="22">
        <f>LARGE(E1010:E1035,7)</f>
        <v>0</v>
      </c>
      <c r="T1009" s="18">
        <f>LARGE(E1010:E1035,8)</f>
        <v>0</v>
      </c>
      <c r="U1009" s="18">
        <f>LARGE(E1010:E1035,9)</f>
        <v>0</v>
      </c>
      <c r="V1009" s="18">
        <f>LARGE(E1010:E1035,10)</f>
        <v>0</v>
      </c>
      <c r="W1009" s="18">
        <f>LARGE(E1010:E1035,11)</f>
        <v>0</v>
      </c>
      <c r="X1009" s="18">
        <f>LARGE(E1010:E1035,12)</f>
        <v>0</v>
      </c>
      <c r="Y1009" s="18">
        <f>LARGE(E1010:E1035,13)</f>
        <v>0</v>
      </c>
      <c r="Z1009" s="18">
        <f>LARGE(E1010:E1035,14)</f>
        <v>0</v>
      </c>
      <c r="AA1009" s="18">
        <f>LARGE(E1010:E1035,15)</f>
        <v>0</v>
      </c>
      <c r="AB1009" s="18">
        <f>LARGE(E1010:E1035,16)</f>
        <v>0</v>
      </c>
      <c r="AC1009" s="18">
        <f>LARGE(E1010:E1035,17)</f>
        <v>0</v>
      </c>
      <c r="AD1009" s="18">
        <f>LARGE(E1010:E1036,13)</f>
        <v>0</v>
      </c>
      <c r="AE1009" s="18">
        <f>LARGE(E1010:E1035,19)</f>
        <v>0</v>
      </c>
      <c r="AF1009" s="18">
        <f>LARGE(E1010:E1035,20)</f>
        <v>0</v>
      </c>
      <c r="AG1009" s="18">
        <f>LARGE(E1010:E1035,21)</f>
        <v>0</v>
      </c>
      <c r="AH1009" s="18">
        <f>LARGE(E1010:E1035,22)</f>
        <v>0</v>
      </c>
      <c r="AI1009" s="18">
        <f>LARGE(E1010:E1035,23)</f>
        <v>0</v>
      </c>
      <c r="AJ1009" s="18">
        <f>LARGE(E1010:E1035,24)</f>
        <v>0</v>
      </c>
      <c r="AK1009" s="18">
        <f>LARGE(E1010:E1035,25)</f>
        <v>0</v>
      </c>
      <c r="AL1009" s="18">
        <f>LARGE(E1010:E1035,26)</f>
        <v>0</v>
      </c>
      <c r="AM1009" s="50">
        <f>COUNTIF(AH1010:AH1035,"&lt;&gt;"&amp;AH76)-(26-COUNTIF(E1010:E1035,"&gt;=0"))</f>
        <v>0</v>
      </c>
    </row>
    <row r="1010" spans="1:39">
      <c r="A1010" s="42" t="s">
        <v>246</v>
      </c>
      <c r="B1010" s="1" t="s">
        <v>20</v>
      </c>
      <c r="C1010" s="40" t="str">
        <f t="shared" si="153"/>
        <v>01-&gt;</v>
      </c>
      <c r="D1010" s="40" t="str">
        <f t="shared" ref="D1010:D1035" si="154">B1010&amp;REPT(" ",$AH$70-LEN(B1010))</f>
        <v xml:space="preserve">No pick yet                                                 </v>
      </c>
      <c r="E1010" s="52">
        <f t="shared" ref="E1010:E1035" si="155">VLOOKUP(RIGHT(B1010,LEN(B1010)-$AH$66),$H$138:$I$420,2,0)</f>
        <v>0</v>
      </c>
      <c r="F1010" s="18"/>
      <c r="M1010" s="18"/>
      <c r="N1010" s="18"/>
      <c r="O1010" s="18"/>
      <c r="P1010" s="18"/>
      <c r="Q1010" s="22"/>
      <c r="R1010" s="21"/>
      <c r="S1010" s="21"/>
      <c r="T1010" s="21"/>
      <c r="AA1010"/>
      <c r="AH1010" t="str">
        <f t="shared" ref="AH1010:AH1035" si="156">RIGHT(B1010,LEN(B1010)-$AH$66)</f>
        <v>k yet</v>
      </c>
    </row>
    <row r="1011" spans="1:39">
      <c r="A1011" s="42" t="s">
        <v>247</v>
      </c>
      <c r="B1011" s="1" t="s">
        <v>20</v>
      </c>
      <c r="C1011" s="40" t="str">
        <f t="shared" si="153"/>
        <v>02-&gt;</v>
      </c>
      <c r="D1011" s="40" t="str">
        <f t="shared" si="154"/>
        <v xml:space="preserve">No pick yet                                                 </v>
      </c>
      <c r="E1011" s="52">
        <f t="shared" si="155"/>
        <v>0</v>
      </c>
      <c r="F1011" s="18"/>
      <c r="K1011" s="22"/>
      <c r="N1011" s="22"/>
      <c r="O1011" s="22"/>
      <c r="P1011" s="22"/>
      <c r="Q1011" s="22"/>
      <c r="R1011" s="22"/>
      <c r="S1011" s="22"/>
      <c r="Z1011" s="53"/>
      <c r="AA1011"/>
      <c r="AH1011" t="str">
        <f t="shared" si="156"/>
        <v>k yet</v>
      </c>
    </row>
    <row r="1012" spans="1:39">
      <c r="A1012" s="42" t="s">
        <v>248</v>
      </c>
      <c r="B1012" s="1" t="s">
        <v>20</v>
      </c>
      <c r="C1012" s="40" t="str">
        <f t="shared" si="153"/>
        <v>03-&gt;</v>
      </c>
      <c r="D1012" s="40" t="str">
        <f t="shared" si="154"/>
        <v xml:space="preserve">No pick yet                                                 </v>
      </c>
      <c r="E1012" s="52">
        <f t="shared" si="155"/>
        <v>0</v>
      </c>
      <c r="F1012" s="18"/>
      <c r="L1012" s="21"/>
      <c r="N1012" s="22"/>
      <c r="O1012" s="22"/>
      <c r="P1012" s="18"/>
      <c r="Q1012" s="22"/>
      <c r="R1012" s="22"/>
      <c r="S1012" s="22"/>
      <c r="Z1012" s="53"/>
      <c r="AA1012"/>
      <c r="AH1012" t="str">
        <f t="shared" si="156"/>
        <v>k yet</v>
      </c>
    </row>
    <row r="1013" spans="1:39">
      <c r="A1013" s="42" t="s">
        <v>249</v>
      </c>
      <c r="B1013" s="1" t="s">
        <v>20</v>
      </c>
      <c r="C1013" s="40" t="str">
        <f t="shared" si="153"/>
        <v>04-&gt;</v>
      </c>
      <c r="D1013" s="40" t="str">
        <f t="shared" si="154"/>
        <v xml:space="preserve">No pick yet                                                 </v>
      </c>
      <c r="E1013" s="52">
        <f t="shared" si="155"/>
        <v>0</v>
      </c>
      <c r="F1013" s="18"/>
      <c r="G1013" s="22"/>
      <c r="I1013" s="22"/>
      <c r="J1013" s="22"/>
      <c r="M1013" s="18"/>
      <c r="N1013" s="18"/>
      <c r="O1013" s="18"/>
      <c r="P1013" s="18"/>
      <c r="Q1013" s="22"/>
      <c r="R1013" s="21"/>
      <c r="S1013" s="21"/>
      <c r="T1013" s="21"/>
      <c r="AA1013"/>
      <c r="AH1013" t="str">
        <f t="shared" si="156"/>
        <v>k yet</v>
      </c>
    </row>
    <row r="1014" spans="1:39">
      <c r="A1014" s="42" t="s">
        <v>250</v>
      </c>
      <c r="B1014" s="1" t="s">
        <v>20</v>
      </c>
      <c r="C1014" s="40" t="str">
        <f t="shared" si="153"/>
        <v>05-&gt;</v>
      </c>
      <c r="D1014" s="40" t="str">
        <f t="shared" si="154"/>
        <v xml:space="preserve">No pick yet                                                 </v>
      </c>
      <c r="E1014" s="52">
        <f t="shared" si="155"/>
        <v>0</v>
      </c>
      <c r="F1014" s="18"/>
      <c r="H1014" s="21"/>
      <c r="I1014" s="22"/>
      <c r="J1014" s="22"/>
      <c r="M1014" s="18"/>
      <c r="N1014" s="18"/>
      <c r="O1014" s="18"/>
      <c r="P1014" s="18"/>
      <c r="Q1014" s="22"/>
      <c r="R1014" s="21"/>
      <c r="S1014" s="21"/>
      <c r="T1014" s="21"/>
      <c r="AA1014"/>
      <c r="AH1014" t="str">
        <f t="shared" si="156"/>
        <v>k yet</v>
      </c>
    </row>
    <row r="1015" spans="1:39">
      <c r="A1015" s="42" t="s">
        <v>251</v>
      </c>
      <c r="B1015" s="1" t="s">
        <v>20</v>
      </c>
      <c r="C1015" s="40" t="str">
        <f t="shared" si="153"/>
        <v>06-&gt;</v>
      </c>
      <c r="D1015" s="40" t="str">
        <f t="shared" si="154"/>
        <v xml:space="preserve">No pick yet                                                 </v>
      </c>
      <c r="E1015" s="52">
        <f t="shared" si="155"/>
        <v>0</v>
      </c>
      <c r="F1015" s="18"/>
      <c r="M1015" s="18"/>
      <c r="N1015" s="18"/>
      <c r="O1015" s="18"/>
      <c r="P1015" s="18"/>
      <c r="Q1015" s="22"/>
      <c r="R1015" s="21"/>
      <c r="S1015" s="21"/>
      <c r="T1015" s="21"/>
      <c r="AA1015"/>
      <c r="AH1015" t="str">
        <f t="shared" si="156"/>
        <v>k yet</v>
      </c>
    </row>
    <row r="1016" spans="1:39">
      <c r="A1016" s="42" t="s">
        <v>252</v>
      </c>
      <c r="B1016" s="1" t="s">
        <v>20</v>
      </c>
      <c r="C1016" s="40" t="str">
        <f t="shared" si="153"/>
        <v>07-&gt;</v>
      </c>
      <c r="D1016" s="40" t="str">
        <f t="shared" si="154"/>
        <v xml:space="preserve">No pick yet                                                 </v>
      </c>
      <c r="E1016" s="52">
        <f t="shared" si="155"/>
        <v>0</v>
      </c>
      <c r="F1016" s="18"/>
      <c r="M1016" s="18"/>
      <c r="N1016" s="18"/>
      <c r="O1016" s="18"/>
      <c r="P1016" s="18"/>
      <c r="Q1016" s="22"/>
      <c r="R1016" s="21"/>
      <c r="S1016" s="21"/>
      <c r="T1016" s="21"/>
      <c r="AA1016"/>
      <c r="AH1016" t="str">
        <f t="shared" si="156"/>
        <v>k yet</v>
      </c>
    </row>
    <row r="1017" spans="1:39">
      <c r="A1017" s="42" t="s">
        <v>253</v>
      </c>
      <c r="B1017" s="1" t="s">
        <v>20</v>
      </c>
      <c r="C1017" s="40" t="str">
        <f t="shared" si="153"/>
        <v>08-&gt;</v>
      </c>
      <c r="D1017" s="40" t="str">
        <f t="shared" si="154"/>
        <v xml:space="preserve">No pick yet                                                 </v>
      </c>
      <c r="E1017" s="52">
        <f t="shared" si="155"/>
        <v>0</v>
      </c>
      <c r="F1017" s="18"/>
      <c r="M1017" s="18"/>
      <c r="N1017" s="18"/>
      <c r="O1017" s="18"/>
      <c r="P1017" s="18"/>
      <c r="Q1017" s="22"/>
      <c r="R1017" s="21"/>
      <c r="S1017" s="21"/>
      <c r="T1017" s="21"/>
      <c r="AA1017"/>
      <c r="AH1017" t="str">
        <f t="shared" si="156"/>
        <v>k yet</v>
      </c>
    </row>
    <row r="1018" spans="1:39">
      <c r="A1018" s="42" t="s">
        <v>254</v>
      </c>
      <c r="B1018" s="1" t="s">
        <v>20</v>
      </c>
      <c r="C1018" s="40" t="str">
        <f t="shared" si="153"/>
        <v>09-&gt;</v>
      </c>
      <c r="D1018" s="40" t="str">
        <f t="shared" si="154"/>
        <v xml:space="preserve">No pick yet                                                 </v>
      </c>
      <c r="E1018" s="52">
        <f t="shared" si="155"/>
        <v>0</v>
      </c>
      <c r="F1018" s="18"/>
      <c r="M1018" s="18"/>
      <c r="N1018" s="18"/>
      <c r="O1018" s="18"/>
      <c r="P1018" s="18"/>
      <c r="Q1018" s="22"/>
      <c r="R1018" s="21"/>
      <c r="S1018" s="21"/>
      <c r="T1018" s="21"/>
      <c r="AA1018"/>
      <c r="AH1018" t="str">
        <f t="shared" si="156"/>
        <v>k yet</v>
      </c>
    </row>
    <row r="1019" spans="1:39">
      <c r="A1019" s="42" t="s">
        <v>255</v>
      </c>
      <c r="B1019" s="1" t="s">
        <v>20</v>
      </c>
      <c r="C1019" s="40" t="str">
        <f t="shared" si="153"/>
        <v>10-&gt;</v>
      </c>
      <c r="D1019" s="40" t="str">
        <f t="shared" si="154"/>
        <v xml:space="preserve">No pick yet                                                 </v>
      </c>
      <c r="E1019" s="52">
        <f t="shared" si="155"/>
        <v>0</v>
      </c>
      <c r="F1019" s="22"/>
      <c r="M1019" s="18"/>
      <c r="N1019" s="18"/>
      <c r="O1019" s="18"/>
      <c r="P1019" s="18"/>
      <c r="Q1019" s="22"/>
      <c r="R1019" s="21"/>
      <c r="S1019" s="21"/>
      <c r="T1019" s="21"/>
      <c r="AA1019"/>
      <c r="AH1019" t="str">
        <f t="shared" si="156"/>
        <v>k yet</v>
      </c>
    </row>
    <row r="1020" spans="1:39">
      <c r="A1020" s="42" t="s">
        <v>256</v>
      </c>
      <c r="B1020" s="1" t="s">
        <v>20</v>
      </c>
      <c r="C1020" s="40" t="str">
        <f t="shared" si="153"/>
        <v>11-&gt;</v>
      </c>
      <c r="D1020" s="40" t="str">
        <f t="shared" si="154"/>
        <v xml:space="preserve">No pick yet                                                 </v>
      </c>
      <c r="E1020" s="52">
        <f t="shared" si="155"/>
        <v>0</v>
      </c>
      <c r="M1020" s="18"/>
      <c r="N1020" s="18"/>
      <c r="O1020" s="18"/>
      <c r="P1020" s="18"/>
      <c r="Q1020" s="22"/>
      <c r="R1020" s="21"/>
      <c r="S1020" s="21"/>
      <c r="T1020" s="21"/>
      <c r="AA1020"/>
      <c r="AH1020" t="str">
        <f t="shared" si="156"/>
        <v>k yet</v>
      </c>
    </row>
    <row r="1021" spans="1:39">
      <c r="A1021" s="42" t="s">
        <v>257</v>
      </c>
      <c r="B1021" s="1" t="s">
        <v>20</v>
      </c>
      <c r="C1021" s="40" t="str">
        <f t="shared" si="153"/>
        <v>12-&gt;</v>
      </c>
      <c r="D1021" s="40" t="str">
        <f t="shared" si="154"/>
        <v xml:space="preserve">No pick yet                                                 </v>
      </c>
      <c r="E1021" s="52">
        <f t="shared" si="155"/>
        <v>0</v>
      </c>
      <c r="M1021" s="18"/>
      <c r="N1021" s="18"/>
      <c r="O1021" s="18"/>
      <c r="P1021" s="18"/>
      <c r="Q1021" s="22"/>
      <c r="R1021" s="21"/>
      <c r="S1021" s="21"/>
      <c r="T1021" s="21"/>
      <c r="AA1021"/>
      <c r="AH1021" t="str">
        <f t="shared" si="156"/>
        <v>k yet</v>
      </c>
    </row>
    <row r="1022" spans="1:39">
      <c r="A1022" s="42" t="s">
        <v>258</v>
      </c>
      <c r="B1022" s="1" t="s">
        <v>20</v>
      </c>
      <c r="C1022" s="40" t="str">
        <f t="shared" si="153"/>
        <v>13-&gt;</v>
      </c>
      <c r="D1022" s="40" t="str">
        <f t="shared" si="154"/>
        <v xml:space="preserve">No pick yet                                                 </v>
      </c>
      <c r="E1022" s="52">
        <f t="shared" si="155"/>
        <v>0</v>
      </c>
      <c r="M1022" s="18"/>
      <c r="N1022" s="18"/>
      <c r="O1022" s="18"/>
      <c r="P1022" s="18"/>
      <c r="Q1022" s="22"/>
      <c r="R1022" s="21"/>
      <c r="S1022" s="21"/>
      <c r="T1022" s="21"/>
      <c r="AA1022"/>
      <c r="AH1022" t="str">
        <f t="shared" si="156"/>
        <v>k yet</v>
      </c>
    </row>
    <row r="1023" spans="1:39">
      <c r="A1023" s="42" t="s">
        <v>259</v>
      </c>
      <c r="B1023" s="1" t="s">
        <v>20</v>
      </c>
      <c r="C1023" s="40" t="str">
        <f t="shared" si="153"/>
        <v>14-&gt;</v>
      </c>
      <c r="D1023" s="40" t="str">
        <f t="shared" si="154"/>
        <v xml:space="preserve">No pick yet                                                 </v>
      </c>
      <c r="E1023" s="52">
        <f t="shared" si="155"/>
        <v>0</v>
      </c>
      <c r="M1023" s="18"/>
      <c r="N1023" s="18"/>
      <c r="O1023" s="18"/>
      <c r="P1023" s="18"/>
      <c r="Q1023" s="22"/>
      <c r="R1023" s="21"/>
      <c r="S1023" s="21"/>
      <c r="T1023" s="21"/>
      <c r="AA1023"/>
      <c r="AH1023" t="str">
        <f t="shared" si="156"/>
        <v>k yet</v>
      </c>
    </row>
    <row r="1024" spans="1:39">
      <c r="A1024" s="42" t="s">
        <v>260</v>
      </c>
      <c r="B1024" s="1" t="s">
        <v>20</v>
      </c>
      <c r="C1024" s="40" t="str">
        <f t="shared" si="153"/>
        <v>15-&gt;</v>
      </c>
      <c r="D1024" s="40" t="str">
        <f t="shared" si="154"/>
        <v xml:space="preserve">No pick yet                                                 </v>
      </c>
      <c r="E1024" s="52">
        <f t="shared" si="155"/>
        <v>0</v>
      </c>
      <c r="M1024" s="18"/>
      <c r="N1024" s="18"/>
      <c r="O1024" s="18"/>
      <c r="P1024" s="18"/>
      <c r="Q1024" s="22"/>
      <c r="R1024" s="21"/>
      <c r="S1024" s="21"/>
      <c r="T1024" s="21"/>
      <c r="AA1024"/>
      <c r="AH1024" t="str">
        <f t="shared" si="156"/>
        <v>k yet</v>
      </c>
    </row>
    <row r="1025" spans="1:39">
      <c r="A1025" s="42" t="s">
        <v>261</v>
      </c>
      <c r="B1025" s="1" t="s">
        <v>20</v>
      </c>
      <c r="C1025" s="40" t="str">
        <f t="shared" si="153"/>
        <v>16-&gt;</v>
      </c>
      <c r="D1025" s="40" t="str">
        <f t="shared" si="154"/>
        <v xml:space="preserve">No pick yet                                                 </v>
      </c>
      <c r="E1025" s="52">
        <f t="shared" si="155"/>
        <v>0</v>
      </c>
      <c r="M1025" s="18"/>
      <c r="N1025" s="18"/>
      <c r="O1025" s="18"/>
      <c r="P1025" s="18"/>
      <c r="Q1025" s="22"/>
      <c r="R1025" s="21"/>
      <c r="S1025" s="21"/>
      <c r="T1025" s="21"/>
      <c r="AA1025"/>
      <c r="AH1025" t="str">
        <f t="shared" si="156"/>
        <v>k yet</v>
      </c>
    </row>
    <row r="1026" spans="1:39">
      <c r="A1026" s="42" t="s">
        <v>262</v>
      </c>
      <c r="B1026" s="1" t="s">
        <v>20</v>
      </c>
      <c r="C1026" s="40" t="str">
        <f t="shared" si="153"/>
        <v>17-&gt;</v>
      </c>
      <c r="D1026" s="40" t="str">
        <f t="shared" si="154"/>
        <v xml:space="preserve">No pick yet                                                 </v>
      </c>
      <c r="E1026" s="52">
        <f t="shared" si="155"/>
        <v>0</v>
      </c>
      <c r="K1026" s="22"/>
      <c r="N1026" s="22"/>
      <c r="O1026" s="22"/>
      <c r="P1026" s="22"/>
      <c r="Q1026" s="22"/>
      <c r="R1026" s="22"/>
      <c r="S1026" s="22"/>
      <c r="Z1026" s="53"/>
      <c r="AA1026"/>
      <c r="AH1026" t="str">
        <f t="shared" si="156"/>
        <v>k yet</v>
      </c>
    </row>
    <row r="1027" spans="1:39">
      <c r="A1027" s="42" t="s">
        <v>263</v>
      </c>
      <c r="B1027" s="1" t="s">
        <v>20</v>
      </c>
      <c r="C1027" s="40" t="str">
        <f t="shared" si="153"/>
        <v>18-&gt;</v>
      </c>
      <c r="D1027" s="40" t="str">
        <f t="shared" si="154"/>
        <v xml:space="preserve">No pick yet                                                 </v>
      </c>
      <c r="E1027" s="52">
        <f t="shared" si="155"/>
        <v>0</v>
      </c>
      <c r="F1027" s="18"/>
      <c r="L1027" s="21"/>
      <c r="N1027" s="22"/>
      <c r="O1027" s="22"/>
      <c r="P1027" s="18"/>
      <c r="Q1027" s="22"/>
      <c r="R1027" s="22"/>
      <c r="S1027" s="22"/>
      <c r="Z1027" s="53"/>
      <c r="AA1027"/>
      <c r="AH1027" t="str">
        <f t="shared" si="156"/>
        <v>k yet</v>
      </c>
    </row>
    <row r="1028" spans="1:39">
      <c r="A1028" s="42" t="s">
        <v>264</v>
      </c>
      <c r="B1028" s="1" t="s">
        <v>20</v>
      </c>
      <c r="C1028" s="40" t="str">
        <f t="shared" si="153"/>
        <v>19-&gt;</v>
      </c>
      <c r="D1028" s="40" t="str">
        <f t="shared" si="154"/>
        <v xml:space="preserve">No pick yet                                                 </v>
      </c>
      <c r="E1028" s="52">
        <f t="shared" si="155"/>
        <v>0</v>
      </c>
      <c r="F1028" s="18"/>
      <c r="G1028" s="22"/>
      <c r="I1028" s="22"/>
      <c r="J1028" s="22"/>
      <c r="M1028" s="18"/>
      <c r="N1028" s="18"/>
      <c r="O1028" s="18"/>
      <c r="P1028" s="18"/>
      <c r="Q1028" s="22"/>
      <c r="R1028" s="21"/>
      <c r="S1028" s="21"/>
      <c r="T1028" s="21"/>
      <c r="AA1028"/>
      <c r="AH1028" t="str">
        <f t="shared" si="156"/>
        <v>k yet</v>
      </c>
    </row>
    <row r="1029" spans="1:39">
      <c r="A1029" s="42" t="s">
        <v>265</v>
      </c>
      <c r="B1029" s="1" t="s">
        <v>20</v>
      </c>
      <c r="C1029" s="40" t="str">
        <f t="shared" si="153"/>
        <v>20-&gt;</v>
      </c>
      <c r="D1029" s="40" t="str">
        <f t="shared" si="154"/>
        <v xml:space="preserve">No pick yet                                                 </v>
      </c>
      <c r="E1029" s="52">
        <f t="shared" si="155"/>
        <v>0</v>
      </c>
      <c r="F1029" s="18"/>
      <c r="H1029" s="21"/>
      <c r="I1029" s="22"/>
      <c r="J1029" s="22"/>
      <c r="M1029" s="18"/>
      <c r="N1029" s="18"/>
      <c r="O1029" s="18"/>
      <c r="P1029" s="18"/>
      <c r="Q1029" s="22"/>
      <c r="R1029" s="21"/>
      <c r="S1029" s="21"/>
      <c r="T1029" s="21"/>
      <c r="AA1029"/>
      <c r="AH1029" t="str">
        <f t="shared" si="156"/>
        <v>k yet</v>
      </c>
    </row>
    <row r="1030" spans="1:39">
      <c r="A1030" s="42" t="s">
        <v>266</v>
      </c>
      <c r="B1030" s="1" t="s">
        <v>20</v>
      </c>
      <c r="C1030" s="40" t="str">
        <f t="shared" si="153"/>
        <v>21-&gt;</v>
      </c>
      <c r="D1030" s="40" t="str">
        <f t="shared" si="154"/>
        <v xml:space="preserve">No pick yet                                                 </v>
      </c>
      <c r="E1030" s="52">
        <f t="shared" si="155"/>
        <v>0</v>
      </c>
      <c r="F1030" s="18"/>
      <c r="M1030" s="18"/>
      <c r="N1030" s="18"/>
      <c r="O1030" s="18"/>
      <c r="P1030" s="18"/>
      <c r="Q1030" s="22"/>
      <c r="R1030" s="21"/>
      <c r="S1030" s="21"/>
      <c r="T1030" s="21"/>
      <c r="AA1030"/>
      <c r="AH1030" t="str">
        <f t="shared" si="156"/>
        <v>k yet</v>
      </c>
    </row>
    <row r="1031" spans="1:39">
      <c r="A1031" s="42" t="s">
        <v>267</v>
      </c>
      <c r="B1031" s="1" t="s">
        <v>20</v>
      </c>
      <c r="C1031" s="40" t="str">
        <f t="shared" si="153"/>
        <v>22-&gt;</v>
      </c>
      <c r="D1031" s="40" t="str">
        <f t="shared" si="154"/>
        <v xml:space="preserve">No pick yet                                                 </v>
      </c>
      <c r="E1031" s="52">
        <f t="shared" si="155"/>
        <v>0</v>
      </c>
      <c r="F1031" s="18"/>
      <c r="M1031" s="18"/>
      <c r="N1031" s="18"/>
      <c r="O1031" s="18"/>
      <c r="P1031" s="18"/>
      <c r="Q1031" s="22"/>
      <c r="R1031" s="21"/>
      <c r="S1031" s="21"/>
      <c r="T1031" s="21"/>
      <c r="AA1031"/>
      <c r="AH1031" t="str">
        <f t="shared" si="156"/>
        <v>k yet</v>
      </c>
    </row>
    <row r="1032" spans="1:39">
      <c r="A1032" s="42" t="s">
        <v>268</v>
      </c>
      <c r="B1032" s="1" t="s">
        <v>20</v>
      </c>
      <c r="C1032" s="40" t="str">
        <f t="shared" si="153"/>
        <v>23-&gt;</v>
      </c>
      <c r="D1032" s="40" t="str">
        <f t="shared" si="154"/>
        <v xml:space="preserve">No pick yet                                                 </v>
      </c>
      <c r="E1032" s="52">
        <f t="shared" si="155"/>
        <v>0</v>
      </c>
      <c r="F1032" s="18"/>
      <c r="M1032" s="18"/>
      <c r="N1032" s="18"/>
      <c r="O1032" s="18"/>
      <c r="P1032" s="18"/>
      <c r="Q1032" s="22"/>
      <c r="R1032" s="21"/>
      <c r="S1032" s="21"/>
      <c r="T1032" s="21"/>
      <c r="AA1032"/>
      <c r="AH1032" t="str">
        <f t="shared" si="156"/>
        <v>k yet</v>
      </c>
    </row>
    <row r="1033" spans="1:39">
      <c r="A1033" s="42" t="s">
        <v>269</v>
      </c>
      <c r="B1033" s="1" t="s">
        <v>20</v>
      </c>
      <c r="C1033" s="40" t="str">
        <f t="shared" si="153"/>
        <v>24-&gt;</v>
      </c>
      <c r="D1033" s="40" t="str">
        <f t="shared" si="154"/>
        <v xml:space="preserve">No pick yet                                                 </v>
      </c>
      <c r="E1033" s="52">
        <f t="shared" si="155"/>
        <v>0</v>
      </c>
      <c r="F1033" s="18"/>
      <c r="M1033" s="18"/>
      <c r="N1033" s="18"/>
      <c r="O1033" s="18"/>
      <c r="P1033" s="18"/>
      <c r="Q1033" s="22"/>
      <c r="R1033" s="21"/>
      <c r="S1033" s="21"/>
      <c r="T1033" s="21"/>
      <c r="AA1033"/>
      <c r="AH1033" t="str">
        <f t="shared" si="156"/>
        <v>k yet</v>
      </c>
    </row>
    <row r="1034" spans="1:39">
      <c r="A1034" s="42" t="s">
        <v>270</v>
      </c>
      <c r="B1034" s="1" t="s">
        <v>20</v>
      </c>
      <c r="C1034" s="40" t="str">
        <f t="shared" si="153"/>
        <v>25-&gt;</v>
      </c>
      <c r="D1034" s="40" t="str">
        <f t="shared" si="154"/>
        <v xml:space="preserve">No pick yet                                                 </v>
      </c>
      <c r="E1034" s="52">
        <f t="shared" si="155"/>
        <v>0</v>
      </c>
      <c r="F1034" s="18"/>
      <c r="M1034" s="18"/>
      <c r="N1034" s="18"/>
      <c r="O1034" s="18"/>
      <c r="P1034" s="18"/>
      <c r="Q1034" s="22"/>
      <c r="R1034" s="21"/>
      <c r="S1034" s="21"/>
      <c r="T1034" s="21"/>
      <c r="AA1034"/>
      <c r="AH1034" t="str">
        <f t="shared" si="156"/>
        <v>k yet</v>
      </c>
    </row>
    <row r="1035" spans="1:39">
      <c r="A1035" s="42" t="s">
        <v>271</v>
      </c>
      <c r="B1035" s="1" t="s">
        <v>20</v>
      </c>
      <c r="C1035" s="40" t="str">
        <f t="shared" si="153"/>
        <v>26-&gt;</v>
      </c>
      <c r="D1035" s="40" t="str">
        <f t="shared" si="154"/>
        <v xml:space="preserve">No pick yet                                                 </v>
      </c>
      <c r="E1035" s="52">
        <f t="shared" si="155"/>
        <v>0</v>
      </c>
      <c r="F1035" s="18"/>
      <c r="M1035" s="18"/>
      <c r="N1035" s="18"/>
      <c r="O1035" s="18"/>
      <c r="P1035" s="18"/>
      <c r="Q1035" s="22"/>
      <c r="R1035" s="21"/>
      <c r="S1035" s="21"/>
      <c r="T1035" s="21"/>
      <c r="AA1035"/>
      <c r="AH1035" t="str">
        <f t="shared" si="156"/>
        <v>k yet</v>
      </c>
    </row>
    <row r="1036" spans="1:39">
      <c r="A1036" s="38"/>
      <c r="B1036" s="40"/>
      <c r="C1036" s="40"/>
      <c r="D1036" s="49"/>
      <c r="E1036" s="41" t="s">
        <v>69</v>
      </c>
      <c r="F1036" s="18"/>
      <c r="K1036" s="22" t="s">
        <v>73</v>
      </c>
      <c r="L1036" s="18" t="s">
        <v>74</v>
      </c>
      <c r="M1036" s="22" t="s">
        <v>78</v>
      </c>
      <c r="N1036" s="22" t="s">
        <v>79</v>
      </c>
      <c r="O1036" s="22" t="s">
        <v>80</v>
      </c>
      <c r="P1036" s="22" t="s">
        <v>81</v>
      </c>
      <c r="Q1036" s="22" t="s">
        <v>82</v>
      </c>
      <c r="R1036" s="22" t="s">
        <v>83</v>
      </c>
      <c r="S1036" s="22" t="s">
        <v>84</v>
      </c>
      <c r="T1036" s="18" t="s">
        <v>85</v>
      </c>
      <c r="U1036" s="18" t="s">
        <v>86</v>
      </c>
      <c r="V1036" s="18" t="s">
        <v>87</v>
      </c>
      <c r="W1036" s="18" t="s">
        <v>88</v>
      </c>
      <c r="X1036" s="18" t="s">
        <v>89</v>
      </c>
      <c r="Y1036" s="18" t="s">
        <v>90</v>
      </c>
      <c r="Z1036" s="18" t="s">
        <v>91</v>
      </c>
      <c r="AA1036" s="18" t="s">
        <v>92</v>
      </c>
      <c r="AB1036" s="18" t="s">
        <v>93</v>
      </c>
      <c r="AC1036" s="18" t="s">
        <v>94</v>
      </c>
      <c r="AD1036" s="18" t="s">
        <v>235</v>
      </c>
      <c r="AE1036" s="18" t="s">
        <v>236</v>
      </c>
      <c r="AF1036" s="18" t="s">
        <v>237</v>
      </c>
      <c r="AG1036" s="18" t="s">
        <v>238</v>
      </c>
      <c r="AH1036" s="18" t="s">
        <v>239</v>
      </c>
      <c r="AI1036" s="18" t="s">
        <v>240</v>
      </c>
      <c r="AJ1036" s="18" t="s">
        <v>241</v>
      </c>
      <c r="AK1036" s="18" t="s">
        <v>242</v>
      </c>
      <c r="AL1036" s="18" t="s">
        <v>243</v>
      </c>
      <c r="AM1036" s="50" t="s">
        <v>244</v>
      </c>
    </row>
    <row r="1037" spans="1:39">
      <c r="A1037" s="40" t="s">
        <v>245</v>
      </c>
      <c r="B1037" s="51" t="str">
        <f>D36</f>
        <v/>
      </c>
      <c r="C1037" s="40" t="str">
        <f t="shared" ref="C1037:C1063" si="157">A1037</f>
        <v>#</v>
      </c>
      <c r="D1037" s="40" t="str">
        <f>"   "&amp;B1037&amp;REPT(" ",$AH$70-LEN(B1037)-3)</f>
        <v xml:space="preserve">                                                            </v>
      </c>
      <c r="E1037" s="38" t="str">
        <f>SUM(E1038:E1063)&amp;" pts[/b]"</f>
        <v>0 pts[/b]</v>
      </c>
      <c r="F1037" s="21">
        <f>SUM(E1038:E1063)</f>
        <v>0</v>
      </c>
      <c r="K1037" s="18">
        <f>COUNTIF(E1038:E1063,"&gt;0")</f>
        <v>0</v>
      </c>
      <c r="L1037" s="21">
        <f>AM1037-K1037</f>
        <v>0</v>
      </c>
      <c r="M1037" s="22">
        <f>MAX(E1038:E1063)</f>
        <v>0</v>
      </c>
      <c r="N1037" s="22">
        <f>LARGE(E1038:E1063,2)</f>
        <v>0</v>
      </c>
      <c r="O1037" s="22">
        <f>LARGE(E1038:E1063,3)</f>
        <v>0</v>
      </c>
      <c r="P1037" s="18">
        <f>LARGE(E1038:E1063,4)</f>
        <v>0</v>
      </c>
      <c r="Q1037" s="22">
        <f>LARGE(E1038:E1063,5)</f>
        <v>0</v>
      </c>
      <c r="R1037" s="22">
        <f>LARGE(E1038:E1063,6)</f>
        <v>0</v>
      </c>
      <c r="S1037" s="22">
        <f>LARGE(E1038:E1063,7)</f>
        <v>0</v>
      </c>
      <c r="T1037" s="18">
        <f>LARGE(E1038:E1063,8)</f>
        <v>0</v>
      </c>
      <c r="U1037" s="18">
        <f>LARGE(E1038:E1063,9)</f>
        <v>0</v>
      </c>
      <c r="V1037" s="18">
        <f>LARGE(E1038:E1063,10)</f>
        <v>0</v>
      </c>
      <c r="W1037" s="18">
        <f>LARGE(E1038:E1063,11)</f>
        <v>0</v>
      </c>
      <c r="X1037" s="18">
        <f>LARGE(E1038:E1063,12)</f>
        <v>0</v>
      </c>
      <c r="Y1037" s="18">
        <f>LARGE(E1038:E1063,13)</f>
        <v>0</v>
      </c>
      <c r="Z1037" s="18">
        <f>LARGE(E1038:E1063,14)</f>
        <v>0</v>
      </c>
      <c r="AA1037" s="18">
        <f>LARGE(E1038:E1063,15)</f>
        <v>0</v>
      </c>
      <c r="AB1037" s="18">
        <f>LARGE(E1038:E1063,16)</f>
        <v>0</v>
      </c>
      <c r="AC1037" s="18">
        <f>LARGE(E1038:E1063,17)</f>
        <v>0</v>
      </c>
      <c r="AD1037" s="18">
        <f>LARGE(E1038:E1064,13)</f>
        <v>0</v>
      </c>
      <c r="AE1037" s="18">
        <f>LARGE(E1038:E1063,19)</f>
        <v>0</v>
      </c>
      <c r="AF1037" s="18">
        <f>LARGE(E1038:E1063,20)</f>
        <v>0</v>
      </c>
      <c r="AG1037" s="18">
        <f>LARGE(E1038:E1063,21)</f>
        <v>0</v>
      </c>
      <c r="AH1037" s="18">
        <f>LARGE(E1038:E1063,22)</f>
        <v>0</v>
      </c>
      <c r="AI1037" s="18">
        <f>LARGE(E1038:E1063,23)</f>
        <v>0</v>
      </c>
      <c r="AJ1037" s="18">
        <f>LARGE(E1038:E1063,24)</f>
        <v>0</v>
      </c>
      <c r="AK1037" s="18">
        <f>LARGE(E1038:E1063,25)</f>
        <v>0</v>
      </c>
      <c r="AL1037" s="18">
        <f>LARGE(E1038:E1063,26)</f>
        <v>0</v>
      </c>
      <c r="AM1037" s="50">
        <f>COUNTIF(AH1038:AH1063,"&lt;&gt;"&amp;AH76)-(26-COUNTIF(E1038:E1063,"&gt;=0"))</f>
        <v>0</v>
      </c>
    </row>
    <row r="1038" spans="1:39">
      <c r="A1038" s="42" t="s">
        <v>246</v>
      </c>
      <c r="B1038" s="1" t="s">
        <v>20</v>
      </c>
      <c r="C1038" s="40" t="str">
        <f t="shared" si="157"/>
        <v>01-&gt;</v>
      </c>
      <c r="D1038" s="40" t="str">
        <f t="shared" ref="D1038:D1063" si="158">B1038&amp;REPT(" ",$AH$70-LEN(B1038))</f>
        <v xml:space="preserve">No pick yet                                                 </v>
      </c>
      <c r="E1038" s="52">
        <f t="shared" ref="E1038:E1063" si="159">VLOOKUP(RIGHT(B1038,LEN(B1038)-$AH$66),$H$138:$I$420,2,0)</f>
        <v>0</v>
      </c>
      <c r="F1038" s="18"/>
      <c r="M1038" s="18"/>
      <c r="N1038" s="18"/>
      <c r="O1038" s="18"/>
      <c r="P1038" s="18"/>
      <c r="Q1038" s="22"/>
      <c r="R1038" s="21"/>
      <c r="S1038" s="21"/>
      <c r="T1038" s="21"/>
      <c r="AA1038"/>
      <c r="AH1038" t="str">
        <f t="shared" ref="AH1038:AH1063" si="160">RIGHT(B1038,LEN(B1038)-$AH$66)</f>
        <v>k yet</v>
      </c>
    </row>
    <row r="1039" spans="1:39">
      <c r="A1039" s="42" t="s">
        <v>247</v>
      </c>
      <c r="B1039" s="1" t="s">
        <v>20</v>
      </c>
      <c r="C1039" s="40" t="str">
        <f t="shared" si="157"/>
        <v>02-&gt;</v>
      </c>
      <c r="D1039" s="40" t="str">
        <f t="shared" si="158"/>
        <v xml:space="preserve">No pick yet                                                 </v>
      </c>
      <c r="E1039" s="52">
        <f t="shared" si="159"/>
        <v>0</v>
      </c>
      <c r="F1039" s="18"/>
      <c r="K1039" s="22"/>
      <c r="N1039" s="22"/>
      <c r="O1039" s="22"/>
      <c r="P1039" s="22"/>
      <c r="Q1039" s="22"/>
      <c r="R1039" s="22"/>
      <c r="S1039" s="22"/>
      <c r="Z1039" s="53"/>
      <c r="AA1039"/>
      <c r="AH1039" t="str">
        <f t="shared" si="160"/>
        <v>k yet</v>
      </c>
    </row>
    <row r="1040" spans="1:39">
      <c r="A1040" s="42" t="s">
        <v>248</v>
      </c>
      <c r="B1040" s="1" t="s">
        <v>20</v>
      </c>
      <c r="C1040" s="40" t="str">
        <f t="shared" si="157"/>
        <v>03-&gt;</v>
      </c>
      <c r="D1040" s="40" t="str">
        <f t="shared" si="158"/>
        <v xml:space="preserve">No pick yet                                                 </v>
      </c>
      <c r="E1040" s="52">
        <f t="shared" si="159"/>
        <v>0</v>
      </c>
      <c r="F1040" s="18"/>
      <c r="L1040" s="21"/>
      <c r="N1040" s="22"/>
      <c r="O1040" s="22"/>
      <c r="P1040" s="18"/>
      <c r="Q1040" s="22"/>
      <c r="R1040" s="22"/>
      <c r="S1040" s="22"/>
      <c r="Z1040" s="53"/>
      <c r="AA1040"/>
      <c r="AH1040" t="str">
        <f t="shared" si="160"/>
        <v>k yet</v>
      </c>
    </row>
    <row r="1041" spans="1:34">
      <c r="A1041" s="42" t="s">
        <v>249</v>
      </c>
      <c r="B1041" s="1" t="s">
        <v>20</v>
      </c>
      <c r="C1041" s="40" t="str">
        <f t="shared" si="157"/>
        <v>04-&gt;</v>
      </c>
      <c r="D1041" s="40" t="str">
        <f t="shared" si="158"/>
        <v xml:space="preserve">No pick yet                                                 </v>
      </c>
      <c r="E1041" s="52">
        <f t="shared" si="159"/>
        <v>0</v>
      </c>
      <c r="F1041" s="18"/>
      <c r="M1041" s="18"/>
      <c r="N1041" s="18"/>
      <c r="O1041" s="18"/>
      <c r="P1041" s="18"/>
      <c r="Q1041" s="22"/>
      <c r="R1041" s="21"/>
      <c r="S1041" s="21"/>
      <c r="T1041" s="21"/>
      <c r="AA1041"/>
      <c r="AH1041" t="str">
        <f t="shared" si="160"/>
        <v>k yet</v>
      </c>
    </row>
    <row r="1042" spans="1:34">
      <c r="A1042" s="42" t="s">
        <v>250</v>
      </c>
      <c r="B1042" s="1" t="s">
        <v>20</v>
      </c>
      <c r="C1042" s="40" t="str">
        <f t="shared" si="157"/>
        <v>05-&gt;</v>
      </c>
      <c r="D1042" s="40" t="str">
        <f t="shared" si="158"/>
        <v xml:space="preserve">No pick yet                                                 </v>
      </c>
      <c r="E1042" s="52">
        <f t="shared" si="159"/>
        <v>0</v>
      </c>
      <c r="F1042" s="18"/>
      <c r="M1042" s="18"/>
      <c r="N1042" s="18"/>
      <c r="O1042" s="18"/>
      <c r="P1042" s="18"/>
      <c r="Q1042" s="22"/>
      <c r="R1042" s="21"/>
      <c r="S1042" s="21"/>
      <c r="T1042" s="21"/>
      <c r="AA1042"/>
      <c r="AH1042" t="str">
        <f t="shared" si="160"/>
        <v>k yet</v>
      </c>
    </row>
    <row r="1043" spans="1:34">
      <c r="A1043" s="42" t="s">
        <v>251</v>
      </c>
      <c r="B1043" s="1" t="s">
        <v>20</v>
      </c>
      <c r="C1043" s="40" t="str">
        <f t="shared" si="157"/>
        <v>06-&gt;</v>
      </c>
      <c r="D1043" s="40" t="str">
        <f t="shared" si="158"/>
        <v xml:space="preserve">No pick yet                                                 </v>
      </c>
      <c r="E1043" s="52">
        <f t="shared" si="159"/>
        <v>0</v>
      </c>
      <c r="F1043" s="18"/>
      <c r="G1043" s="22"/>
      <c r="I1043" s="22"/>
      <c r="J1043" s="22"/>
      <c r="M1043" s="18"/>
      <c r="N1043" s="18"/>
      <c r="O1043" s="18"/>
      <c r="P1043" s="18"/>
      <c r="Q1043" s="22"/>
      <c r="R1043" s="21"/>
      <c r="S1043" s="21"/>
      <c r="T1043" s="21"/>
      <c r="AA1043"/>
      <c r="AH1043" t="str">
        <f t="shared" si="160"/>
        <v>k yet</v>
      </c>
    </row>
    <row r="1044" spans="1:34">
      <c r="A1044" s="42" t="s">
        <v>252</v>
      </c>
      <c r="B1044" s="1" t="s">
        <v>20</v>
      </c>
      <c r="C1044" s="40" t="str">
        <f t="shared" si="157"/>
        <v>07-&gt;</v>
      </c>
      <c r="D1044" s="40" t="str">
        <f t="shared" si="158"/>
        <v xml:space="preserve">No pick yet                                                 </v>
      </c>
      <c r="E1044" s="52">
        <f t="shared" si="159"/>
        <v>0</v>
      </c>
      <c r="F1044" s="18"/>
      <c r="H1044" s="21"/>
      <c r="I1044" s="22"/>
      <c r="J1044" s="22"/>
      <c r="M1044" s="18"/>
      <c r="N1044" s="18"/>
      <c r="O1044" s="18"/>
      <c r="P1044" s="18"/>
      <c r="Q1044" s="22"/>
      <c r="R1044" s="21"/>
      <c r="S1044" s="21"/>
      <c r="T1044" s="21"/>
      <c r="AA1044"/>
      <c r="AH1044" t="str">
        <f t="shared" si="160"/>
        <v>k yet</v>
      </c>
    </row>
    <row r="1045" spans="1:34">
      <c r="A1045" s="42" t="s">
        <v>253</v>
      </c>
      <c r="B1045" s="1" t="s">
        <v>20</v>
      </c>
      <c r="C1045" s="40" t="str">
        <f t="shared" si="157"/>
        <v>08-&gt;</v>
      </c>
      <c r="D1045" s="40" t="str">
        <f t="shared" si="158"/>
        <v xml:space="preserve">No pick yet                                                 </v>
      </c>
      <c r="E1045" s="52">
        <f t="shared" si="159"/>
        <v>0</v>
      </c>
      <c r="F1045" s="18"/>
      <c r="M1045" s="18"/>
      <c r="N1045" s="18"/>
      <c r="O1045" s="18"/>
      <c r="P1045" s="18"/>
      <c r="Q1045" s="22"/>
      <c r="R1045" s="21"/>
      <c r="S1045" s="21"/>
      <c r="T1045" s="21"/>
      <c r="AA1045"/>
      <c r="AH1045" t="str">
        <f t="shared" si="160"/>
        <v>k yet</v>
      </c>
    </row>
    <row r="1046" spans="1:34">
      <c r="A1046" s="42" t="s">
        <v>254</v>
      </c>
      <c r="B1046" s="1" t="s">
        <v>20</v>
      </c>
      <c r="C1046" s="40" t="str">
        <f t="shared" si="157"/>
        <v>09-&gt;</v>
      </c>
      <c r="D1046" s="40" t="str">
        <f t="shared" si="158"/>
        <v xml:space="preserve">No pick yet                                                 </v>
      </c>
      <c r="E1046" s="52">
        <f t="shared" si="159"/>
        <v>0</v>
      </c>
      <c r="F1046" s="18"/>
      <c r="M1046" s="18"/>
      <c r="N1046" s="18"/>
      <c r="O1046" s="18"/>
      <c r="P1046" s="18"/>
      <c r="Q1046" s="22"/>
      <c r="R1046" s="21"/>
      <c r="S1046" s="21"/>
      <c r="T1046" s="21"/>
      <c r="AA1046"/>
      <c r="AH1046" t="str">
        <f t="shared" si="160"/>
        <v>k yet</v>
      </c>
    </row>
    <row r="1047" spans="1:34">
      <c r="A1047" s="42" t="s">
        <v>255</v>
      </c>
      <c r="B1047" s="1" t="s">
        <v>20</v>
      </c>
      <c r="C1047" s="40" t="str">
        <f t="shared" si="157"/>
        <v>10-&gt;</v>
      </c>
      <c r="D1047" s="40" t="str">
        <f t="shared" si="158"/>
        <v xml:space="preserve">No pick yet                                                 </v>
      </c>
      <c r="E1047" s="52">
        <f t="shared" si="159"/>
        <v>0</v>
      </c>
      <c r="F1047" s="22"/>
      <c r="M1047" s="18"/>
      <c r="N1047" s="18"/>
      <c r="O1047" s="18"/>
      <c r="P1047" s="18"/>
      <c r="Q1047" s="22"/>
      <c r="R1047" s="21"/>
      <c r="S1047" s="21"/>
      <c r="T1047" s="21"/>
      <c r="AA1047"/>
      <c r="AH1047" t="str">
        <f t="shared" si="160"/>
        <v>k yet</v>
      </c>
    </row>
    <row r="1048" spans="1:34">
      <c r="A1048" s="42" t="s">
        <v>256</v>
      </c>
      <c r="B1048" s="1" t="s">
        <v>20</v>
      </c>
      <c r="C1048" s="40" t="str">
        <f t="shared" si="157"/>
        <v>11-&gt;</v>
      </c>
      <c r="D1048" s="40" t="str">
        <f t="shared" si="158"/>
        <v xml:space="preserve">No pick yet                                                 </v>
      </c>
      <c r="E1048" s="52">
        <f t="shared" si="159"/>
        <v>0</v>
      </c>
      <c r="M1048" s="18"/>
      <c r="N1048" s="18"/>
      <c r="O1048" s="18"/>
      <c r="P1048" s="18"/>
      <c r="Q1048" s="22"/>
      <c r="R1048" s="21"/>
      <c r="S1048" s="21"/>
      <c r="T1048" s="21"/>
      <c r="AA1048"/>
      <c r="AH1048" t="str">
        <f t="shared" si="160"/>
        <v>k yet</v>
      </c>
    </row>
    <row r="1049" spans="1:34">
      <c r="A1049" s="42" t="s">
        <v>257</v>
      </c>
      <c r="B1049" s="1" t="s">
        <v>20</v>
      </c>
      <c r="C1049" s="40" t="str">
        <f t="shared" si="157"/>
        <v>12-&gt;</v>
      </c>
      <c r="D1049" s="40" t="str">
        <f t="shared" si="158"/>
        <v xml:space="preserve">No pick yet                                                 </v>
      </c>
      <c r="E1049" s="52">
        <f t="shared" si="159"/>
        <v>0</v>
      </c>
      <c r="M1049" s="18"/>
      <c r="N1049" s="18"/>
      <c r="O1049" s="18"/>
      <c r="P1049" s="18"/>
      <c r="Q1049" s="22"/>
      <c r="R1049" s="21"/>
      <c r="S1049" s="21"/>
      <c r="T1049" s="21"/>
      <c r="AA1049"/>
      <c r="AH1049" t="str">
        <f t="shared" si="160"/>
        <v>k yet</v>
      </c>
    </row>
    <row r="1050" spans="1:34">
      <c r="A1050" s="42" t="s">
        <v>258</v>
      </c>
      <c r="B1050" s="1" t="s">
        <v>20</v>
      </c>
      <c r="C1050" s="40" t="str">
        <f t="shared" si="157"/>
        <v>13-&gt;</v>
      </c>
      <c r="D1050" s="40" t="str">
        <f t="shared" si="158"/>
        <v xml:space="preserve">No pick yet                                                 </v>
      </c>
      <c r="E1050" s="52">
        <f t="shared" si="159"/>
        <v>0</v>
      </c>
      <c r="M1050" s="18"/>
      <c r="N1050" s="18"/>
      <c r="O1050" s="18"/>
      <c r="P1050" s="18"/>
      <c r="Q1050" s="22"/>
      <c r="R1050" s="21"/>
      <c r="S1050" s="21"/>
      <c r="T1050" s="21"/>
      <c r="AA1050"/>
      <c r="AH1050" t="str">
        <f t="shared" si="160"/>
        <v>k yet</v>
      </c>
    </row>
    <row r="1051" spans="1:34">
      <c r="A1051" s="42" t="s">
        <v>259</v>
      </c>
      <c r="B1051" s="1" t="s">
        <v>20</v>
      </c>
      <c r="C1051" s="40" t="str">
        <f t="shared" si="157"/>
        <v>14-&gt;</v>
      </c>
      <c r="D1051" s="40" t="str">
        <f t="shared" si="158"/>
        <v xml:space="preserve">No pick yet                                                 </v>
      </c>
      <c r="E1051" s="52">
        <f t="shared" si="159"/>
        <v>0</v>
      </c>
      <c r="M1051" s="18"/>
      <c r="N1051" s="18"/>
      <c r="O1051" s="18"/>
      <c r="P1051" s="18"/>
      <c r="Q1051" s="22"/>
      <c r="R1051" s="21"/>
      <c r="S1051" s="21"/>
      <c r="T1051" s="21"/>
      <c r="AA1051"/>
      <c r="AH1051" t="str">
        <f t="shared" si="160"/>
        <v>k yet</v>
      </c>
    </row>
    <row r="1052" spans="1:34">
      <c r="A1052" s="42" t="s">
        <v>260</v>
      </c>
      <c r="B1052" s="1" t="s">
        <v>20</v>
      </c>
      <c r="C1052" s="40" t="str">
        <f t="shared" si="157"/>
        <v>15-&gt;</v>
      </c>
      <c r="D1052" s="40" t="str">
        <f t="shared" si="158"/>
        <v xml:space="preserve">No pick yet                                                 </v>
      </c>
      <c r="E1052" s="52">
        <f t="shared" si="159"/>
        <v>0</v>
      </c>
      <c r="M1052" s="18"/>
      <c r="N1052" s="18"/>
      <c r="O1052" s="18"/>
      <c r="P1052" s="18"/>
      <c r="Q1052" s="22"/>
      <c r="R1052" s="21"/>
      <c r="S1052" s="21"/>
      <c r="T1052" s="21"/>
      <c r="AA1052"/>
      <c r="AH1052" t="str">
        <f t="shared" si="160"/>
        <v>k yet</v>
      </c>
    </row>
    <row r="1053" spans="1:34">
      <c r="A1053" s="42" t="s">
        <v>261</v>
      </c>
      <c r="B1053" s="1" t="s">
        <v>20</v>
      </c>
      <c r="C1053" s="40" t="str">
        <f t="shared" si="157"/>
        <v>16-&gt;</v>
      </c>
      <c r="D1053" s="40" t="str">
        <f t="shared" si="158"/>
        <v xml:space="preserve">No pick yet                                                 </v>
      </c>
      <c r="E1053" s="52">
        <f t="shared" si="159"/>
        <v>0</v>
      </c>
      <c r="M1053" s="18"/>
      <c r="N1053" s="18"/>
      <c r="O1053" s="18"/>
      <c r="P1053" s="18"/>
      <c r="Q1053" s="22"/>
      <c r="R1053" s="21"/>
      <c r="S1053" s="21"/>
      <c r="T1053" s="21"/>
      <c r="AA1053"/>
      <c r="AH1053" t="str">
        <f t="shared" si="160"/>
        <v>k yet</v>
      </c>
    </row>
    <row r="1054" spans="1:34">
      <c r="A1054" s="42" t="s">
        <v>262</v>
      </c>
      <c r="B1054" s="1" t="s">
        <v>20</v>
      </c>
      <c r="C1054" s="40" t="str">
        <f t="shared" si="157"/>
        <v>17-&gt;</v>
      </c>
      <c r="D1054" s="40" t="str">
        <f t="shared" si="158"/>
        <v xml:space="preserve">No pick yet                                                 </v>
      </c>
      <c r="E1054" s="52">
        <f t="shared" si="159"/>
        <v>0</v>
      </c>
      <c r="K1054" s="22"/>
      <c r="N1054" s="22"/>
      <c r="O1054" s="22"/>
      <c r="P1054" s="22"/>
      <c r="Q1054" s="22"/>
      <c r="R1054" s="22"/>
      <c r="S1054" s="22"/>
      <c r="Z1054" s="53"/>
      <c r="AA1054"/>
      <c r="AH1054" t="str">
        <f t="shared" si="160"/>
        <v>k yet</v>
      </c>
    </row>
    <row r="1055" spans="1:34">
      <c r="A1055" s="42" t="s">
        <v>263</v>
      </c>
      <c r="B1055" s="1" t="s">
        <v>20</v>
      </c>
      <c r="C1055" s="40" t="str">
        <f t="shared" si="157"/>
        <v>18-&gt;</v>
      </c>
      <c r="D1055" s="40" t="str">
        <f t="shared" si="158"/>
        <v xml:space="preserve">No pick yet                                                 </v>
      </c>
      <c r="E1055" s="52">
        <f t="shared" si="159"/>
        <v>0</v>
      </c>
      <c r="F1055" s="18"/>
      <c r="L1055" s="21"/>
      <c r="N1055" s="22"/>
      <c r="O1055" s="22"/>
      <c r="P1055" s="18"/>
      <c r="Q1055" s="22"/>
      <c r="R1055" s="22"/>
      <c r="S1055" s="22"/>
      <c r="Z1055" s="53"/>
      <c r="AA1055"/>
      <c r="AH1055" t="str">
        <f t="shared" si="160"/>
        <v>k yet</v>
      </c>
    </row>
    <row r="1056" spans="1:34">
      <c r="A1056" s="42" t="s">
        <v>264</v>
      </c>
      <c r="B1056" s="1" t="s">
        <v>20</v>
      </c>
      <c r="C1056" s="40" t="str">
        <f t="shared" si="157"/>
        <v>19-&gt;</v>
      </c>
      <c r="D1056" s="40" t="str">
        <f t="shared" si="158"/>
        <v xml:space="preserve">No pick yet                                                 </v>
      </c>
      <c r="E1056" s="52">
        <f t="shared" si="159"/>
        <v>0</v>
      </c>
      <c r="F1056" s="18"/>
      <c r="M1056" s="18"/>
      <c r="N1056" s="18"/>
      <c r="O1056" s="18"/>
      <c r="P1056" s="18"/>
      <c r="Q1056" s="22"/>
      <c r="R1056" s="21"/>
      <c r="S1056" s="21"/>
      <c r="T1056" s="21"/>
      <c r="AA1056"/>
      <c r="AH1056" t="str">
        <f t="shared" si="160"/>
        <v>k yet</v>
      </c>
    </row>
    <row r="1057" spans="1:39">
      <c r="A1057" s="42" t="s">
        <v>265</v>
      </c>
      <c r="B1057" s="1" t="s">
        <v>20</v>
      </c>
      <c r="C1057" s="40" t="str">
        <f t="shared" si="157"/>
        <v>20-&gt;</v>
      </c>
      <c r="D1057" s="40" t="str">
        <f t="shared" si="158"/>
        <v xml:space="preserve">No pick yet                                                 </v>
      </c>
      <c r="E1057" s="52">
        <f t="shared" si="159"/>
        <v>0</v>
      </c>
      <c r="F1057" s="18"/>
      <c r="M1057" s="18"/>
      <c r="N1057" s="18"/>
      <c r="O1057" s="18"/>
      <c r="P1057" s="18"/>
      <c r="Q1057" s="22"/>
      <c r="R1057" s="21"/>
      <c r="S1057" s="21"/>
      <c r="T1057" s="21"/>
      <c r="AA1057"/>
      <c r="AH1057" t="str">
        <f t="shared" si="160"/>
        <v>k yet</v>
      </c>
    </row>
    <row r="1058" spans="1:39">
      <c r="A1058" s="42" t="s">
        <v>266</v>
      </c>
      <c r="B1058" s="1" t="s">
        <v>20</v>
      </c>
      <c r="C1058" s="40" t="str">
        <f t="shared" si="157"/>
        <v>21-&gt;</v>
      </c>
      <c r="D1058" s="40" t="str">
        <f t="shared" si="158"/>
        <v xml:space="preserve">No pick yet                                                 </v>
      </c>
      <c r="E1058" s="52">
        <f t="shared" si="159"/>
        <v>0</v>
      </c>
      <c r="F1058" s="18"/>
      <c r="G1058" s="22"/>
      <c r="I1058" s="22"/>
      <c r="J1058" s="22"/>
      <c r="M1058" s="18"/>
      <c r="N1058" s="18"/>
      <c r="O1058" s="18"/>
      <c r="P1058" s="18"/>
      <c r="Q1058" s="22"/>
      <c r="R1058" s="21"/>
      <c r="S1058" s="21"/>
      <c r="T1058" s="21"/>
      <c r="AA1058"/>
      <c r="AH1058" t="str">
        <f t="shared" si="160"/>
        <v>k yet</v>
      </c>
    </row>
    <row r="1059" spans="1:39">
      <c r="A1059" s="42" t="s">
        <v>267</v>
      </c>
      <c r="B1059" s="1" t="s">
        <v>20</v>
      </c>
      <c r="C1059" s="40" t="str">
        <f t="shared" si="157"/>
        <v>22-&gt;</v>
      </c>
      <c r="D1059" s="40" t="str">
        <f t="shared" si="158"/>
        <v xml:space="preserve">No pick yet                                                 </v>
      </c>
      <c r="E1059" s="52">
        <f t="shared" si="159"/>
        <v>0</v>
      </c>
      <c r="F1059" s="18"/>
      <c r="H1059" s="21"/>
      <c r="I1059" s="22"/>
      <c r="J1059" s="22"/>
      <c r="M1059" s="18"/>
      <c r="N1059" s="18"/>
      <c r="O1059" s="18"/>
      <c r="P1059" s="18"/>
      <c r="Q1059" s="22"/>
      <c r="R1059" s="21"/>
      <c r="S1059" s="21"/>
      <c r="T1059" s="21"/>
      <c r="AA1059"/>
      <c r="AH1059" t="str">
        <f t="shared" si="160"/>
        <v>k yet</v>
      </c>
    </row>
    <row r="1060" spans="1:39">
      <c r="A1060" s="42" t="s">
        <v>268</v>
      </c>
      <c r="B1060" s="1" t="s">
        <v>20</v>
      </c>
      <c r="C1060" s="40" t="str">
        <f t="shared" si="157"/>
        <v>23-&gt;</v>
      </c>
      <c r="D1060" s="40" t="str">
        <f t="shared" si="158"/>
        <v xml:space="preserve">No pick yet                                                 </v>
      </c>
      <c r="E1060" s="52">
        <f t="shared" si="159"/>
        <v>0</v>
      </c>
      <c r="F1060" s="18"/>
      <c r="M1060" s="18"/>
      <c r="N1060" s="18"/>
      <c r="O1060" s="18"/>
      <c r="P1060" s="18"/>
      <c r="Q1060" s="22"/>
      <c r="R1060" s="21"/>
      <c r="S1060" s="21"/>
      <c r="T1060" s="21"/>
      <c r="AA1060"/>
      <c r="AH1060" t="str">
        <f t="shared" si="160"/>
        <v>k yet</v>
      </c>
    </row>
    <row r="1061" spans="1:39">
      <c r="A1061" s="42" t="s">
        <v>269</v>
      </c>
      <c r="B1061" s="1" t="s">
        <v>20</v>
      </c>
      <c r="C1061" s="40" t="str">
        <f t="shared" si="157"/>
        <v>24-&gt;</v>
      </c>
      <c r="D1061" s="40" t="str">
        <f t="shared" si="158"/>
        <v xml:space="preserve">No pick yet                                                 </v>
      </c>
      <c r="E1061" s="52">
        <f t="shared" si="159"/>
        <v>0</v>
      </c>
      <c r="F1061" s="18"/>
      <c r="M1061" s="18"/>
      <c r="N1061" s="18"/>
      <c r="O1061" s="18"/>
      <c r="P1061" s="18"/>
      <c r="Q1061" s="22"/>
      <c r="R1061" s="21"/>
      <c r="S1061" s="21"/>
      <c r="T1061" s="21"/>
      <c r="AA1061"/>
      <c r="AH1061" t="str">
        <f t="shared" si="160"/>
        <v>k yet</v>
      </c>
    </row>
    <row r="1062" spans="1:39">
      <c r="A1062" s="42" t="s">
        <v>270</v>
      </c>
      <c r="B1062" s="1" t="s">
        <v>20</v>
      </c>
      <c r="C1062" s="40" t="str">
        <f t="shared" si="157"/>
        <v>25-&gt;</v>
      </c>
      <c r="D1062" s="40" t="str">
        <f t="shared" si="158"/>
        <v xml:space="preserve">No pick yet                                                 </v>
      </c>
      <c r="E1062" s="52">
        <f t="shared" si="159"/>
        <v>0</v>
      </c>
      <c r="F1062" s="18"/>
      <c r="M1062" s="18"/>
      <c r="N1062" s="18"/>
      <c r="O1062" s="18"/>
      <c r="P1062" s="18"/>
      <c r="Q1062" s="22"/>
      <c r="R1062" s="21"/>
      <c r="S1062" s="21"/>
      <c r="T1062" s="21"/>
      <c r="AA1062"/>
      <c r="AH1062" t="str">
        <f t="shared" si="160"/>
        <v>k yet</v>
      </c>
    </row>
    <row r="1063" spans="1:39">
      <c r="A1063" s="42" t="s">
        <v>271</v>
      </c>
      <c r="B1063" s="1" t="s">
        <v>20</v>
      </c>
      <c r="C1063" s="40" t="str">
        <f t="shared" si="157"/>
        <v>26-&gt;</v>
      </c>
      <c r="D1063" s="40" t="str">
        <f t="shared" si="158"/>
        <v xml:space="preserve">No pick yet                                                 </v>
      </c>
      <c r="E1063" s="52">
        <f t="shared" si="159"/>
        <v>0</v>
      </c>
      <c r="F1063" s="18"/>
      <c r="M1063" s="18"/>
      <c r="N1063" s="18"/>
      <c r="O1063" s="18"/>
      <c r="P1063" s="18"/>
      <c r="Q1063" s="22"/>
      <c r="R1063" s="21"/>
      <c r="S1063" s="21"/>
      <c r="T1063" s="21"/>
      <c r="AA1063"/>
      <c r="AH1063" t="str">
        <f t="shared" si="160"/>
        <v>k yet</v>
      </c>
    </row>
    <row r="1064" spans="1:39">
      <c r="A1064" s="38"/>
      <c r="B1064" s="40"/>
      <c r="C1064" s="40"/>
      <c r="D1064" s="49"/>
      <c r="E1064" s="41" t="s">
        <v>69</v>
      </c>
      <c r="F1064" s="18"/>
      <c r="K1064" s="22" t="s">
        <v>73</v>
      </c>
      <c r="L1064" s="18" t="s">
        <v>74</v>
      </c>
      <c r="M1064" s="22" t="s">
        <v>78</v>
      </c>
      <c r="N1064" s="22" t="s">
        <v>79</v>
      </c>
      <c r="O1064" s="22" t="s">
        <v>80</v>
      </c>
      <c r="P1064" s="22" t="s">
        <v>81</v>
      </c>
      <c r="Q1064" s="22" t="s">
        <v>82</v>
      </c>
      <c r="R1064" s="22" t="s">
        <v>83</v>
      </c>
      <c r="S1064" s="22" t="s">
        <v>84</v>
      </c>
      <c r="T1064" s="18" t="s">
        <v>85</v>
      </c>
      <c r="U1064" s="18" t="s">
        <v>86</v>
      </c>
      <c r="V1064" s="18" t="s">
        <v>87</v>
      </c>
      <c r="W1064" s="18" t="s">
        <v>88</v>
      </c>
      <c r="X1064" s="18" t="s">
        <v>89</v>
      </c>
      <c r="Y1064" s="18" t="s">
        <v>90</v>
      </c>
      <c r="Z1064" s="18" t="s">
        <v>91</v>
      </c>
      <c r="AA1064" s="18" t="s">
        <v>92</v>
      </c>
      <c r="AB1064" s="18" t="s">
        <v>93</v>
      </c>
      <c r="AC1064" s="18" t="s">
        <v>94</v>
      </c>
      <c r="AD1064" s="18" t="s">
        <v>235</v>
      </c>
      <c r="AE1064" s="18" t="s">
        <v>236</v>
      </c>
      <c r="AF1064" s="18" t="s">
        <v>237</v>
      </c>
      <c r="AG1064" s="18" t="s">
        <v>238</v>
      </c>
      <c r="AH1064" s="18" t="s">
        <v>239</v>
      </c>
      <c r="AI1064" s="18" t="s">
        <v>240</v>
      </c>
      <c r="AJ1064" s="18" t="s">
        <v>241</v>
      </c>
      <c r="AK1064" s="18" t="s">
        <v>242</v>
      </c>
      <c r="AL1064" s="18" t="s">
        <v>243</v>
      </c>
      <c r="AM1064" s="50" t="s">
        <v>244</v>
      </c>
    </row>
    <row r="1065" spans="1:39">
      <c r="A1065" s="40" t="s">
        <v>245</v>
      </c>
      <c r="B1065" s="51" t="str">
        <f>D37</f>
        <v/>
      </c>
      <c r="C1065" s="40" t="str">
        <f t="shared" ref="C1065:C1091" si="161">A1065</f>
        <v>#</v>
      </c>
      <c r="D1065" s="40" t="str">
        <f>"   "&amp;B1065&amp;REPT(" ",$AH$70-LEN(B1065)-3)</f>
        <v xml:space="preserve">                                                            </v>
      </c>
      <c r="E1065" s="38" t="str">
        <f>SUM(E1066:E1091)&amp;" pts[/b]"</f>
        <v>0 pts[/b]</v>
      </c>
      <c r="F1065" s="21">
        <f>SUM(E1066:E1091)</f>
        <v>0</v>
      </c>
      <c r="K1065" s="18">
        <f>COUNTIF(E1066:E1091,"&gt;0")</f>
        <v>0</v>
      </c>
      <c r="L1065" s="21">
        <f>AM1065-K1065</f>
        <v>0</v>
      </c>
      <c r="M1065" s="22">
        <f>MAX(E1066:E1091)</f>
        <v>0</v>
      </c>
      <c r="N1065" s="22">
        <f>LARGE(E1066:E1091,2)</f>
        <v>0</v>
      </c>
      <c r="O1065" s="22">
        <f>LARGE(E1066:E1091,3)</f>
        <v>0</v>
      </c>
      <c r="P1065" s="18">
        <f>LARGE(E1066:E1091,4)</f>
        <v>0</v>
      </c>
      <c r="Q1065" s="22">
        <f>LARGE(E1066:E1091,5)</f>
        <v>0</v>
      </c>
      <c r="R1065" s="22">
        <f>LARGE(E1066:E1091,6)</f>
        <v>0</v>
      </c>
      <c r="S1065" s="22">
        <f>LARGE(E1066:E1091,7)</f>
        <v>0</v>
      </c>
      <c r="T1065" s="18">
        <f>LARGE(E1066:E1091,8)</f>
        <v>0</v>
      </c>
      <c r="U1065" s="18">
        <f>LARGE(E1066:E1091,9)</f>
        <v>0</v>
      </c>
      <c r="V1065" s="18">
        <f>LARGE(E1066:E1091,10)</f>
        <v>0</v>
      </c>
      <c r="W1065" s="18">
        <f>LARGE(E1066:E1091,11)</f>
        <v>0</v>
      </c>
      <c r="X1065" s="18">
        <f>LARGE(E1066:E1091,12)</f>
        <v>0</v>
      </c>
      <c r="Y1065" s="18">
        <f>LARGE(E1066:E1091,13)</f>
        <v>0</v>
      </c>
      <c r="Z1065" s="18">
        <f>LARGE(E1066:E1091,14)</f>
        <v>0</v>
      </c>
      <c r="AA1065" s="18">
        <f>LARGE(E1066:E1091,15)</f>
        <v>0</v>
      </c>
      <c r="AB1065" s="18">
        <f>LARGE(E1066:E1091,16)</f>
        <v>0</v>
      </c>
      <c r="AC1065" s="18">
        <f>LARGE(E1066:E1091,17)</f>
        <v>0</v>
      </c>
      <c r="AD1065" s="18">
        <f>LARGE(E1066:E1092,13)</f>
        <v>0</v>
      </c>
      <c r="AE1065" s="18">
        <f>LARGE(E1066:E1091,19)</f>
        <v>0</v>
      </c>
      <c r="AF1065" s="18">
        <f>LARGE(E1066:E1091,20)</f>
        <v>0</v>
      </c>
      <c r="AG1065" s="18">
        <f>LARGE(E1066:E1091,21)</f>
        <v>0</v>
      </c>
      <c r="AH1065" s="18">
        <f>LARGE(E1066:E1091,22)</f>
        <v>0</v>
      </c>
      <c r="AI1065" s="18">
        <f>LARGE(E1066:E1091,23)</f>
        <v>0</v>
      </c>
      <c r="AJ1065" s="18">
        <f>LARGE(E1066:E1091,24)</f>
        <v>0</v>
      </c>
      <c r="AK1065" s="18">
        <f>LARGE(E1066:E1091,25)</f>
        <v>0</v>
      </c>
      <c r="AL1065" s="18">
        <f>LARGE(E1066:E1091,26)</f>
        <v>0</v>
      </c>
      <c r="AM1065" s="50">
        <f>COUNTIF(AH1066:AH1091,"&lt;&gt;"&amp;AH76)-(26-COUNTIF(E1066:E1091,"&gt;=0"))</f>
        <v>0</v>
      </c>
    </row>
    <row r="1066" spans="1:39">
      <c r="A1066" s="42" t="s">
        <v>246</v>
      </c>
      <c r="B1066" s="1" t="s">
        <v>20</v>
      </c>
      <c r="C1066" s="40" t="str">
        <f t="shared" si="161"/>
        <v>01-&gt;</v>
      </c>
      <c r="D1066" s="40" t="str">
        <f t="shared" ref="D1066:D1091" si="162">B1066&amp;REPT(" ",$AH$70-LEN(B1066))</f>
        <v xml:space="preserve">No pick yet                                                 </v>
      </c>
      <c r="E1066" s="52">
        <f t="shared" ref="E1066:E1091" si="163">VLOOKUP(RIGHT(B1066,LEN(B1066)-$AH$66),$H$138:$I$420,2,0)</f>
        <v>0</v>
      </c>
      <c r="F1066" s="18"/>
      <c r="M1066" s="18"/>
      <c r="N1066" s="18"/>
      <c r="O1066" s="18"/>
      <c r="P1066" s="18"/>
      <c r="Q1066" s="22"/>
      <c r="R1066" s="21"/>
      <c r="S1066" s="21"/>
      <c r="T1066" s="21"/>
      <c r="AA1066"/>
      <c r="AH1066" t="str">
        <f t="shared" ref="AH1066:AH1091" si="164">RIGHT(B1066,LEN(B1066)-$AH$66)</f>
        <v>k yet</v>
      </c>
    </row>
    <row r="1067" spans="1:39">
      <c r="A1067" s="42" t="s">
        <v>247</v>
      </c>
      <c r="B1067" s="1" t="s">
        <v>20</v>
      </c>
      <c r="C1067" s="40" t="str">
        <f t="shared" si="161"/>
        <v>02-&gt;</v>
      </c>
      <c r="D1067" s="40" t="str">
        <f t="shared" si="162"/>
        <v xml:space="preserve">No pick yet                                                 </v>
      </c>
      <c r="E1067" s="52">
        <f t="shared" si="163"/>
        <v>0</v>
      </c>
      <c r="F1067" s="18"/>
      <c r="K1067" s="22"/>
      <c r="N1067" s="22"/>
      <c r="O1067" s="22"/>
      <c r="P1067" s="22"/>
      <c r="Q1067" s="22"/>
      <c r="R1067" s="22"/>
      <c r="S1067" s="22"/>
      <c r="Z1067" s="53"/>
      <c r="AA1067"/>
      <c r="AH1067" t="str">
        <f t="shared" si="164"/>
        <v>k yet</v>
      </c>
    </row>
    <row r="1068" spans="1:39">
      <c r="A1068" s="42" t="s">
        <v>248</v>
      </c>
      <c r="B1068" s="1" t="s">
        <v>20</v>
      </c>
      <c r="C1068" s="40" t="str">
        <f t="shared" si="161"/>
        <v>03-&gt;</v>
      </c>
      <c r="D1068" s="40" t="str">
        <f t="shared" si="162"/>
        <v xml:space="preserve">No pick yet                                                 </v>
      </c>
      <c r="E1068" s="52">
        <f t="shared" si="163"/>
        <v>0</v>
      </c>
      <c r="F1068" s="18"/>
      <c r="L1068" s="21"/>
      <c r="N1068" s="22"/>
      <c r="O1068" s="22"/>
      <c r="P1068" s="18"/>
      <c r="Q1068" s="22"/>
      <c r="R1068" s="22"/>
      <c r="S1068" s="22"/>
      <c r="Z1068" s="53"/>
      <c r="AA1068"/>
      <c r="AH1068" t="str">
        <f t="shared" si="164"/>
        <v>k yet</v>
      </c>
    </row>
    <row r="1069" spans="1:39">
      <c r="A1069" s="42" t="s">
        <v>249</v>
      </c>
      <c r="B1069" s="1" t="s">
        <v>20</v>
      </c>
      <c r="C1069" s="40" t="str">
        <f t="shared" si="161"/>
        <v>04-&gt;</v>
      </c>
      <c r="D1069" s="40" t="str">
        <f t="shared" si="162"/>
        <v xml:space="preserve">No pick yet                                                 </v>
      </c>
      <c r="E1069" s="52">
        <f t="shared" si="163"/>
        <v>0</v>
      </c>
      <c r="F1069" s="18"/>
      <c r="M1069" s="18"/>
      <c r="N1069" s="18"/>
      <c r="O1069" s="18"/>
      <c r="P1069" s="18"/>
      <c r="Q1069" s="22"/>
      <c r="R1069" s="21"/>
      <c r="S1069" s="21"/>
      <c r="T1069" s="21"/>
      <c r="AA1069"/>
      <c r="AH1069" t="str">
        <f t="shared" si="164"/>
        <v>k yet</v>
      </c>
    </row>
    <row r="1070" spans="1:39">
      <c r="A1070" s="42" t="s">
        <v>250</v>
      </c>
      <c r="B1070" s="1" t="s">
        <v>20</v>
      </c>
      <c r="C1070" s="40" t="str">
        <f t="shared" si="161"/>
        <v>05-&gt;</v>
      </c>
      <c r="D1070" s="40" t="str">
        <f t="shared" si="162"/>
        <v xml:space="preserve">No pick yet                                                 </v>
      </c>
      <c r="E1070" s="52">
        <f t="shared" si="163"/>
        <v>0</v>
      </c>
      <c r="F1070" s="18"/>
      <c r="M1070" s="18"/>
      <c r="N1070" s="18"/>
      <c r="O1070" s="18"/>
      <c r="P1070" s="18"/>
      <c r="Q1070" s="22"/>
      <c r="R1070" s="21"/>
      <c r="S1070" s="21"/>
      <c r="T1070" s="21"/>
      <c r="AA1070"/>
      <c r="AH1070" t="str">
        <f t="shared" si="164"/>
        <v>k yet</v>
      </c>
    </row>
    <row r="1071" spans="1:39">
      <c r="A1071" s="42" t="s">
        <v>251</v>
      </c>
      <c r="B1071" s="1" t="s">
        <v>20</v>
      </c>
      <c r="C1071" s="40" t="str">
        <f t="shared" si="161"/>
        <v>06-&gt;</v>
      </c>
      <c r="D1071" s="40" t="str">
        <f t="shared" si="162"/>
        <v xml:space="preserve">No pick yet                                                 </v>
      </c>
      <c r="E1071" s="52">
        <f t="shared" si="163"/>
        <v>0</v>
      </c>
      <c r="F1071" s="18"/>
      <c r="M1071" s="18"/>
      <c r="N1071" s="18"/>
      <c r="O1071" s="18"/>
      <c r="P1071" s="18"/>
      <c r="Q1071" s="22"/>
      <c r="R1071" s="21"/>
      <c r="S1071" s="21"/>
      <c r="T1071" s="21"/>
      <c r="AA1071"/>
      <c r="AH1071" t="str">
        <f t="shared" si="164"/>
        <v>k yet</v>
      </c>
    </row>
    <row r="1072" spans="1:39">
      <c r="A1072" s="42" t="s">
        <v>252</v>
      </c>
      <c r="B1072" s="1" t="s">
        <v>20</v>
      </c>
      <c r="C1072" s="40" t="str">
        <f t="shared" si="161"/>
        <v>07-&gt;</v>
      </c>
      <c r="D1072" s="40" t="str">
        <f t="shared" si="162"/>
        <v xml:space="preserve">No pick yet                                                 </v>
      </c>
      <c r="E1072" s="52">
        <f t="shared" si="163"/>
        <v>0</v>
      </c>
      <c r="F1072" s="18"/>
      <c r="M1072" s="18"/>
      <c r="N1072" s="18"/>
      <c r="O1072" s="18"/>
      <c r="P1072" s="18"/>
      <c r="Q1072" s="22"/>
      <c r="R1072" s="21"/>
      <c r="S1072" s="21"/>
      <c r="T1072" s="21"/>
      <c r="AA1072"/>
      <c r="AH1072" t="str">
        <f t="shared" si="164"/>
        <v>k yet</v>
      </c>
    </row>
    <row r="1073" spans="1:34">
      <c r="A1073" s="42" t="s">
        <v>253</v>
      </c>
      <c r="B1073" s="1" t="s">
        <v>20</v>
      </c>
      <c r="C1073" s="40" t="str">
        <f t="shared" si="161"/>
        <v>08-&gt;</v>
      </c>
      <c r="D1073" s="40" t="str">
        <f t="shared" si="162"/>
        <v xml:space="preserve">No pick yet                                                 </v>
      </c>
      <c r="E1073" s="52">
        <f t="shared" si="163"/>
        <v>0</v>
      </c>
      <c r="F1073" s="18"/>
      <c r="G1073" s="22"/>
      <c r="I1073" s="22"/>
      <c r="J1073" s="22"/>
      <c r="M1073" s="18"/>
      <c r="N1073" s="18"/>
      <c r="O1073" s="18"/>
      <c r="P1073" s="18"/>
      <c r="Q1073" s="22"/>
      <c r="R1073" s="21"/>
      <c r="S1073" s="21"/>
      <c r="T1073" s="21"/>
      <c r="AA1073"/>
      <c r="AH1073" t="str">
        <f t="shared" si="164"/>
        <v>k yet</v>
      </c>
    </row>
    <row r="1074" spans="1:34">
      <c r="A1074" s="42" t="s">
        <v>254</v>
      </c>
      <c r="B1074" s="1" t="s">
        <v>20</v>
      </c>
      <c r="C1074" s="40" t="str">
        <f t="shared" si="161"/>
        <v>09-&gt;</v>
      </c>
      <c r="D1074" s="40" t="str">
        <f t="shared" si="162"/>
        <v xml:space="preserve">No pick yet                                                 </v>
      </c>
      <c r="E1074" s="52">
        <f t="shared" si="163"/>
        <v>0</v>
      </c>
      <c r="F1074" s="18"/>
      <c r="H1074" s="21"/>
      <c r="I1074" s="22"/>
      <c r="J1074" s="22"/>
      <c r="M1074" s="18"/>
      <c r="N1074" s="18"/>
      <c r="O1074" s="18"/>
      <c r="P1074" s="18"/>
      <c r="Q1074" s="22"/>
      <c r="R1074" s="21"/>
      <c r="S1074" s="21"/>
      <c r="T1074" s="21"/>
      <c r="AA1074"/>
      <c r="AH1074" t="str">
        <f t="shared" si="164"/>
        <v>k yet</v>
      </c>
    </row>
    <row r="1075" spans="1:34">
      <c r="A1075" s="42" t="s">
        <v>255</v>
      </c>
      <c r="B1075" s="1" t="s">
        <v>20</v>
      </c>
      <c r="C1075" s="40" t="str">
        <f t="shared" si="161"/>
        <v>10-&gt;</v>
      </c>
      <c r="D1075" s="40" t="str">
        <f t="shared" si="162"/>
        <v xml:space="preserve">No pick yet                                                 </v>
      </c>
      <c r="E1075" s="52">
        <f t="shared" si="163"/>
        <v>0</v>
      </c>
      <c r="F1075" s="22"/>
      <c r="M1075" s="18"/>
      <c r="N1075" s="18"/>
      <c r="O1075" s="18"/>
      <c r="P1075" s="18"/>
      <c r="Q1075" s="22"/>
      <c r="R1075" s="21"/>
      <c r="S1075" s="21"/>
      <c r="T1075" s="21"/>
      <c r="AA1075"/>
      <c r="AH1075" t="str">
        <f t="shared" si="164"/>
        <v>k yet</v>
      </c>
    </row>
    <row r="1076" spans="1:34">
      <c r="A1076" s="42" t="s">
        <v>256</v>
      </c>
      <c r="B1076" s="1" t="s">
        <v>20</v>
      </c>
      <c r="C1076" s="40" t="str">
        <f t="shared" si="161"/>
        <v>11-&gt;</v>
      </c>
      <c r="D1076" s="40" t="str">
        <f t="shared" si="162"/>
        <v xml:space="preserve">No pick yet                                                 </v>
      </c>
      <c r="E1076" s="52">
        <f t="shared" si="163"/>
        <v>0</v>
      </c>
      <c r="M1076" s="18"/>
      <c r="N1076" s="18"/>
      <c r="O1076" s="18"/>
      <c r="P1076" s="18"/>
      <c r="Q1076" s="22"/>
      <c r="R1076" s="21"/>
      <c r="S1076" s="21"/>
      <c r="T1076" s="21"/>
      <c r="AA1076"/>
      <c r="AH1076" t="str">
        <f t="shared" si="164"/>
        <v>k yet</v>
      </c>
    </row>
    <row r="1077" spans="1:34">
      <c r="A1077" s="42" t="s">
        <v>257</v>
      </c>
      <c r="B1077" s="1" t="s">
        <v>20</v>
      </c>
      <c r="C1077" s="40" t="str">
        <f t="shared" si="161"/>
        <v>12-&gt;</v>
      </c>
      <c r="D1077" s="40" t="str">
        <f t="shared" si="162"/>
        <v xml:space="preserve">No pick yet                                                 </v>
      </c>
      <c r="E1077" s="52">
        <f t="shared" si="163"/>
        <v>0</v>
      </c>
      <c r="M1077" s="18"/>
      <c r="N1077" s="18"/>
      <c r="O1077" s="18"/>
      <c r="P1077" s="18"/>
      <c r="Q1077" s="22"/>
      <c r="R1077" s="21"/>
      <c r="S1077" s="21"/>
      <c r="T1077" s="21"/>
      <c r="AA1077"/>
      <c r="AH1077" t="str">
        <f t="shared" si="164"/>
        <v>k yet</v>
      </c>
    </row>
    <row r="1078" spans="1:34">
      <c r="A1078" s="42" t="s">
        <v>258</v>
      </c>
      <c r="B1078" s="1" t="s">
        <v>20</v>
      </c>
      <c r="C1078" s="40" t="str">
        <f t="shared" si="161"/>
        <v>13-&gt;</v>
      </c>
      <c r="D1078" s="40" t="str">
        <f t="shared" si="162"/>
        <v xml:space="preserve">No pick yet                                                 </v>
      </c>
      <c r="E1078" s="52">
        <f t="shared" si="163"/>
        <v>0</v>
      </c>
      <c r="M1078" s="18"/>
      <c r="N1078" s="18"/>
      <c r="O1078" s="18"/>
      <c r="P1078" s="18"/>
      <c r="Q1078" s="22"/>
      <c r="R1078" s="21"/>
      <c r="S1078" s="21"/>
      <c r="T1078" s="21"/>
      <c r="AA1078"/>
      <c r="AH1078" t="str">
        <f t="shared" si="164"/>
        <v>k yet</v>
      </c>
    </row>
    <row r="1079" spans="1:34">
      <c r="A1079" s="42" t="s">
        <v>259</v>
      </c>
      <c r="B1079" s="1" t="s">
        <v>20</v>
      </c>
      <c r="C1079" s="40" t="str">
        <f t="shared" si="161"/>
        <v>14-&gt;</v>
      </c>
      <c r="D1079" s="40" t="str">
        <f t="shared" si="162"/>
        <v xml:space="preserve">No pick yet                                                 </v>
      </c>
      <c r="E1079" s="52">
        <f t="shared" si="163"/>
        <v>0</v>
      </c>
      <c r="M1079" s="18"/>
      <c r="N1079" s="18"/>
      <c r="O1079" s="18"/>
      <c r="P1079" s="18"/>
      <c r="Q1079" s="22"/>
      <c r="R1079" s="21"/>
      <c r="S1079" s="21"/>
      <c r="T1079" s="21"/>
      <c r="AA1079"/>
      <c r="AH1079" t="str">
        <f t="shared" si="164"/>
        <v>k yet</v>
      </c>
    </row>
    <row r="1080" spans="1:34">
      <c r="A1080" s="42" t="s">
        <v>260</v>
      </c>
      <c r="B1080" s="1" t="s">
        <v>20</v>
      </c>
      <c r="C1080" s="40" t="str">
        <f t="shared" si="161"/>
        <v>15-&gt;</v>
      </c>
      <c r="D1080" s="40" t="str">
        <f t="shared" si="162"/>
        <v xml:space="preserve">No pick yet                                                 </v>
      </c>
      <c r="E1080" s="52">
        <f t="shared" si="163"/>
        <v>0</v>
      </c>
      <c r="M1080" s="18"/>
      <c r="N1080" s="18"/>
      <c r="O1080" s="18"/>
      <c r="P1080" s="18"/>
      <c r="Q1080" s="22"/>
      <c r="R1080" s="21"/>
      <c r="S1080" s="21"/>
      <c r="T1080" s="21"/>
      <c r="AA1080"/>
      <c r="AH1080" t="str">
        <f t="shared" si="164"/>
        <v>k yet</v>
      </c>
    </row>
    <row r="1081" spans="1:34">
      <c r="A1081" s="42" t="s">
        <v>261</v>
      </c>
      <c r="B1081" s="1" t="s">
        <v>20</v>
      </c>
      <c r="C1081" s="40" t="str">
        <f t="shared" si="161"/>
        <v>16-&gt;</v>
      </c>
      <c r="D1081" s="40" t="str">
        <f t="shared" si="162"/>
        <v xml:space="preserve">No pick yet                                                 </v>
      </c>
      <c r="E1081" s="52">
        <f t="shared" si="163"/>
        <v>0</v>
      </c>
      <c r="M1081" s="18"/>
      <c r="N1081" s="18"/>
      <c r="O1081" s="18"/>
      <c r="P1081" s="18"/>
      <c r="Q1081" s="22"/>
      <c r="R1081" s="21"/>
      <c r="S1081" s="21"/>
      <c r="T1081" s="21"/>
      <c r="AA1081"/>
      <c r="AH1081" t="str">
        <f t="shared" si="164"/>
        <v>k yet</v>
      </c>
    </row>
    <row r="1082" spans="1:34">
      <c r="A1082" s="42" t="s">
        <v>262</v>
      </c>
      <c r="B1082" s="1" t="s">
        <v>20</v>
      </c>
      <c r="C1082" s="40" t="str">
        <f t="shared" si="161"/>
        <v>17-&gt;</v>
      </c>
      <c r="D1082" s="40" t="str">
        <f t="shared" si="162"/>
        <v xml:space="preserve">No pick yet                                                 </v>
      </c>
      <c r="E1082" s="52">
        <f t="shared" si="163"/>
        <v>0</v>
      </c>
      <c r="K1082" s="22"/>
      <c r="N1082" s="22"/>
      <c r="O1082" s="22"/>
      <c r="P1082" s="22"/>
      <c r="Q1082" s="22"/>
      <c r="R1082" s="22"/>
      <c r="S1082" s="22"/>
      <c r="Z1082" s="53"/>
      <c r="AA1082"/>
      <c r="AH1082" t="str">
        <f t="shared" si="164"/>
        <v>k yet</v>
      </c>
    </row>
    <row r="1083" spans="1:34">
      <c r="A1083" s="42" t="s">
        <v>263</v>
      </c>
      <c r="B1083" s="1" t="s">
        <v>20</v>
      </c>
      <c r="C1083" s="40" t="str">
        <f t="shared" si="161"/>
        <v>18-&gt;</v>
      </c>
      <c r="D1083" s="40" t="str">
        <f t="shared" si="162"/>
        <v xml:space="preserve">No pick yet                                                 </v>
      </c>
      <c r="E1083" s="52">
        <f t="shared" si="163"/>
        <v>0</v>
      </c>
      <c r="F1083" s="18"/>
      <c r="L1083" s="21"/>
      <c r="N1083" s="22"/>
      <c r="O1083" s="22"/>
      <c r="P1083" s="18"/>
      <c r="Q1083" s="22"/>
      <c r="R1083" s="22"/>
      <c r="S1083" s="22"/>
      <c r="Z1083" s="53"/>
      <c r="AA1083"/>
      <c r="AH1083" t="str">
        <f t="shared" si="164"/>
        <v>k yet</v>
      </c>
    </row>
    <row r="1084" spans="1:34">
      <c r="A1084" s="42" t="s">
        <v>264</v>
      </c>
      <c r="B1084" s="1" t="s">
        <v>20</v>
      </c>
      <c r="C1084" s="40" t="str">
        <f t="shared" si="161"/>
        <v>19-&gt;</v>
      </c>
      <c r="D1084" s="40" t="str">
        <f t="shared" si="162"/>
        <v xml:space="preserve">No pick yet                                                 </v>
      </c>
      <c r="E1084" s="52">
        <f t="shared" si="163"/>
        <v>0</v>
      </c>
      <c r="F1084" s="18"/>
      <c r="M1084" s="18"/>
      <c r="N1084" s="18"/>
      <c r="O1084" s="18"/>
      <c r="P1084" s="18"/>
      <c r="Q1084" s="22"/>
      <c r="R1084" s="21"/>
      <c r="S1084" s="21"/>
      <c r="T1084" s="21"/>
      <c r="AA1084"/>
      <c r="AH1084" t="str">
        <f t="shared" si="164"/>
        <v>k yet</v>
      </c>
    </row>
    <row r="1085" spans="1:34">
      <c r="A1085" s="42" t="s">
        <v>265</v>
      </c>
      <c r="B1085" s="1" t="s">
        <v>20</v>
      </c>
      <c r="C1085" s="40" t="str">
        <f t="shared" si="161"/>
        <v>20-&gt;</v>
      </c>
      <c r="D1085" s="40" t="str">
        <f t="shared" si="162"/>
        <v xml:space="preserve">No pick yet                                                 </v>
      </c>
      <c r="E1085" s="52">
        <f t="shared" si="163"/>
        <v>0</v>
      </c>
      <c r="F1085" s="18"/>
      <c r="M1085" s="18"/>
      <c r="N1085" s="18"/>
      <c r="O1085" s="18"/>
      <c r="P1085" s="18"/>
      <c r="Q1085" s="22"/>
      <c r="R1085" s="21"/>
      <c r="S1085" s="21"/>
      <c r="T1085" s="21"/>
      <c r="AA1085"/>
      <c r="AH1085" t="str">
        <f t="shared" si="164"/>
        <v>k yet</v>
      </c>
    </row>
    <row r="1086" spans="1:34">
      <c r="A1086" s="42" t="s">
        <v>266</v>
      </c>
      <c r="B1086" s="1" t="s">
        <v>20</v>
      </c>
      <c r="C1086" s="40" t="str">
        <f t="shared" si="161"/>
        <v>21-&gt;</v>
      </c>
      <c r="D1086" s="40" t="str">
        <f t="shared" si="162"/>
        <v xml:space="preserve">No pick yet                                                 </v>
      </c>
      <c r="E1086" s="52">
        <f t="shared" si="163"/>
        <v>0</v>
      </c>
      <c r="F1086" s="18"/>
      <c r="M1086" s="18"/>
      <c r="N1086" s="18"/>
      <c r="O1086" s="18"/>
      <c r="P1086" s="18"/>
      <c r="Q1086" s="22"/>
      <c r="R1086" s="21"/>
      <c r="S1086" s="21"/>
      <c r="T1086" s="21"/>
      <c r="AA1086"/>
      <c r="AH1086" t="str">
        <f t="shared" si="164"/>
        <v>k yet</v>
      </c>
    </row>
    <row r="1087" spans="1:34">
      <c r="A1087" s="42" t="s">
        <v>267</v>
      </c>
      <c r="B1087" s="1" t="s">
        <v>20</v>
      </c>
      <c r="C1087" s="40" t="str">
        <f t="shared" si="161"/>
        <v>22-&gt;</v>
      </c>
      <c r="D1087" s="40" t="str">
        <f t="shared" si="162"/>
        <v xml:space="preserve">No pick yet                                                 </v>
      </c>
      <c r="E1087" s="52">
        <f t="shared" si="163"/>
        <v>0</v>
      </c>
      <c r="F1087" s="18"/>
      <c r="M1087" s="18"/>
      <c r="N1087" s="18"/>
      <c r="O1087" s="18"/>
      <c r="P1087" s="18"/>
      <c r="Q1087" s="22"/>
      <c r="R1087" s="21"/>
      <c r="S1087" s="21"/>
      <c r="T1087" s="21"/>
      <c r="AA1087"/>
      <c r="AH1087" t="str">
        <f t="shared" si="164"/>
        <v>k yet</v>
      </c>
    </row>
    <row r="1088" spans="1:34">
      <c r="A1088" s="42" t="s">
        <v>268</v>
      </c>
      <c r="B1088" s="1" t="s">
        <v>20</v>
      </c>
      <c r="C1088" s="40" t="str">
        <f t="shared" si="161"/>
        <v>23-&gt;</v>
      </c>
      <c r="D1088" s="40" t="str">
        <f t="shared" si="162"/>
        <v xml:space="preserve">No pick yet                                                 </v>
      </c>
      <c r="E1088" s="52">
        <f t="shared" si="163"/>
        <v>0</v>
      </c>
      <c r="F1088" s="18"/>
      <c r="G1088" s="22"/>
      <c r="I1088" s="22"/>
      <c r="J1088" s="22"/>
      <c r="M1088" s="18"/>
      <c r="N1088" s="18"/>
      <c r="O1088" s="18"/>
      <c r="P1088" s="18"/>
      <c r="Q1088" s="22"/>
      <c r="R1088" s="21"/>
      <c r="S1088" s="21"/>
      <c r="T1088" s="21"/>
      <c r="AA1088"/>
      <c r="AH1088" t="str">
        <f t="shared" si="164"/>
        <v>k yet</v>
      </c>
    </row>
    <row r="1089" spans="1:39">
      <c r="A1089" s="42" t="s">
        <v>269</v>
      </c>
      <c r="B1089" s="1" t="s">
        <v>20</v>
      </c>
      <c r="C1089" s="40" t="str">
        <f t="shared" si="161"/>
        <v>24-&gt;</v>
      </c>
      <c r="D1089" s="40" t="str">
        <f t="shared" si="162"/>
        <v xml:space="preserve">No pick yet                                                 </v>
      </c>
      <c r="E1089" s="52">
        <f t="shared" si="163"/>
        <v>0</v>
      </c>
      <c r="F1089" s="18"/>
      <c r="H1089" s="21"/>
      <c r="I1089" s="22"/>
      <c r="J1089" s="22"/>
      <c r="M1089" s="18"/>
      <c r="N1089" s="18"/>
      <c r="O1089" s="18"/>
      <c r="P1089" s="18"/>
      <c r="Q1089" s="22"/>
      <c r="R1089" s="21"/>
      <c r="S1089" s="21"/>
      <c r="T1089" s="21"/>
      <c r="AA1089"/>
      <c r="AH1089" t="str">
        <f t="shared" si="164"/>
        <v>k yet</v>
      </c>
    </row>
    <row r="1090" spans="1:39">
      <c r="A1090" s="42" t="s">
        <v>270</v>
      </c>
      <c r="B1090" s="1" t="s">
        <v>20</v>
      </c>
      <c r="C1090" s="40" t="str">
        <f t="shared" si="161"/>
        <v>25-&gt;</v>
      </c>
      <c r="D1090" s="40" t="str">
        <f t="shared" si="162"/>
        <v xml:space="preserve">No pick yet                                                 </v>
      </c>
      <c r="E1090" s="52">
        <f t="shared" si="163"/>
        <v>0</v>
      </c>
      <c r="F1090" s="18"/>
      <c r="M1090" s="18"/>
      <c r="N1090" s="18"/>
      <c r="O1090" s="18"/>
      <c r="P1090" s="18"/>
      <c r="Q1090" s="22"/>
      <c r="R1090" s="21"/>
      <c r="S1090" s="21"/>
      <c r="T1090" s="21"/>
      <c r="AA1090"/>
      <c r="AH1090" t="str">
        <f t="shared" si="164"/>
        <v>k yet</v>
      </c>
    </row>
    <row r="1091" spans="1:39">
      <c r="A1091" s="42" t="s">
        <v>271</v>
      </c>
      <c r="B1091" s="1" t="s">
        <v>20</v>
      </c>
      <c r="C1091" s="40" t="str">
        <f t="shared" si="161"/>
        <v>26-&gt;</v>
      </c>
      <c r="D1091" s="40" t="str">
        <f t="shared" si="162"/>
        <v xml:space="preserve">No pick yet                                                 </v>
      </c>
      <c r="E1091" s="52">
        <f t="shared" si="163"/>
        <v>0</v>
      </c>
      <c r="F1091" s="18"/>
      <c r="M1091" s="18"/>
      <c r="N1091" s="18"/>
      <c r="O1091" s="18"/>
      <c r="P1091" s="18"/>
      <c r="Q1091" s="22"/>
      <c r="R1091" s="21"/>
      <c r="S1091" s="21"/>
      <c r="T1091" s="21"/>
      <c r="AA1091"/>
      <c r="AH1091" t="str">
        <f t="shared" si="164"/>
        <v>k yet</v>
      </c>
    </row>
    <row r="1092" spans="1:39">
      <c r="A1092" s="38"/>
      <c r="B1092" s="40"/>
      <c r="C1092" s="40"/>
      <c r="D1092" s="49"/>
      <c r="E1092" s="41" t="s">
        <v>69</v>
      </c>
      <c r="F1092" s="18"/>
      <c r="K1092" s="22" t="s">
        <v>73</v>
      </c>
      <c r="L1092" s="18" t="s">
        <v>74</v>
      </c>
      <c r="M1092" s="22" t="s">
        <v>78</v>
      </c>
      <c r="N1092" s="22" t="s">
        <v>79</v>
      </c>
      <c r="O1092" s="22" t="s">
        <v>80</v>
      </c>
      <c r="P1092" s="22" t="s">
        <v>81</v>
      </c>
      <c r="Q1092" s="22" t="s">
        <v>82</v>
      </c>
      <c r="R1092" s="22" t="s">
        <v>83</v>
      </c>
      <c r="S1092" s="22" t="s">
        <v>84</v>
      </c>
      <c r="T1092" s="18" t="s">
        <v>85</v>
      </c>
      <c r="U1092" s="18" t="s">
        <v>86</v>
      </c>
      <c r="V1092" s="18" t="s">
        <v>87</v>
      </c>
      <c r="W1092" s="18" t="s">
        <v>88</v>
      </c>
      <c r="X1092" s="18" t="s">
        <v>89</v>
      </c>
      <c r="Y1092" s="18" t="s">
        <v>90</v>
      </c>
      <c r="Z1092" s="18" t="s">
        <v>91</v>
      </c>
      <c r="AA1092" s="18" t="s">
        <v>92</v>
      </c>
      <c r="AB1092" s="18" t="s">
        <v>93</v>
      </c>
      <c r="AC1092" s="18" t="s">
        <v>94</v>
      </c>
      <c r="AD1092" s="18" t="s">
        <v>235</v>
      </c>
      <c r="AE1092" s="18" t="s">
        <v>236</v>
      </c>
      <c r="AF1092" s="18" t="s">
        <v>237</v>
      </c>
      <c r="AG1092" s="18" t="s">
        <v>238</v>
      </c>
      <c r="AH1092" s="18" t="s">
        <v>239</v>
      </c>
      <c r="AI1092" s="18" t="s">
        <v>240</v>
      </c>
      <c r="AJ1092" s="18" t="s">
        <v>241</v>
      </c>
      <c r="AK1092" s="18" t="s">
        <v>242</v>
      </c>
      <c r="AL1092" s="18" t="s">
        <v>243</v>
      </c>
      <c r="AM1092" s="50" t="s">
        <v>244</v>
      </c>
    </row>
    <row r="1093" spans="1:39">
      <c r="A1093" s="40" t="s">
        <v>245</v>
      </c>
      <c r="B1093" s="51" t="str">
        <f>D38</f>
        <v/>
      </c>
      <c r="C1093" s="40" t="str">
        <f t="shared" ref="C1093:C1119" si="165">A1093</f>
        <v>#</v>
      </c>
      <c r="D1093" s="40" t="str">
        <f>"   "&amp;B1093&amp;REPT(" ",$AH$70-LEN(B1093)-3)</f>
        <v xml:space="preserve">                                                            </v>
      </c>
      <c r="E1093" s="38" t="str">
        <f>SUM(E1094:E1119)&amp;" pts[/b]"</f>
        <v>0 pts[/b]</v>
      </c>
      <c r="F1093" s="21">
        <f>SUM(E1094:E1119)</f>
        <v>0</v>
      </c>
      <c r="K1093" s="18">
        <f>COUNTIF(E1094:E1119,"&gt;0")</f>
        <v>0</v>
      </c>
      <c r="L1093" s="21">
        <f>AM1093-K1093</f>
        <v>0</v>
      </c>
      <c r="M1093" s="22">
        <f>MAX(E1094:E1119)</f>
        <v>0</v>
      </c>
      <c r="N1093" s="22">
        <f>LARGE(E1094:E1119,2)</f>
        <v>0</v>
      </c>
      <c r="O1093" s="22">
        <f>LARGE(E1094:E1119,3)</f>
        <v>0</v>
      </c>
      <c r="P1093" s="18">
        <f>LARGE(E1094:E1119,4)</f>
        <v>0</v>
      </c>
      <c r="Q1093" s="22">
        <f>LARGE(E1094:E1119,5)</f>
        <v>0</v>
      </c>
      <c r="R1093" s="22">
        <f>LARGE(E1094:E1119,6)</f>
        <v>0</v>
      </c>
      <c r="S1093" s="22">
        <f>LARGE(E1094:E1119,7)</f>
        <v>0</v>
      </c>
      <c r="T1093" s="18">
        <f>LARGE(E1094:E1119,8)</f>
        <v>0</v>
      </c>
      <c r="U1093" s="18">
        <f>LARGE(E1094:E1119,9)</f>
        <v>0</v>
      </c>
      <c r="V1093" s="18">
        <f>LARGE(E1094:E1119,10)</f>
        <v>0</v>
      </c>
      <c r="W1093" s="18">
        <f>LARGE(E1094:E1119,11)</f>
        <v>0</v>
      </c>
      <c r="X1093" s="18">
        <f>LARGE(E1094:E1119,12)</f>
        <v>0</v>
      </c>
      <c r="Y1093" s="18">
        <f>LARGE(E1094:E1119,13)</f>
        <v>0</v>
      </c>
      <c r="Z1093" s="18">
        <f>LARGE(E1094:E1119,14)</f>
        <v>0</v>
      </c>
      <c r="AA1093" s="18">
        <f>LARGE(E1094:E1119,15)</f>
        <v>0</v>
      </c>
      <c r="AB1093" s="18">
        <f>LARGE(E1094:E1119,16)</f>
        <v>0</v>
      </c>
      <c r="AC1093" s="18">
        <f>LARGE(E1094:E1119,17)</f>
        <v>0</v>
      </c>
      <c r="AD1093" s="18">
        <f>LARGE(E1094:E1120,13)</f>
        <v>0</v>
      </c>
      <c r="AE1093" s="18">
        <f>LARGE(E1094:E1119,19)</f>
        <v>0</v>
      </c>
      <c r="AF1093" s="18">
        <f>LARGE(E1094:E1119,20)</f>
        <v>0</v>
      </c>
      <c r="AG1093" s="18">
        <f>LARGE(E1094:E1119,21)</f>
        <v>0</v>
      </c>
      <c r="AH1093" s="18">
        <f>LARGE(E1094:E1119,22)</f>
        <v>0</v>
      </c>
      <c r="AI1093" s="18">
        <f>LARGE(E1094:E1119,23)</f>
        <v>0</v>
      </c>
      <c r="AJ1093" s="18">
        <f>LARGE(E1094:E1119,24)</f>
        <v>0</v>
      </c>
      <c r="AK1093" s="18">
        <f>LARGE(E1094:E1119,25)</f>
        <v>0</v>
      </c>
      <c r="AL1093" s="18">
        <f>LARGE(E1094:E1119,26)</f>
        <v>0</v>
      </c>
      <c r="AM1093" s="50">
        <f>COUNTIF(AH1094:AH1119,"&lt;&gt;"&amp;AH76)-(26-COUNTIF(E1094:E1119,"&gt;=0"))</f>
        <v>0</v>
      </c>
    </row>
    <row r="1094" spans="1:39">
      <c r="A1094" s="42" t="s">
        <v>246</v>
      </c>
      <c r="B1094" s="1" t="s">
        <v>20</v>
      </c>
      <c r="C1094" s="40" t="str">
        <f t="shared" si="165"/>
        <v>01-&gt;</v>
      </c>
      <c r="D1094" s="40" t="str">
        <f t="shared" ref="D1094:D1119" si="166">B1094&amp;REPT(" ",$AH$70-LEN(B1094))</f>
        <v xml:space="preserve">No pick yet                                                 </v>
      </c>
      <c r="E1094" s="52">
        <f t="shared" ref="E1094:E1119" si="167">VLOOKUP(RIGHT(B1094,LEN(B1094)-$AH$66),$H$138:$I$420,2,0)</f>
        <v>0</v>
      </c>
      <c r="F1094" s="18"/>
      <c r="M1094" s="18"/>
      <c r="N1094" s="18"/>
      <c r="O1094" s="18"/>
      <c r="P1094" s="18"/>
      <c r="Q1094" s="22"/>
      <c r="R1094" s="21"/>
      <c r="S1094" s="21"/>
      <c r="T1094" s="21"/>
      <c r="AA1094"/>
      <c r="AH1094" t="str">
        <f t="shared" ref="AH1094:AH1119" si="168">RIGHT(B1094,LEN(B1094)-$AH$66)</f>
        <v>k yet</v>
      </c>
    </row>
    <row r="1095" spans="1:39">
      <c r="A1095" s="42" t="s">
        <v>247</v>
      </c>
      <c r="B1095" s="1" t="s">
        <v>20</v>
      </c>
      <c r="C1095" s="40" t="str">
        <f t="shared" si="165"/>
        <v>02-&gt;</v>
      </c>
      <c r="D1095" s="40" t="str">
        <f t="shared" si="166"/>
        <v xml:space="preserve">No pick yet                                                 </v>
      </c>
      <c r="E1095" s="52">
        <f t="shared" si="167"/>
        <v>0</v>
      </c>
      <c r="F1095" s="18"/>
      <c r="K1095" s="22"/>
      <c r="N1095" s="22"/>
      <c r="O1095" s="22"/>
      <c r="P1095" s="22"/>
      <c r="Q1095" s="22"/>
      <c r="R1095" s="22"/>
      <c r="S1095" s="22"/>
      <c r="Z1095" s="53"/>
      <c r="AA1095"/>
      <c r="AH1095" t="str">
        <f t="shared" si="168"/>
        <v>k yet</v>
      </c>
    </row>
    <row r="1096" spans="1:39">
      <c r="A1096" s="42" t="s">
        <v>248</v>
      </c>
      <c r="B1096" s="1" t="s">
        <v>20</v>
      </c>
      <c r="C1096" s="40" t="str">
        <f t="shared" si="165"/>
        <v>03-&gt;</v>
      </c>
      <c r="D1096" s="40" t="str">
        <f t="shared" si="166"/>
        <v xml:space="preserve">No pick yet                                                 </v>
      </c>
      <c r="E1096" s="52">
        <f t="shared" si="167"/>
        <v>0</v>
      </c>
      <c r="F1096" s="18"/>
      <c r="L1096" s="21"/>
      <c r="N1096" s="22"/>
      <c r="O1096" s="22"/>
      <c r="P1096" s="18"/>
      <c r="Q1096" s="22"/>
      <c r="R1096" s="22"/>
      <c r="S1096" s="22"/>
      <c r="Z1096" s="53"/>
      <c r="AA1096"/>
      <c r="AH1096" t="str">
        <f t="shared" si="168"/>
        <v>k yet</v>
      </c>
    </row>
    <row r="1097" spans="1:39">
      <c r="A1097" s="42" t="s">
        <v>249</v>
      </c>
      <c r="B1097" s="1" t="s">
        <v>20</v>
      </c>
      <c r="C1097" s="40" t="str">
        <f t="shared" si="165"/>
        <v>04-&gt;</v>
      </c>
      <c r="D1097" s="40" t="str">
        <f t="shared" si="166"/>
        <v xml:space="preserve">No pick yet                                                 </v>
      </c>
      <c r="E1097" s="52">
        <f t="shared" si="167"/>
        <v>0</v>
      </c>
      <c r="F1097" s="18"/>
      <c r="M1097" s="18"/>
      <c r="N1097" s="18"/>
      <c r="O1097" s="18"/>
      <c r="P1097" s="18"/>
      <c r="Q1097" s="22"/>
      <c r="R1097" s="21"/>
      <c r="S1097" s="21"/>
      <c r="T1097" s="21"/>
      <c r="AA1097"/>
      <c r="AH1097" t="str">
        <f t="shared" si="168"/>
        <v>k yet</v>
      </c>
    </row>
    <row r="1098" spans="1:39">
      <c r="A1098" s="42" t="s">
        <v>250</v>
      </c>
      <c r="B1098" s="1" t="s">
        <v>20</v>
      </c>
      <c r="C1098" s="40" t="str">
        <f t="shared" si="165"/>
        <v>05-&gt;</v>
      </c>
      <c r="D1098" s="40" t="str">
        <f t="shared" si="166"/>
        <v xml:space="preserve">No pick yet                                                 </v>
      </c>
      <c r="E1098" s="52">
        <f t="shared" si="167"/>
        <v>0</v>
      </c>
      <c r="F1098" s="18"/>
      <c r="M1098" s="18"/>
      <c r="N1098" s="18"/>
      <c r="O1098" s="18"/>
      <c r="P1098" s="18"/>
      <c r="Q1098" s="22"/>
      <c r="R1098" s="21"/>
      <c r="S1098" s="21"/>
      <c r="T1098" s="21"/>
      <c r="AA1098"/>
      <c r="AH1098" t="str">
        <f t="shared" si="168"/>
        <v>k yet</v>
      </c>
    </row>
    <row r="1099" spans="1:39">
      <c r="A1099" s="42" t="s">
        <v>251</v>
      </c>
      <c r="B1099" s="1" t="s">
        <v>20</v>
      </c>
      <c r="C1099" s="40" t="str">
        <f t="shared" si="165"/>
        <v>06-&gt;</v>
      </c>
      <c r="D1099" s="40" t="str">
        <f t="shared" si="166"/>
        <v xml:space="preserve">No pick yet                                                 </v>
      </c>
      <c r="E1099" s="52">
        <f t="shared" si="167"/>
        <v>0</v>
      </c>
      <c r="F1099" s="18"/>
      <c r="M1099" s="18"/>
      <c r="N1099" s="18"/>
      <c r="O1099" s="18"/>
      <c r="P1099" s="18"/>
      <c r="Q1099" s="22"/>
      <c r="R1099" s="21"/>
      <c r="S1099" s="21"/>
      <c r="T1099" s="21"/>
      <c r="AA1099"/>
      <c r="AH1099" t="str">
        <f t="shared" si="168"/>
        <v>k yet</v>
      </c>
    </row>
    <row r="1100" spans="1:39">
      <c r="A1100" s="42" t="s">
        <v>252</v>
      </c>
      <c r="B1100" s="1" t="s">
        <v>20</v>
      </c>
      <c r="C1100" s="40" t="str">
        <f t="shared" si="165"/>
        <v>07-&gt;</v>
      </c>
      <c r="D1100" s="40" t="str">
        <f t="shared" si="166"/>
        <v xml:space="preserve">No pick yet                                                 </v>
      </c>
      <c r="E1100" s="52">
        <f t="shared" si="167"/>
        <v>0</v>
      </c>
      <c r="F1100" s="18"/>
      <c r="M1100" s="18"/>
      <c r="N1100" s="18"/>
      <c r="O1100" s="18"/>
      <c r="P1100" s="18"/>
      <c r="Q1100" s="22"/>
      <c r="R1100" s="21"/>
      <c r="S1100" s="21"/>
      <c r="T1100" s="21"/>
      <c r="AA1100"/>
      <c r="AH1100" t="str">
        <f t="shared" si="168"/>
        <v>k yet</v>
      </c>
    </row>
    <row r="1101" spans="1:39">
      <c r="A1101" s="42" t="s">
        <v>253</v>
      </c>
      <c r="B1101" s="1" t="s">
        <v>20</v>
      </c>
      <c r="C1101" s="40" t="str">
        <f t="shared" si="165"/>
        <v>08-&gt;</v>
      </c>
      <c r="D1101" s="40" t="str">
        <f t="shared" si="166"/>
        <v xml:space="preserve">No pick yet                                                 </v>
      </c>
      <c r="E1101" s="52">
        <f t="shared" si="167"/>
        <v>0</v>
      </c>
      <c r="F1101" s="18"/>
      <c r="M1101" s="18"/>
      <c r="N1101" s="18"/>
      <c r="O1101" s="18"/>
      <c r="P1101" s="18"/>
      <c r="Q1101" s="22"/>
      <c r="R1101" s="21"/>
      <c r="S1101" s="21"/>
      <c r="T1101" s="21"/>
      <c r="AA1101"/>
      <c r="AH1101" t="str">
        <f t="shared" si="168"/>
        <v>k yet</v>
      </c>
    </row>
    <row r="1102" spans="1:39">
      <c r="A1102" s="42" t="s">
        <v>254</v>
      </c>
      <c r="B1102" s="1" t="s">
        <v>20</v>
      </c>
      <c r="C1102" s="40" t="str">
        <f t="shared" si="165"/>
        <v>09-&gt;</v>
      </c>
      <c r="D1102" s="40" t="str">
        <f t="shared" si="166"/>
        <v xml:space="preserve">No pick yet                                                 </v>
      </c>
      <c r="E1102" s="52">
        <f t="shared" si="167"/>
        <v>0</v>
      </c>
      <c r="F1102" s="18"/>
      <c r="M1102" s="18"/>
      <c r="N1102" s="18"/>
      <c r="O1102" s="18"/>
      <c r="P1102" s="18"/>
      <c r="Q1102" s="22"/>
      <c r="R1102" s="21"/>
      <c r="S1102" s="21"/>
      <c r="T1102" s="21"/>
      <c r="AA1102"/>
      <c r="AH1102" t="str">
        <f t="shared" si="168"/>
        <v>k yet</v>
      </c>
    </row>
    <row r="1103" spans="1:39">
      <c r="A1103" s="42" t="s">
        <v>255</v>
      </c>
      <c r="B1103" s="1" t="s">
        <v>20</v>
      </c>
      <c r="C1103" s="40" t="str">
        <f t="shared" si="165"/>
        <v>10-&gt;</v>
      </c>
      <c r="D1103" s="40" t="str">
        <f t="shared" si="166"/>
        <v xml:space="preserve">No pick yet                                                 </v>
      </c>
      <c r="E1103" s="52">
        <f t="shared" si="167"/>
        <v>0</v>
      </c>
      <c r="F1103" s="22"/>
      <c r="G1103" s="22"/>
      <c r="I1103" s="22"/>
      <c r="J1103" s="22"/>
      <c r="M1103" s="18"/>
      <c r="N1103" s="18"/>
      <c r="O1103" s="18"/>
      <c r="P1103" s="18"/>
      <c r="Q1103" s="22"/>
      <c r="R1103" s="21"/>
      <c r="S1103" s="21"/>
      <c r="T1103" s="21"/>
      <c r="AA1103"/>
      <c r="AH1103" t="str">
        <f t="shared" si="168"/>
        <v>k yet</v>
      </c>
    </row>
    <row r="1104" spans="1:39">
      <c r="A1104" s="42" t="s">
        <v>256</v>
      </c>
      <c r="B1104" s="1" t="s">
        <v>20</v>
      </c>
      <c r="C1104" s="40" t="str">
        <f t="shared" si="165"/>
        <v>11-&gt;</v>
      </c>
      <c r="D1104" s="40" t="str">
        <f t="shared" si="166"/>
        <v xml:space="preserve">No pick yet                                                 </v>
      </c>
      <c r="E1104" s="52">
        <f t="shared" si="167"/>
        <v>0</v>
      </c>
      <c r="H1104" s="21"/>
      <c r="I1104" s="22"/>
      <c r="J1104" s="22"/>
      <c r="M1104" s="18"/>
      <c r="N1104" s="18"/>
      <c r="O1104" s="18"/>
      <c r="P1104" s="18"/>
      <c r="Q1104" s="22"/>
      <c r="R1104" s="21"/>
      <c r="S1104" s="21"/>
      <c r="T1104" s="21"/>
      <c r="AA1104"/>
      <c r="AH1104" t="str">
        <f t="shared" si="168"/>
        <v>k yet</v>
      </c>
    </row>
    <row r="1105" spans="1:39">
      <c r="A1105" s="42" t="s">
        <v>257</v>
      </c>
      <c r="B1105" s="1" t="s">
        <v>20</v>
      </c>
      <c r="C1105" s="40" t="str">
        <f t="shared" si="165"/>
        <v>12-&gt;</v>
      </c>
      <c r="D1105" s="40" t="str">
        <f t="shared" si="166"/>
        <v xml:space="preserve">No pick yet                                                 </v>
      </c>
      <c r="E1105" s="52">
        <f t="shared" si="167"/>
        <v>0</v>
      </c>
      <c r="M1105" s="18"/>
      <c r="N1105" s="18"/>
      <c r="O1105" s="18"/>
      <c r="P1105" s="18"/>
      <c r="Q1105" s="22"/>
      <c r="R1105" s="21"/>
      <c r="S1105" s="21"/>
      <c r="T1105" s="21"/>
      <c r="AA1105"/>
      <c r="AH1105" t="str">
        <f t="shared" si="168"/>
        <v>k yet</v>
      </c>
    </row>
    <row r="1106" spans="1:39">
      <c r="A1106" s="42" t="s">
        <v>258</v>
      </c>
      <c r="B1106" s="1" t="s">
        <v>20</v>
      </c>
      <c r="C1106" s="40" t="str">
        <f t="shared" si="165"/>
        <v>13-&gt;</v>
      </c>
      <c r="D1106" s="40" t="str">
        <f t="shared" si="166"/>
        <v xml:space="preserve">No pick yet                                                 </v>
      </c>
      <c r="E1106" s="52">
        <f t="shared" si="167"/>
        <v>0</v>
      </c>
      <c r="M1106" s="18"/>
      <c r="N1106" s="18"/>
      <c r="O1106" s="18"/>
      <c r="P1106" s="18"/>
      <c r="Q1106" s="22"/>
      <c r="R1106" s="21"/>
      <c r="S1106" s="21"/>
      <c r="T1106" s="21"/>
      <c r="AA1106"/>
      <c r="AH1106" t="str">
        <f t="shared" si="168"/>
        <v>k yet</v>
      </c>
    </row>
    <row r="1107" spans="1:39">
      <c r="A1107" s="42" t="s">
        <v>259</v>
      </c>
      <c r="B1107" s="1" t="s">
        <v>20</v>
      </c>
      <c r="C1107" s="40" t="str">
        <f t="shared" si="165"/>
        <v>14-&gt;</v>
      </c>
      <c r="D1107" s="40" t="str">
        <f t="shared" si="166"/>
        <v xml:space="preserve">No pick yet                                                 </v>
      </c>
      <c r="E1107" s="52">
        <f t="shared" si="167"/>
        <v>0</v>
      </c>
      <c r="M1107" s="18"/>
      <c r="N1107" s="18"/>
      <c r="O1107" s="18"/>
      <c r="P1107" s="18"/>
      <c r="Q1107" s="22"/>
      <c r="R1107" s="21"/>
      <c r="S1107" s="21"/>
      <c r="T1107" s="21"/>
      <c r="AA1107"/>
      <c r="AH1107" t="str">
        <f t="shared" si="168"/>
        <v>k yet</v>
      </c>
    </row>
    <row r="1108" spans="1:39">
      <c r="A1108" s="42" t="s">
        <v>260</v>
      </c>
      <c r="B1108" s="1" t="s">
        <v>20</v>
      </c>
      <c r="C1108" s="40" t="str">
        <f t="shared" si="165"/>
        <v>15-&gt;</v>
      </c>
      <c r="D1108" s="40" t="str">
        <f t="shared" si="166"/>
        <v xml:space="preserve">No pick yet                                                 </v>
      </c>
      <c r="E1108" s="52">
        <f t="shared" si="167"/>
        <v>0</v>
      </c>
      <c r="M1108" s="18"/>
      <c r="N1108" s="18"/>
      <c r="O1108" s="18"/>
      <c r="P1108" s="18"/>
      <c r="Q1108" s="22"/>
      <c r="R1108" s="21"/>
      <c r="S1108" s="21"/>
      <c r="T1108" s="21"/>
      <c r="AA1108"/>
      <c r="AH1108" t="str">
        <f t="shared" si="168"/>
        <v>k yet</v>
      </c>
    </row>
    <row r="1109" spans="1:39">
      <c r="A1109" s="42" t="s">
        <v>261</v>
      </c>
      <c r="B1109" s="1" t="s">
        <v>20</v>
      </c>
      <c r="C1109" s="40" t="str">
        <f t="shared" si="165"/>
        <v>16-&gt;</v>
      </c>
      <c r="D1109" s="40" t="str">
        <f t="shared" si="166"/>
        <v xml:space="preserve">No pick yet                                                 </v>
      </c>
      <c r="E1109" s="52">
        <f t="shared" si="167"/>
        <v>0</v>
      </c>
      <c r="M1109" s="18"/>
      <c r="N1109" s="18"/>
      <c r="O1109" s="18"/>
      <c r="P1109" s="18"/>
      <c r="Q1109" s="22"/>
      <c r="R1109" s="21"/>
      <c r="S1109" s="21"/>
      <c r="T1109" s="21"/>
      <c r="AA1109"/>
      <c r="AH1109" t="str">
        <f t="shared" si="168"/>
        <v>k yet</v>
      </c>
    </row>
    <row r="1110" spans="1:39">
      <c r="A1110" s="42" t="s">
        <v>262</v>
      </c>
      <c r="B1110" s="1" t="s">
        <v>20</v>
      </c>
      <c r="C1110" s="40" t="str">
        <f t="shared" si="165"/>
        <v>17-&gt;</v>
      </c>
      <c r="D1110" s="40" t="str">
        <f t="shared" si="166"/>
        <v xml:space="preserve">No pick yet                                                 </v>
      </c>
      <c r="E1110" s="52">
        <f t="shared" si="167"/>
        <v>0</v>
      </c>
      <c r="K1110" s="22"/>
      <c r="N1110" s="22"/>
      <c r="O1110" s="22"/>
      <c r="P1110" s="22"/>
      <c r="Q1110" s="22"/>
      <c r="R1110" s="22"/>
      <c r="S1110" s="22"/>
      <c r="Z1110" s="53"/>
      <c r="AA1110"/>
      <c r="AH1110" t="str">
        <f t="shared" si="168"/>
        <v>k yet</v>
      </c>
    </row>
    <row r="1111" spans="1:39">
      <c r="A1111" s="42" t="s">
        <v>263</v>
      </c>
      <c r="B1111" s="1" t="s">
        <v>20</v>
      </c>
      <c r="C1111" s="40" t="str">
        <f t="shared" si="165"/>
        <v>18-&gt;</v>
      </c>
      <c r="D1111" s="40" t="str">
        <f t="shared" si="166"/>
        <v xml:space="preserve">No pick yet                                                 </v>
      </c>
      <c r="E1111" s="52">
        <f t="shared" si="167"/>
        <v>0</v>
      </c>
      <c r="F1111" s="18"/>
      <c r="L1111" s="21"/>
      <c r="N1111" s="22"/>
      <c r="O1111" s="22"/>
      <c r="P1111" s="18"/>
      <c r="Q1111" s="22"/>
      <c r="R1111" s="22"/>
      <c r="S1111" s="22"/>
      <c r="Z1111" s="53"/>
      <c r="AA1111"/>
      <c r="AH1111" t="str">
        <f t="shared" si="168"/>
        <v>k yet</v>
      </c>
    </row>
    <row r="1112" spans="1:39">
      <c r="A1112" s="42" t="s">
        <v>264</v>
      </c>
      <c r="B1112" s="1" t="s">
        <v>20</v>
      </c>
      <c r="C1112" s="40" t="str">
        <f t="shared" si="165"/>
        <v>19-&gt;</v>
      </c>
      <c r="D1112" s="40" t="str">
        <f t="shared" si="166"/>
        <v xml:space="preserve">No pick yet                                                 </v>
      </c>
      <c r="E1112" s="52">
        <f t="shared" si="167"/>
        <v>0</v>
      </c>
      <c r="F1112" s="18"/>
      <c r="M1112" s="18"/>
      <c r="N1112" s="18"/>
      <c r="O1112" s="18"/>
      <c r="P1112" s="18"/>
      <c r="Q1112" s="22"/>
      <c r="R1112" s="21"/>
      <c r="S1112" s="21"/>
      <c r="T1112" s="21"/>
      <c r="AA1112"/>
      <c r="AH1112" t="str">
        <f t="shared" si="168"/>
        <v>k yet</v>
      </c>
    </row>
    <row r="1113" spans="1:39">
      <c r="A1113" s="42" t="s">
        <v>265</v>
      </c>
      <c r="B1113" s="1" t="s">
        <v>20</v>
      </c>
      <c r="C1113" s="40" t="str">
        <f t="shared" si="165"/>
        <v>20-&gt;</v>
      </c>
      <c r="D1113" s="40" t="str">
        <f t="shared" si="166"/>
        <v xml:space="preserve">No pick yet                                                 </v>
      </c>
      <c r="E1113" s="52">
        <f t="shared" si="167"/>
        <v>0</v>
      </c>
      <c r="F1113" s="18"/>
      <c r="M1113" s="18"/>
      <c r="N1113" s="18"/>
      <c r="O1113" s="18"/>
      <c r="P1113" s="18"/>
      <c r="Q1113" s="22"/>
      <c r="R1113" s="21"/>
      <c r="S1113" s="21"/>
      <c r="T1113" s="21"/>
      <c r="AA1113"/>
      <c r="AH1113" t="str">
        <f t="shared" si="168"/>
        <v>k yet</v>
      </c>
    </row>
    <row r="1114" spans="1:39">
      <c r="A1114" s="42" t="s">
        <v>266</v>
      </c>
      <c r="B1114" s="1" t="s">
        <v>20</v>
      </c>
      <c r="C1114" s="40" t="str">
        <f t="shared" si="165"/>
        <v>21-&gt;</v>
      </c>
      <c r="D1114" s="40" t="str">
        <f t="shared" si="166"/>
        <v xml:space="preserve">No pick yet                                                 </v>
      </c>
      <c r="E1114" s="52">
        <f t="shared" si="167"/>
        <v>0</v>
      </c>
      <c r="F1114" s="18"/>
      <c r="M1114" s="18"/>
      <c r="N1114" s="18"/>
      <c r="O1114" s="18"/>
      <c r="P1114" s="18"/>
      <c r="Q1114" s="22"/>
      <c r="R1114" s="21"/>
      <c r="S1114" s="21"/>
      <c r="T1114" s="21"/>
      <c r="AA1114"/>
      <c r="AH1114" t="str">
        <f t="shared" si="168"/>
        <v>k yet</v>
      </c>
    </row>
    <row r="1115" spans="1:39">
      <c r="A1115" s="42" t="s">
        <v>267</v>
      </c>
      <c r="B1115" s="1" t="s">
        <v>20</v>
      </c>
      <c r="C1115" s="40" t="str">
        <f t="shared" si="165"/>
        <v>22-&gt;</v>
      </c>
      <c r="D1115" s="40" t="str">
        <f t="shared" si="166"/>
        <v xml:space="preserve">No pick yet                                                 </v>
      </c>
      <c r="E1115" s="52">
        <f t="shared" si="167"/>
        <v>0</v>
      </c>
      <c r="F1115" s="18"/>
      <c r="M1115" s="18"/>
      <c r="N1115" s="18"/>
      <c r="O1115" s="18"/>
      <c r="P1115" s="18"/>
      <c r="Q1115" s="22"/>
      <c r="R1115" s="21"/>
      <c r="S1115" s="21"/>
      <c r="T1115" s="21"/>
      <c r="AA1115"/>
      <c r="AH1115" t="str">
        <f t="shared" si="168"/>
        <v>k yet</v>
      </c>
    </row>
    <row r="1116" spans="1:39">
      <c r="A1116" s="42" t="s">
        <v>268</v>
      </c>
      <c r="B1116" s="1" t="s">
        <v>20</v>
      </c>
      <c r="C1116" s="40" t="str">
        <f t="shared" si="165"/>
        <v>23-&gt;</v>
      </c>
      <c r="D1116" s="40" t="str">
        <f t="shared" si="166"/>
        <v xml:space="preserve">No pick yet                                                 </v>
      </c>
      <c r="E1116" s="52">
        <f t="shared" si="167"/>
        <v>0</v>
      </c>
      <c r="F1116" s="18"/>
      <c r="M1116" s="18"/>
      <c r="N1116" s="18"/>
      <c r="O1116" s="18"/>
      <c r="P1116" s="18"/>
      <c r="Q1116" s="22"/>
      <c r="R1116" s="21"/>
      <c r="S1116" s="21"/>
      <c r="T1116" s="21"/>
      <c r="AA1116"/>
      <c r="AH1116" t="str">
        <f t="shared" si="168"/>
        <v>k yet</v>
      </c>
    </row>
    <row r="1117" spans="1:39">
      <c r="A1117" s="42" t="s">
        <v>269</v>
      </c>
      <c r="B1117" s="1" t="s">
        <v>20</v>
      </c>
      <c r="C1117" s="40" t="str">
        <f t="shared" si="165"/>
        <v>24-&gt;</v>
      </c>
      <c r="D1117" s="40" t="str">
        <f t="shared" si="166"/>
        <v xml:space="preserve">No pick yet                                                 </v>
      </c>
      <c r="E1117" s="52">
        <f t="shared" si="167"/>
        <v>0</v>
      </c>
      <c r="F1117" s="18"/>
      <c r="M1117" s="18"/>
      <c r="N1117" s="18"/>
      <c r="O1117" s="18"/>
      <c r="P1117" s="18"/>
      <c r="Q1117" s="22"/>
      <c r="R1117" s="21"/>
      <c r="S1117" s="21"/>
      <c r="T1117" s="21"/>
      <c r="AA1117"/>
      <c r="AH1117" t="str">
        <f t="shared" si="168"/>
        <v>k yet</v>
      </c>
    </row>
    <row r="1118" spans="1:39">
      <c r="A1118" s="42" t="s">
        <v>270</v>
      </c>
      <c r="B1118" s="1" t="s">
        <v>20</v>
      </c>
      <c r="C1118" s="40" t="str">
        <f t="shared" si="165"/>
        <v>25-&gt;</v>
      </c>
      <c r="D1118" s="40" t="str">
        <f t="shared" si="166"/>
        <v xml:space="preserve">No pick yet                                                 </v>
      </c>
      <c r="E1118" s="52">
        <f t="shared" si="167"/>
        <v>0</v>
      </c>
      <c r="F1118" s="18"/>
      <c r="G1118" s="22"/>
      <c r="I1118" s="22"/>
      <c r="J1118" s="22"/>
      <c r="M1118" s="18"/>
      <c r="N1118" s="18"/>
      <c r="O1118" s="18"/>
      <c r="P1118" s="18"/>
      <c r="Q1118" s="22"/>
      <c r="R1118" s="21"/>
      <c r="S1118" s="21"/>
      <c r="T1118" s="21"/>
      <c r="AA1118"/>
      <c r="AH1118" t="str">
        <f t="shared" si="168"/>
        <v>k yet</v>
      </c>
    </row>
    <row r="1119" spans="1:39">
      <c r="A1119" s="42" t="s">
        <v>271</v>
      </c>
      <c r="B1119" s="1" t="s">
        <v>20</v>
      </c>
      <c r="C1119" s="40" t="str">
        <f t="shared" si="165"/>
        <v>26-&gt;</v>
      </c>
      <c r="D1119" s="40" t="str">
        <f t="shared" si="166"/>
        <v xml:space="preserve">No pick yet                                                 </v>
      </c>
      <c r="E1119" s="52">
        <f t="shared" si="167"/>
        <v>0</v>
      </c>
      <c r="F1119" s="18"/>
      <c r="H1119" s="21"/>
      <c r="I1119" s="22"/>
      <c r="J1119" s="22"/>
      <c r="M1119" s="18"/>
      <c r="N1119" s="18"/>
      <c r="O1119" s="18"/>
      <c r="P1119" s="18"/>
      <c r="Q1119" s="22"/>
      <c r="R1119" s="21"/>
      <c r="S1119" s="21"/>
      <c r="T1119" s="21"/>
      <c r="AA1119"/>
      <c r="AH1119" t="str">
        <f t="shared" si="168"/>
        <v>k yet</v>
      </c>
    </row>
    <row r="1120" spans="1:39">
      <c r="A1120" s="38"/>
      <c r="B1120" s="40"/>
      <c r="C1120" s="40"/>
      <c r="D1120" s="49"/>
      <c r="E1120" s="41" t="s">
        <v>69</v>
      </c>
      <c r="F1120" s="18"/>
      <c r="K1120" s="22" t="s">
        <v>73</v>
      </c>
      <c r="L1120" s="18" t="s">
        <v>74</v>
      </c>
      <c r="M1120" s="22" t="s">
        <v>78</v>
      </c>
      <c r="N1120" s="22" t="s">
        <v>79</v>
      </c>
      <c r="O1120" s="22" t="s">
        <v>80</v>
      </c>
      <c r="P1120" s="22" t="s">
        <v>81</v>
      </c>
      <c r="Q1120" s="22" t="s">
        <v>82</v>
      </c>
      <c r="R1120" s="22" t="s">
        <v>83</v>
      </c>
      <c r="S1120" s="22" t="s">
        <v>84</v>
      </c>
      <c r="T1120" s="18" t="s">
        <v>85</v>
      </c>
      <c r="U1120" s="18" t="s">
        <v>86</v>
      </c>
      <c r="V1120" s="18" t="s">
        <v>87</v>
      </c>
      <c r="W1120" s="18" t="s">
        <v>88</v>
      </c>
      <c r="X1120" s="18" t="s">
        <v>89</v>
      </c>
      <c r="Y1120" s="18" t="s">
        <v>90</v>
      </c>
      <c r="Z1120" s="18" t="s">
        <v>91</v>
      </c>
      <c r="AA1120" s="18" t="s">
        <v>92</v>
      </c>
      <c r="AB1120" s="18" t="s">
        <v>93</v>
      </c>
      <c r="AC1120" s="18" t="s">
        <v>94</v>
      </c>
      <c r="AD1120" s="18" t="s">
        <v>235</v>
      </c>
      <c r="AE1120" s="18" t="s">
        <v>236</v>
      </c>
      <c r="AF1120" s="18" t="s">
        <v>237</v>
      </c>
      <c r="AG1120" s="18" t="s">
        <v>238</v>
      </c>
      <c r="AH1120" s="18" t="s">
        <v>239</v>
      </c>
      <c r="AI1120" s="18" t="s">
        <v>240</v>
      </c>
      <c r="AJ1120" s="18" t="s">
        <v>241</v>
      </c>
      <c r="AK1120" s="18" t="s">
        <v>242</v>
      </c>
      <c r="AL1120" s="18" t="s">
        <v>243</v>
      </c>
      <c r="AM1120" s="50" t="s">
        <v>244</v>
      </c>
    </row>
    <row r="1121" spans="1:39">
      <c r="A1121" s="40" t="s">
        <v>245</v>
      </c>
      <c r="B1121" s="51" t="str">
        <f>D39</f>
        <v/>
      </c>
      <c r="C1121" s="40" t="str">
        <f t="shared" ref="C1121:C1147" si="169">A1121</f>
        <v>#</v>
      </c>
      <c r="D1121" s="40" t="str">
        <f>"   "&amp;B1121&amp;REPT(" ",$AH$70-LEN(B1121)-3)</f>
        <v xml:space="preserve">                                                            </v>
      </c>
      <c r="E1121" s="38" t="str">
        <f>SUM(E1122:E1147)&amp;" pts[/b]"</f>
        <v>0 pts[/b]</v>
      </c>
      <c r="F1121" s="21">
        <f>SUM(E1122:E1147)</f>
        <v>0</v>
      </c>
      <c r="K1121" s="18">
        <f>COUNTIF(E1122:E1147,"&gt;0")</f>
        <v>0</v>
      </c>
      <c r="L1121" s="21">
        <f>AM1121-K1121</f>
        <v>0</v>
      </c>
      <c r="M1121" s="22">
        <f>MAX(E1122:E1147)</f>
        <v>0</v>
      </c>
      <c r="N1121" s="22">
        <f>LARGE(E1122:E1147,2)</f>
        <v>0</v>
      </c>
      <c r="O1121" s="22">
        <f>LARGE(E1122:E1147,3)</f>
        <v>0</v>
      </c>
      <c r="P1121" s="18">
        <f>LARGE(E1122:E1147,4)</f>
        <v>0</v>
      </c>
      <c r="Q1121" s="22">
        <f>LARGE(E1122:E1147,5)</f>
        <v>0</v>
      </c>
      <c r="R1121" s="22">
        <f>LARGE(E1122:E1147,6)</f>
        <v>0</v>
      </c>
      <c r="S1121" s="22">
        <f>LARGE(E1122:E1147,7)</f>
        <v>0</v>
      </c>
      <c r="T1121" s="18">
        <f>LARGE(E1122:E1147,8)</f>
        <v>0</v>
      </c>
      <c r="U1121" s="18">
        <f>LARGE(E1122:E1147,9)</f>
        <v>0</v>
      </c>
      <c r="V1121" s="18">
        <f>LARGE(E1122:E1147,10)</f>
        <v>0</v>
      </c>
      <c r="W1121" s="18">
        <f>LARGE(E1122:E1147,11)</f>
        <v>0</v>
      </c>
      <c r="X1121" s="18">
        <f>LARGE(E1122:E1147,12)</f>
        <v>0</v>
      </c>
      <c r="Y1121" s="18">
        <f>LARGE(E1122:E1147,13)</f>
        <v>0</v>
      </c>
      <c r="Z1121" s="18">
        <f>LARGE(E1122:E1147,14)</f>
        <v>0</v>
      </c>
      <c r="AA1121" s="18">
        <f>LARGE(E1122:E1147,15)</f>
        <v>0</v>
      </c>
      <c r="AB1121" s="18">
        <f>LARGE(E1122:E1147,16)</f>
        <v>0</v>
      </c>
      <c r="AC1121" s="18">
        <f>LARGE(E1122:E1147,17)</f>
        <v>0</v>
      </c>
      <c r="AD1121" s="18">
        <f>LARGE(E1122:E1148,13)</f>
        <v>0</v>
      </c>
      <c r="AE1121" s="18">
        <f>LARGE(E1122:E1147,19)</f>
        <v>0</v>
      </c>
      <c r="AF1121" s="18">
        <f>LARGE(E1122:E1147,20)</f>
        <v>0</v>
      </c>
      <c r="AG1121" s="18">
        <f>LARGE(E1122:E1147,21)</f>
        <v>0</v>
      </c>
      <c r="AH1121" s="18">
        <f>LARGE(E1122:E1147,22)</f>
        <v>0</v>
      </c>
      <c r="AI1121" s="18">
        <f>LARGE(E1122:E1147,23)</f>
        <v>0</v>
      </c>
      <c r="AJ1121" s="18">
        <f>LARGE(E1122:E1147,24)</f>
        <v>0</v>
      </c>
      <c r="AK1121" s="18">
        <f>LARGE(E1122:E1147,25)</f>
        <v>0</v>
      </c>
      <c r="AL1121" s="18">
        <f>LARGE(E1122:E1147,26)</f>
        <v>0</v>
      </c>
      <c r="AM1121" s="50">
        <f>COUNTIF(AH1122:AH1147,"&lt;&gt;"&amp;AH76)-(26-COUNTIF(E1122:E1147,"&gt;=0"))</f>
        <v>0</v>
      </c>
    </row>
    <row r="1122" spans="1:39">
      <c r="A1122" s="42" t="s">
        <v>246</v>
      </c>
      <c r="B1122" s="1" t="s">
        <v>20</v>
      </c>
      <c r="C1122" s="40" t="str">
        <f t="shared" si="169"/>
        <v>01-&gt;</v>
      </c>
      <c r="D1122" s="40" t="str">
        <f t="shared" ref="D1122:D1147" si="170">B1122&amp;REPT(" ",$AH$70-LEN(B1122))</f>
        <v xml:space="preserve">No pick yet                                                 </v>
      </c>
      <c r="E1122" s="52">
        <f t="shared" ref="E1122:E1147" si="171">VLOOKUP(RIGHT(B1122,LEN(B1122)-$AH$66),$H$138:$I$420,2,0)</f>
        <v>0</v>
      </c>
      <c r="F1122" s="18"/>
      <c r="M1122" s="18"/>
      <c r="N1122" s="18"/>
      <c r="O1122" s="18"/>
      <c r="P1122" s="18"/>
      <c r="Q1122" s="22"/>
      <c r="R1122" s="21"/>
      <c r="S1122" s="21"/>
      <c r="T1122" s="21"/>
      <c r="AA1122"/>
      <c r="AH1122" t="str">
        <f t="shared" ref="AH1122:AH1147" si="172">RIGHT(B1122,LEN(B1122)-$AH$66)</f>
        <v>k yet</v>
      </c>
    </row>
    <row r="1123" spans="1:39">
      <c r="A1123" s="42" t="s">
        <v>247</v>
      </c>
      <c r="B1123" s="1" t="s">
        <v>20</v>
      </c>
      <c r="C1123" s="40" t="str">
        <f t="shared" si="169"/>
        <v>02-&gt;</v>
      </c>
      <c r="D1123" s="40" t="str">
        <f t="shared" si="170"/>
        <v xml:space="preserve">No pick yet                                                 </v>
      </c>
      <c r="E1123" s="52">
        <f t="shared" si="171"/>
        <v>0</v>
      </c>
      <c r="F1123" s="18"/>
      <c r="K1123" s="22"/>
      <c r="N1123" s="22"/>
      <c r="O1123" s="22"/>
      <c r="P1123" s="22"/>
      <c r="Q1123" s="22"/>
      <c r="R1123" s="22"/>
      <c r="S1123" s="22"/>
      <c r="Z1123" s="53"/>
      <c r="AA1123"/>
      <c r="AH1123" t="str">
        <f t="shared" si="172"/>
        <v>k yet</v>
      </c>
    </row>
    <row r="1124" spans="1:39">
      <c r="A1124" s="42" t="s">
        <v>248</v>
      </c>
      <c r="B1124" s="1" t="s">
        <v>20</v>
      </c>
      <c r="C1124" s="40" t="str">
        <f t="shared" si="169"/>
        <v>03-&gt;</v>
      </c>
      <c r="D1124" s="40" t="str">
        <f t="shared" si="170"/>
        <v xml:space="preserve">No pick yet                                                 </v>
      </c>
      <c r="E1124" s="52">
        <f t="shared" si="171"/>
        <v>0</v>
      </c>
      <c r="F1124" s="18"/>
      <c r="L1124" s="21"/>
      <c r="N1124" s="22"/>
      <c r="O1124" s="22"/>
      <c r="P1124" s="18"/>
      <c r="Q1124" s="22"/>
      <c r="R1124" s="22"/>
      <c r="S1124" s="22"/>
      <c r="Z1124" s="53"/>
      <c r="AA1124"/>
      <c r="AH1124" t="str">
        <f t="shared" si="172"/>
        <v>k yet</v>
      </c>
    </row>
    <row r="1125" spans="1:39">
      <c r="A1125" s="42" t="s">
        <v>249</v>
      </c>
      <c r="B1125" s="1" t="s">
        <v>20</v>
      </c>
      <c r="C1125" s="40" t="str">
        <f t="shared" si="169"/>
        <v>04-&gt;</v>
      </c>
      <c r="D1125" s="40" t="str">
        <f t="shared" si="170"/>
        <v xml:space="preserve">No pick yet                                                 </v>
      </c>
      <c r="E1125" s="52">
        <f t="shared" si="171"/>
        <v>0</v>
      </c>
      <c r="F1125" s="18"/>
      <c r="M1125" s="18"/>
      <c r="N1125" s="18"/>
      <c r="O1125" s="18"/>
      <c r="P1125" s="18"/>
      <c r="Q1125" s="22"/>
      <c r="R1125" s="21"/>
      <c r="S1125" s="21"/>
      <c r="T1125" s="21"/>
      <c r="AA1125"/>
      <c r="AH1125" t="str">
        <f t="shared" si="172"/>
        <v>k yet</v>
      </c>
    </row>
    <row r="1126" spans="1:39">
      <c r="A1126" s="42" t="s">
        <v>250</v>
      </c>
      <c r="B1126" s="1" t="s">
        <v>20</v>
      </c>
      <c r="C1126" s="40" t="str">
        <f t="shared" si="169"/>
        <v>05-&gt;</v>
      </c>
      <c r="D1126" s="40" t="str">
        <f t="shared" si="170"/>
        <v xml:space="preserve">No pick yet                                                 </v>
      </c>
      <c r="E1126" s="52">
        <f t="shared" si="171"/>
        <v>0</v>
      </c>
      <c r="F1126" s="18"/>
      <c r="M1126" s="18"/>
      <c r="N1126" s="18"/>
      <c r="O1126" s="18"/>
      <c r="P1126" s="18"/>
      <c r="Q1126" s="22"/>
      <c r="R1126" s="21"/>
      <c r="S1126" s="21"/>
      <c r="T1126" s="21"/>
      <c r="AA1126"/>
      <c r="AH1126" t="str">
        <f t="shared" si="172"/>
        <v>k yet</v>
      </c>
    </row>
    <row r="1127" spans="1:39">
      <c r="A1127" s="42" t="s">
        <v>251</v>
      </c>
      <c r="B1127" s="1" t="s">
        <v>20</v>
      </c>
      <c r="C1127" s="40" t="str">
        <f t="shared" si="169"/>
        <v>06-&gt;</v>
      </c>
      <c r="D1127" s="40" t="str">
        <f t="shared" si="170"/>
        <v xml:space="preserve">No pick yet                                                 </v>
      </c>
      <c r="E1127" s="52">
        <f t="shared" si="171"/>
        <v>0</v>
      </c>
      <c r="F1127" s="18"/>
      <c r="M1127" s="18"/>
      <c r="N1127" s="18"/>
      <c r="O1127" s="18"/>
      <c r="P1127" s="18"/>
      <c r="Q1127" s="22"/>
      <c r="R1127" s="21"/>
      <c r="S1127" s="21"/>
      <c r="T1127" s="21"/>
      <c r="AA1127"/>
      <c r="AH1127" t="str">
        <f t="shared" si="172"/>
        <v>k yet</v>
      </c>
    </row>
    <row r="1128" spans="1:39">
      <c r="A1128" s="42" t="s">
        <v>252</v>
      </c>
      <c r="B1128" s="1" t="s">
        <v>20</v>
      </c>
      <c r="C1128" s="40" t="str">
        <f t="shared" si="169"/>
        <v>07-&gt;</v>
      </c>
      <c r="D1128" s="40" t="str">
        <f t="shared" si="170"/>
        <v xml:space="preserve">No pick yet                                                 </v>
      </c>
      <c r="E1128" s="52">
        <f t="shared" si="171"/>
        <v>0</v>
      </c>
      <c r="F1128" s="18"/>
      <c r="M1128" s="18"/>
      <c r="N1128" s="18"/>
      <c r="O1128" s="18"/>
      <c r="P1128" s="18"/>
      <c r="Q1128" s="22"/>
      <c r="R1128" s="21"/>
      <c r="S1128" s="21"/>
      <c r="T1128" s="21"/>
      <c r="AA1128"/>
      <c r="AH1128" t="str">
        <f t="shared" si="172"/>
        <v>k yet</v>
      </c>
    </row>
    <row r="1129" spans="1:39">
      <c r="A1129" s="42" t="s">
        <v>253</v>
      </c>
      <c r="B1129" s="1" t="s">
        <v>20</v>
      </c>
      <c r="C1129" s="40" t="str">
        <f t="shared" si="169"/>
        <v>08-&gt;</v>
      </c>
      <c r="D1129" s="40" t="str">
        <f t="shared" si="170"/>
        <v xml:space="preserve">No pick yet                                                 </v>
      </c>
      <c r="E1129" s="52">
        <f t="shared" si="171"/>
        <v>0</v>
      </c>
      <c r="F1129" s="18"/>
      <c r="M1129" s="18"/>
      <c r="N1129" s="18"/>
      <c r="O1129" s="18"/>
      <c r="P1129" s="18"/>
      <c r="Q1129" s="22"/>
      <c r="R1129" s="21"/>
      <c r="S1129" s="21"/>
      <c r="T1129" s="21"/>
      <c r="AA1129"/>
      <c r="AH1129" t="str">
        <f t="shared" si="172"/>
        <v>k yet</v>
      </c>
    </row>
    <row r="1130" spans="1:39">
      <c r="A1130" s="42" t="s">
        <v>254</v>
      </c>
      <c r="B1130" s="1" t="s">
        <v>20</v>
      </c>
      <c r="C1130" s="40" t="str">
        <f t="shared" si="169"/>
        <v>09-&gt;</v>
      </c>
      <c r="D1130" s="40" t="str">
        <f t="shared" si="170"/>
        <v xml:space="preserve">No pick yet                                                 </v>
      </c>
      <c r="E1130" s="52">
        <f t="shared" si="171"/>
        <v>0</v>
      </c>
      <c r="F1130" s="18"/>
      <c r="M1130" s="18"/>
      <c r="N1130" s="18"/>
      <c r="O1130" s="18"/>
      <c r="P1130" s="18"/>
      <c r="Q1130" s="22"/>
      <c r="R1130" s="21"/>
      <c r="S1130" s="21"/>
      <c r="T1130" s="21"/>
      <c r="AA1130"/>
      <c r="AH1130" t="str">
        <f t="shared" si="172"/>
        <v>k yet</v>
      </c>
    </row>
    <row r="1131" spans="1:39">
      <c r="A1131" s="42" t="s">
        <v>255</v>
      </c>
      <c r="B1131" s="1" t="s">
        <v>20</v>
      </c>
      <c r="C1131" s="40" t="str">
        <f t="shared" si="169"/>
        <v>10-&gt;</v>
      </c>
      <c r="D1131" s="40" t="str">
        <f t="shared" si="170"/>
        <v xml:space="preserve">No pick yet                                                 </v>
      </c>
      <c r="E1131" s="52">
        <f t="shared" si="171"/>
        <v>0</v>
      </c>
      <c r="F1131" s="22"/>
      <c r="M1131" s="18"/>
      <c r="N1131" s="18"/>
      <c r="O1131" s="18"/>
      <c r="P1131" s="18"/>
      <c r="Q1131" s="22"/>
      <c r="R1131" s="21"/>
      <c r="S1131" s="21"/>
      <c r="T1131" s="21"/>
      <c r="AA1131"/>
      <c r="AH1131" t="str">
        <f t="shared" si="172"/>
        <v>k yet</v>
      </c>
    </row>
    <row r="1132" spans="1:39">
      <c r="A1132" s="42" t="s">
        <v>256</v>
      </c>
      <c r="B1132" s="1" t="s">
        <v>20</v>
      </c>
      <c r="C1132" s="40" t="str">
        <f t="shared" si="169"/>
        <v>11-&gt;</v>
      </c>
      <c r="D1132" s="40" t="str">
        <f t="shared" si="170"/>
        <v xml:space="preserve">No pick yet                                                 </v>
      </c>
      <c r="E1132" s="52">
        <f t="shared" si="171"/>
        <v>0</v>
      </c>
      <c r="M1132" s="18"/>
      <c r="N1132" s="18"/>
      <c r="O1132" s="18"/>
      <c r="P1132" s="18"/>
      <c r="Q1132" s="22"/>
      <c r="R1132" s="21"/>
      <c r="S1132" s="21"/>
      <c r="T1132" s="21"/>
      <c r="AA1132"/>
      <c r="AH1132" t="str">
        <f t="shared" si="172"/>
        <v>k yet</v>
      </c>
    </row>
    <row r="1133" spans="1:39">
      <c r="A1133" s="42" t="s">
        <v>257</v>
      </c>
      <c r="B1133" s="1" t="s">
        <v>20</v>
      </c>
      <c r="C1133" s="40" t="str">
        <f t="shared" si="169"/>
        <v>12-&gt;</v>
      </c>
      <c r="D1133" s="40" t="str">
        <f t="shared" si="170"/>
        <v xml:space="preserve">No pick yet                                                 </v>
      </c>
      <c r="E1133" s="52">
        <f t="shared" si="171"/>
        <v>0</v>
      </c>
      <c r="G1133" s="22"/>
      <c r="I1133" s="22"/>
      <c r="J1133" s="22"/>
      <c r="M1133" s="18"/>
      <c r="N1133" s="18"/>
      <c r="O1133" s="18"/>
      <c r="P1133" s="18"/>
      <c r="Q1133" s="22"/>
      <c r="R1133" s="21"/>
      <c r="S1133" s="21"/>
      <c r="T1133" s="21"/>
      <c r="AA1133"/>
      <c r="AH1133" t="str">
        <f t="shared" si="172"/>
        <v>k yet</v>
      </c>
    </row>
    <row r="1134" spans="1:39">
      <c r="A1134" s="42" t="s">
        <v>258</v>
      </c>
      <c r="B1134" s="1" t="s">
        <v>20</v>
      </c>
      <c r="C1134" s="40" t="str">
        <f t="shared" si="169"/>
        <v>13-&gt;</v>
      </c>
      <c r="D1134" s="40" t="str">
        <f t="shared" si="170"/>
        <v xml:space="preserve">No pick yet                                                 </v>
      </c>
      <c r="E1134" s="52">
        <f t="shared" si="171"/>
        <v>0</v>
      </c>
      <c r="H1134" s="21"/>
      <c r="I1134" s="22"/>
      <c r="J1134" s="22"/>
      <c r="M1134" s="18"/>
      <c r="N1134" s="18"/>
      <c r="O1134" s="18"/>
      <c r="P1134" s="18"/>
      <c r="Q1134" s="22"/>
      <c r="R1134" s="21"/>
      <c r="S1134" s="21"/>
      <c r="T1134" s="21"/>
      <c r="AA1134"/>
      <c r="AH1134" t="str">
        <f t="shared" si="172"/>
        <v>k yet</v>
      </c>
    </row>
    <row r="1135" spans="1:39">
      <c r="A1135" s="42" t="s">
        <v>259</v>
      </c>
      <c r="B1135" s="1" t="s">
        <v>20</v>
      </c>
      <c r="C1135" s="40" t="str">
        <f t="shared" si="169"/>
        <v>14-&gt;</v>
      </c>
      <c r="D1135" s="40" t="str">
        <f t="shared" si="170"/>
        <v xml:space="preserve">No pick yet                                                 </v>
      </c>
      <c r="E1135" s="52">
        <f t="shared" si="171"/>
        <v>0</v>
      </c>
      <c r="M1135" s="18"/>
      <c r="N1135" s="18"/>
      <c r="O1135" s="18"/>
      <c r="P1135" s="18"/>
      <c r="Q1135" s="22"/>
      <c r="R1135" s="21"/>
      <c r="S1135" s="21"/>
      <c r="T1135" s="21"/>
      <c r="AA1135"/>
      <c r="AH1135" t="str">
        <f t="shared" si="172"/>
        <v>k yet</v>
      </c>
    </row>
    <row r="1136" spans="1:39">
      <c r="A1136" s="42" t="s">
        <v>260</v>
      </c>
      <c r="B1136" s="1" t="s">
        <v>20</v>
      </c>
      <c r="C1136" s="40" t="str">
        <f t="shared" si="169"/>
        <v>15-&gt;</v>
      </c>
      <c r="D1136" s="40" t="str">
        <f t="shared" si="170"/>
        <v xml:space="preserve">No pick yet                                                 </v>
      </c>
      <c r="E1136" s="52">
        <f t="shared" si="171"/>
        <v>0</v>
      </c>
      <c r="M1136" s="18"/>
      <c r="N1136" s="18"/>
      <c r="O1136" s="18"/>
      <c r="P1136" s="18"/>
      <c r="Q1136" s="22"/>
      <c r="R1136" s="21"/>
      <c r="S1136" s="21"/>
      <c r="T1136" s="21"/>
      <c r="AA1136"/>
      <c r="AH1136" t="str">
        <f t="shared" si="172"/>
        <v>k yet</v>
      </c>
    </row>
    <row r="1137" spans="1:39">
      <c r="A1137" s="42" t="s">
        <v>261</v>
      </c>
      <c r="B1137" s="1" t="s">
        <v>20</v>
      </c>
      <c r="C1137" s="40" t="str">
        <f t="shared" si="169"/>
        <v>16-&gt;</v>
      </c>
      <c r="D1137" s="40" t="str">
        <f t="shared" si="170"/>
        <v xml:space="preserve">No pick yet                                                 </v>
      </c>
      <c r="E1137" s="52">
        <f t="shared" si="171"/>
        <v>0</v>
      </c>
      <c r="M1137" s="18"/>
      <c r="N1137" s="18"/>
      <c r="O1137" s="18"/>
      <c r="P1137" s="18"/>
      <c r="Q1137" s="22"/>
      <c r="R1137" s="21"/>
      <c r="S1137" s="21"/>
      <c r="T1137" s="21"/>
      <c r="AA1137"/>
      <c r="AH1137" t="str">
        <f t="shared" si="172"/>
        <v>k yet</v>
      </c>
    </row>
    <row r="1138" spans="1:39">
      <c r="A1138" s="42" t="s">
        <v>262</v>
      </c>
      <c r="B1138" s="1" t="s">
        <v>20</v>
      </c>
      <c r="C1138" s="40" t="str">
        <f t="shared" si="169"/>
        <v>17-&gt;</v>
      </c>
      <c r="D1138" s="40" t="str">
        <f t="shared" si="170"/>
        <v xml:space="preserve">No pick yet                                                 </v>
      </c>
      <c r="E1138" s="52">
        <f t="shared" si="171"/>
        <v>0</v>
      </c>
      <c r="K1138" s="22"/>
      <c r="N1138" s="22"/>
      <c r="O1138" s="22"/>
      <c r="P1138" s="22"/>
      <c r="Q1138" s="22"/>
      <c r="R1138" s="22"/>
      <c r="S1138" s="22"/>
      <c r="Z1138" s="53"/>
      <c r="AA1138"/>
      <c r="AH1138" t="str">
        <f t="shared" si="172"/>
        <v>k yet</v>
      </c>
    </row>
    <row r="1139" spans="1:39">
      <c r="A1139" s="42" t="s">
        <v>263</v>
      </c>
      <c r="B1139" s="1" t="s">
        <v>20</v>
      </c>
      <c r="C1139" s="40" t="str">
        <f t="shared" si="169"/>
        <v>18-&gt;</v>
      </c>
      <c r="D1139" s="40" t="str">
        <f t="shared" si="170"/>
        <v xml:space="preserve">No pick yet                                                 </v>
      </c>
      <c r="E1139" s="52">
        <f t="shared" si="171"/>
        <v>0</v>
      </c>
      <c r="F1139" s="18"/>
      <c r="L1139" s="21"/>
      <c r="N1139" s="22"/>
      <c r="O1139" s="22"/>
      <c r="P1139" s="18"/>
      <c r="Q1139" s="22"/>
      <c r="R1139" s="22"/>
      <c r="S1139" s="22"/>
      <c r="Z1139" s="53"/>
      <c r="AA1139"/>
      <c r="AH1139" t="str">
        <f t="shared" si="172"/>
        <v>k yet</v>
      </c>
    </row>
    <row r="1140" spans="1:39">
      <c r="A1140" s="42" t="s">
        <v>264</v>
      </c>
      <c r="B1140" s="1" t="s">
        <v>20</v>
      </c>
      <c r="C1140" s="40" t="str">
        <f t="shared" si="169"/>
        <v>19-&gt;</v>
      </c>
      <c r="D1140" s="40" t="str">
        <f t="shared" si="170"/>
        <v xml:space="preserve">No pick yet                                                 </v>
      </c>
      <c r="E1140" s="52">
        <f t="shared" si="171"/>
        <v>0</v>
      </c>
      <c r="F1140" s="18"/>
      <c r="M1140" s="18"/>
      <c r="N1140" s="18"/>
      <c r="O1140" s="18"/>
      <c r="P1140" s="18"/>
      <c r="Q1140" s="22"/>
      <c r="R1140" s="21"/>
      <c r="S1140" s="21"/>
      <c r="T1140" s="21"/>
      <c r="AA1140"/>
      <c r="AH1140" t="str">
        <f t="shared" si="172"/>
        <v>k yet</v>
      </c>
    </row>
    <row r="1141" spans="1:39">
      <c r="A1141" s="42" t="s">
        <v>265</v>
      </c>
      <c r="B1141" s="1" t="s">
        <v>20</v>
      </c>
      <c r="C1141" s="40" t="str">
        <f t="shared" si="169"/>
        <v>20-&gt;</v>
      </c>
      <c r="D1141" s="40" t="str">
        <f t="shared" si="170"/>
        <v xml:space="preserve">No pick yet                                                 </v>
      </c>
      <c r="E1141" s="52">
        <f t="shared" si="171"/>
        <v>0</v>
      </c>
      <c r="F1141" s="18"/>
      <c r="M1141" s="18"/>
      <c r="N1141" s="18"/>
      <c r="O1141" s="18"/>
      <c r="P1141" s="18"/>
      <c r="Q1141" s="22"/>
      <c r="R1141" s="21"/>
      <c r="S1141" s="21"/>
      <c r="T1141" s="21"/>
      <c r="AA1141"/>
      <c r="AH1141" t="str">
        <f t="shared" si="172"/>
        <v>k yet</v>
      </c>
    </row>
    <row r="1142" spans="1:39">
      <c r="A1142" s="42" t="s">
        <v>266</v>
      </c>
      <c r="B1142" s="1" t="s">
        <v>20</v>
      </c>
      <c r="C1142" s="40" t="str">
        <f t="shared" si="169"/>
        <v>21-&gt;</v>
      </c>
      <c r="D1142" s="40" t="str">
        <f t="shared" si="170"/>
        <v xml:space="preserve">No pick yet                                                 </v>
      </c>
      <c r="E1142" s="52">
        <f t="shared" si="171"/>
        <v>0</v>
      </c>
      <c r="F1142" s="18"/>
      <c r="M1142" s="18"/>
      <c r="N1142" s="18"/>
      <c r="O1142" s="18"/>
      <c r="P1142" s="18"/>
      <c r="Q1142" s="22"/>
      <c r="R1142" s="21"/>
      <c r="S1142" s="21"/>
      <c r="T1142" s="21"/>
      <c r="AA1142"/>
      <c r="AH1142" t="str">
        <f t="shared" si="172"/>
        <v>k yet</v>
      </c>
    </row>
    <row r="1143" spans="1:39">
      <c r="A1143" s="42" t="s">
        <v>267</v>
      </c>
      <c r="B1143" s="1" t="s">
        <v>20</v>
      </c>
      <c r="C1143" s="40" t="str">
        <f t="shared" si="169"/>
        <v>22-&gt;</v>
      </c>
      <c r="D1143" s="40" t="str">
        <f t="shared" si="170"/>
        <v xml:space="preserve">No pick yet                                                 </v>
      </c>
      <c r="E1143" s="52">
        <f t="shared" si="171"/>
        <v>0</v>
      </c>
      <c r="F1143" s="18"/>
      <c r="M1143" s="18"/>
      <c r="N1143" s="18"/>
      <c r="O1143" s="18"/>
      <c r="P1143" s="18"/>
      <c r="Q1143" s="22"/>
      <c r="R1143" s="21"/>
      <c r="S1143" s="21"/>
      <c r="T1143" s="21"/>
      <c r="AA1143"/>
      <c r="AH1143" t="str">
        <f t="shared" si="172"/>
        <v>k yet</v>
      </c>
    </row>
    <row r="1144" spans="1:39">
      <c r="A1144" s="42" t="s">
        <v>268</v>
      </c>
      <c r="B1144" s="1" t="s">
        <v>20</v>
      </c>
      <c r="C1144" s="40" t="str">
        <f t="shared" si="169"/>
        <v>23-&gt;</v>
      </c>
      <c r="D1144" s="40" t="str">
        <f t="shared" si="170"/>
        <v xml:space="preserve">No pick yet                                                 </v>
      </c>
      <c r="E1144" s="52">
        <f t="shared" si="171"/>
        <v>0</v>
      </c>
      <c r="F1144" s="18"/>
      <c r="M1144" s="18"/>
      <c r="N1144" s="18"/>
      <c r="O1144" s="18"/>
      <c r="P1144" s="18"/>
      <c r="Q1144" s="22"/>
      <c r="R1144" s="21"/>
      <c r="S1144" s="21"/>
      <c r="T1144" s="21"/>
      <c r="AA1144"/>
      <c r="AH1144" t="str">
        <f t="shared" si="172"/>
        <v>k yet</v>
      </c>
    </row>
    <row r="1145" spans="1:39">
      <c r="A1145" s="42" t="s">
        <v>269</v>
      </c>
      <c r="B1145" s="1" t="s">
        <v>20</v>
      </c>
      <c r="C1145" s="40" t="str">
        <f t="shared" si="169"/>
        <v>24-&gt;</v>
      </c>
      <c r="D1145" s="40" t="str">
        <f t="shared" si="170"/>
        <v xml:space="preserve">No pick yet                                                 </v>
      </c>
      <c r="E1145" s="52">
        <f t="shared" si="171"/>
        <v>0</v>
      </c>
      <c r="F1145" s="18"/>
      <c r="M1145" s="18"/>
      <c r="N1145" s="18"/>
      <c r="O1145" s="18"/>
      <c r="P1145" s="18"/>
      <c r="Q1145" s="22"/>
      <c r="R1145" s="21"/>
      <c r="S1145" s="21"/>
      <c r="T1145" s="21"/>
      <c r="AA1145"/>
      <c r="AH1145" t="str">
        <f t="shared" si="172"/>
        <v>k yet</v>
      </c>
    </row>
    <row r="1146" spans="1:39">
      <c r="A1146" s="42" t="s">
        <v>270</v>
      </c>
      <c r="B1146" s="1" t="s">
        <v>20</v>
      </c>
      <c r="C1146" s="40" t="str">
        <f t="shared" si="169"/>
        <v>25-&gt;</v>
      </c>
      <c r="D1146" s="40" t="str">
        <f t="shared" si="170"/>
        <v xml:space="preserve">No pick yet                                                 </v>
      </c>
      <c r="E1146" s="52">
        <f t="shared" si="171"/>
        <v>0</v>
      </c>
      <c r="F1146" s="18"/>
      <c r="M1146" s="18"/>
      <c r="N1146" s="18"/>
      <c r="O1146" s="18"/>
      <c r="P1146" s="18"/>
      <c r="Q1146" s="22"/>
      <c r="R1146" s="21"/>
      <c r="S1146" s="21"/>
      <c r="T1146" s="21"/>
      <c r="AA1146"/>
      <c r="AH1146" t="str">
        <f t="shared" si="172"/>
        <v>k yet</v>
      </c>
    </row>
    <row r="1147" spans="1:39">
      <c r="A1147" s="42" t="s">
        <v>271</v>
      </c>
      <c r="B1147" s="1" t="s">
        <v>20</v>
      </c>
      <c r="C1147" s="40" t="str">
        <f t="shared" si="169"/>
        <v>26-&gt;</v>
      </c>
      <c r="D1147" s="40" t="str">
        <f t="shared" si="170"/>
        <v xml:space="preserve">No pick yet                                                 </v>
      </c>
      <c r="E1147" s="52">
        <f t="shared" si="171"/>
        <v>0</v>
      </c>
      <c r="F1147" s="18"/>
      <c r="M1147" s="18"/>
      <c r="N1147" s="18"/>
      <c r="O1147" s="18"/>
      <c r="P1147" s="18"/>
      <c r="Q1147" s="22"/>
      <c r="R1147" s="21"/>
      <c r="S1147" s="21"/>
      <c r="T1147" s="21"/>
      <c r="AA1147"/>
      <c r="AH1147" t="str">
        <f t="shared" si="172"/>
        <v>k yet</v>
      </c>
    </row>
    <row r="1148" spans="1:39">
      <c r="A1148" s="38"/>
      <c r="B1148" s="40"/>
      <c r="C1148" s="40"/>
      <c r="D1148" s="49"/>
      <c r="E1148" s="41" t="s">
        <v>69</v>
      </c>
      <c r="F1148" s="18"/>
      <c r="G1148" s="22"/>
      <c r="I1148" s="22"/>
      <c r="J1148" s="22"/>
      <c r="K1148" s="22" t="s">
        <v>73</v>
      </c>
      <c r="L1148" s="18" t="s">
        <v>74</v>
      </c>
      <c r="M1148" s="22" t="s">
        <v>78</v>
      </c>
      <c r="N1148" s="22" t="s">
        <v>79</v>
      </c>
      <c r="O1148" s="22" t="s">
        <v>80</v>
      </c>
      <c r="P1148" s="22" t="s">
        <v>81</v>
      </c>
      <c r="Q1148" s="22" t="s">
        <v>82</v>
      </c>
      <c r="R1148" s="22" t="s">
        <v>83</v>
      </c>
      <c r="S1148" s="22" t="s">
        <v>84</v>
      </c>
      <c r="T1148" s="18" t="s">
        <v>85</v>
      </c>
      <c r="U1148" s="18" t="s">
        <v>86</v>
      </c>
      <c r="V1148" s="18" t="s">
        <v>87</v>
      </c>
      <c r="W1148" s="18" t="s">
        <v>88</v>
      </c>
      <c r="X1148" s="18" t="s">
        <v>89</v>
      </c>
      <c r="Y1148" s="18" t="s">
        <v>90</v>
      </c>
      <c r="Z1148" s="18" t="s">
        <v>91</v>
      </c>
      <c r="AA1148" s="18" t="s">
        <v>92</v>
      </c>
      <c r="AB1148" s="18" t="s">
        <v>93</v>
      </c>
      <c r="AC1148" s="18" t="s">
        <v>94</v>
      </c>
      <c r="AD1148" s="18" t="s">
        <v>235</v>
      </c>
      <c r="AE1148" s="18" t="s">
        <v>236</v>
      </c>
      <c r="AF1148" s="18" t="s">
        <v>237</v>
      </c>
      <c r="AG1148" s="18" t="s">
        <v>238</v>
      </c>
      <c r="AH1148" s="18" t="s">
        <v>239</v>
      </c>
      <c r="AI1148" s="18" t="s">
        <v>240</v>
      </c>
      <c r="AJ1148" s="18" t="s">
        <v>241</v>
      </c>
      <c r="AK1148" s="18" t="s">
        <v>242</v>
      </c>
      <c r="AL1148" s="18" t="s">
        <v>243</v>
      </c>
      <c r="AM1148" s="50" t="s">
        <v>244</v>
      </c>
    </row>
    <row r="1149" spans="1:39">
      <c r="A1149" s="40" t="s">
        <v>245</v>
      </c>
      <c r="B1149" s="51" t="str">
        <f>D40</f>
        <v/>
      </c>
      <c r="C1149" s="40" t="str">
        <f t="shared" ref="C1149:C1175" si="173">A1149</f>
        <v>#</v>
      </c>
      <c r="D1149" s="40" t="str">
        <f>"   "&amp;B1149&amp;REPT(" ",$AH$70-LEN(B1149)-3)</f>
        <v xml:space="preserve">                                                            </v>
      </c>
      <c r="E1149" s="38" t="str">
        <f>SUM(E1150:E1175)&amp;" pts[/b]"</f>
        <v>0 pts[/b]</v>
      </c>
      <c r="F1149" s="21">
        <f>SUM(E1150:E1175)</f>
        <v>0</v>
      </c>
      <c r="H1149" s="21"/>
      <c r="I1149" s="22"/>
      <c r="J1149" s="22"/>
      <c r="K1149" s="18">
        <f>COUNTIF(E1150:E1175,"&gt;0")</f>
        <v>0</v>
      </c>
      <c r="L1149" s="21">
        <f>AM1149-K1149</f>
        <v>0</v>
      </c>
      <c r="M1149" s="22">
        <f>MAX(E1150:E1175)</f>
        <v>0</v>
      </c>
      <c r="N1149" s="22">
        <f>LARGE(E1150:E1175,2)</f>
        <v>0</v>
      </c>
      <c r="O1149" s="22">
        <f>LARGE(E1150:E1175,3)</f>
        <v>0</v>
      </c>
      <c r="P1149" s="18">
        <f>LARGE(E1150:E1175,4)</f>
        <v>0</v>
      </c>
      <c r="Q1149" s="22">
        <f>LARGE(E1150:E1175,5)</f>
        <v>0</v>
      </c>
      <c r="R1149" s="22">
        <f>LARGE(E1150:E1175,6)</f>
        <v>0</v>
      </c>
      <c r="S1149" s="22">
        <f>LARGE(E1150:E1175,7)</f>
        <v>0</v>
      </c>
      <c r="T1149" s="18">
        <f>LARGE(E1150:E1175,8)</f>
        <v>0</v>
      </c>
      <c r="U1149" s="18">
        <f>LARGE(E1150:E1175,9)</f>
        <v>0</v>
      </c>
      <c r="V1149" s="18">
        <f>LARGE(E1150:E1175,10)</f>
        <v>0</v>
      </c>
      <c r="W1149" s="18">
        <f>LARGE(E1150:E1175,11)</f>
        <v>0</v>
      </c>
      <c r="X1149" s="18">
        <f>LARGE(E1150:E1175,12)</f>
        <v>0</v>
      </c>
      <c r="Y1149" s="18">
        <f>LARGE(E1150:E1175,13)</f>
        <v>0</v>
      </c>
      <c r="Z1149" s="18">
        <f>LARGE(E1150:E1175,14)</f>
        <v>0</v>
      </c>
      <c r="AA1149" s="18">
        <f>LARGE(E1150:E1175,15)</f>
        <v>0</v>
      </c>
      <c r="AB1149" s="18">
        <f>LARGE(E1150:E1175,16)</f>
        <v>0</v>
      </c>
      <c r="AC1149" s="18">
        <f>LARGE(E1150:E1175,17)</f>
        <v>0</v>
      </c>
      <c r="AD1149" s="18">
        <f>LARGE(E1150:E1176,13)</f>
        <v>0</v>
      </c>
      <c r="AE1149" s="18">
        <f>LARGE(E1150:E1175,19)</f>
        <v>0</v>
      </c>
      <c r="AF1149" s="18">
        <f>LARGE(E1150:E1175,20)</f>
        <v>0</v>
      </c>
      <c r="AG1149" s="18">
        <f>LARGE(E1150:E1175,21)</f>
        <v>0</v>
      </c>
      <c r="AH1149" s="18">
        <f>LARGE(E1150:E1175,22)</f>
        <v>0</v>
      </c>
      <c r="AI1149" s="18">
        <f>LARGE(E1150:E1175,23)</f>
        <v>0</v>
      </c>
      <c r="AJ1149" s="18">
        <f>LARGE(E1150:E1175,24)</f>
        <v>0</v>
      </c>
      <c r="AK1149" s="18">
        <f>LARGE(E1150:E1175,25)</f>
        <v>0</v>
      </c>
      <c r="AL1149" s="18">
        <f>LARGE(E1150:E1175,26)</f>
        <v>0</v>
      </c>
      <c r="AM1149" s="50">
        <f>COUNTIF(AH1150:AH1175,"&lt;&gt;"&amp;AH76)-(26-COUNTIF(E1150:E1175,"&gt;=0"))</f>
        <v>0</v>
      </c>
    </row>
    <row r="1150" spans="1:39">
      <c r="A1150" s="42" t="s">
        <v>246</v>
      </c>
      <c r="B1150" s="1" t="s">
        <v>20</v>
      </c>
      <c r="C1150" s="40" t="str">
        <f t="shared" si="173"/>
        <v>01-&gt;</v>
      </c>
      <c r="D1150" s="40" t="str">
        <f t="shared" ref="D1150:D1175" si="174">B1150&amp;REPT(" ",$AH$70-LEN(B1150))</f>
        <v xml:space="preserve">No pick yet                                                 </v>
      </c>
      <c r="E1150" s="52">
        <f t="shared" ref="E1150:E1175" si="175">VLOOKUP(RIGHT(B1150,LEN(B1150)-$AH$66),$H$138:$I$420,2,0)</f>
        <v>0</v>
      </c>
      <c r="F1150" s="18"/>
      <c r="M1150" s="18"/>
      <c r="N1150" s="18"/>
      <c r="O1150" s="18"/>
      <c r="P1150" s="18"/>
      <c r="Q1150" s="22"/>
      <c r="R1150" s="21"/>
      <c r="S1150" s="21"/>
      <c r="T1150" s="21"/>
      <c r="AA1150"/>
      <c r="AH1150" t="str">
        <f t="shared" ref="AH1150:AH1175" si="176">RIGHT(B1150,LEN(B1150)-$AH$66)</f>
        <v>k yet</v>
      </c>
    </row>
    <row r="1151" spans="1:39">
      <c r="A1151" s="42" t="s">
        <v>247</v>
      </c>
      <c r="B1151" s="1" t="s">
        <v>20</v>
      </c>
      <c r="C1151" s="40" t="str">
        <f t="shared" si="173"/>
        <v>02-&gt;</v>
      </c>
      <c r="D1151" s="40" t="str">
        <f t="shared" si="174"/>
        <v xml:space="preserve">No pick yet                                                 </v>
      </c>
      <c r="E1151" s="52">
        <f t="shared" si="175"/>
        <v>0</v>
      </c>
      <c r="F1151" s="18"/>
      <c r="K1151" s="22"/>
      <c r="N1151" s="22"/>
      <c r="O1151" s="22"/>
      <c r="P1151" s="22"/>
      <c r="Q1151" s="22"/>
      <c r="R1151" s="22"/>
      <c r="S1151" s="22"/>
      <c r="Z1151" s="53"/>
      <c r="AA1151"/>
      <c r="AH1151" t="str">
        <f t="shared" si="176"/>
        <v>k yet</v>
      </c>
    </row>
    <row r="1152" spans="1:39">
      <c r="A1152" s="42" t="s">
        <v>248</v>
      </c>
      <c r="B1152" s="1" t="s">
        <v>20</v>
      </c>
      <c r="C1152" s="40" t="str">
        <f t="shared" si="173"/>
        <v>03-&gt;</v>
      </c>
      <c r="D1152" s="40" t="str">
        <f t="shared" si="174"/>
        <v xml:space="preserve">No pick yet                                                 </v>
      </c>
      <c r="E1152" s="52">
        <f t="shared" si="175"/>
        <v>0</v>
      </c>
      <c r="F1152" s="18"/>
      <c r="L1152" s="21"/>
      <c r="N1152" s="22"/>
      <c r="O1152" s="22"/>
      <c r="P1152" s="18"/>
      <c r="Q1152" s="22"/>
      <c r="R1152" s="22"/>
      <c r="S1152" s="22"/>
      <c r="Z1152" s="53"/>
      <c r="AA1152"/>
      <c r="AH1152" t="str">
        <f t="shared" si="176"/>
        <v>k yet</v>
      </c>
    </row>
    <row r="1153" spans="1:34">
      <c r="A1153" s="42" t="s">
        <v>249</v>
      </c>
      <c r="B1153" s="1" t="s">
        <v>20</v>
      </c>
      <c r="C1153" s="40" t="str">
        <f t="shared" si="173"/>
        <v>04-&gt;</v>
      </c>
      <c r="D1153" s="40" t="str">
        <f t="shared" si="174"/>
        <v xml:space="preserve">No pick yet                                                 </v>
      </c>
      <c r="E1153" s="52">
        <f t="shared" si="175"/>
        <v>0</v>
      </c>
      <c r="F1153" s="18"/>
      <c r="M1153" s="18"/>
      <c r="N1153" s="18"/>
      <c r="O1153" s="18"/>
      <c r="P1153" s="18"/>
      <c r="Q1153" s="22"/>
      <c r="R1153" s="21"/>
      <c r="S1153" s="21"/>
      <c r="T1153" s="21"/>
      <c r="AA1153"/>
      <c r="AH1153" t="str">
        <f t="shared" si="176"/>
        <v>k yet</v>
      </c>
    </row>
    <row r="1154" spans="1:34">
      <c r="A1154" s="42" t="s">
        <v>250</v>
      </c>
      <c r="B1154" s="1" t="s">
        <v>20</v>
      </c>
      <c r="C1154" s="40" t="str">
        <f t="shared" si="173"/>
        <v>05-&gt;</v>
      </c>
      <c r="D1154" s="40" t="str">
        <f t="shared" si="174"/>
        <v xml:space="preserve">No pick yet                                                 </v>
      </c>
      <c r="E1154" s="52">
        <f t="shared" si="175"/>
        <v>0</v>
      </c>
      <c r="F1154" s="18"/>
      <c r="M1154" s="18"/>
      <c r="N1154" s="18"/>
      <c r="O1154" s="18"/>
      <c r="P1154" s="18"/>
      <c r="Q1154" s="22"/>
      <c r="R1154" s="21"/>
      <c r="S1154" s="21"/>
      <c r="T1154" s="21"/>
      <c r="AA1154"/>
      <c r="AH1154" t="str">
        <f t="shared" si="176"/>
        <v>k yet</v>
      </c>
    </row>
    <row r="1155" spans="1:34">
      <c r="A1155" s="42" t="s">
        <v>251</v>
      </c>
      <c r="B1155" s="1" t="s">
        <v>20</v>
      </c>
      <c r="C1155" s="40" t="str">
        <f t="shared" si="173"/>
        <v>06-&gt;</v>
      </c>
      <c r="D1155" s="40" t="str">
        <f t="shared" si="174"/>
        <v xml:space="preserve">No pick yet                                                 </v>
      </c>
      <c r="E1155" s="52">
        <f t="shared" si="175"/>
        <v>0</v>
      </c>
      <c r="F1155" s="18"/>
      <c r="M1155" s="18"/>
      <c r="N1155" s="18"/>
      <c r="O1155" s="18"/>
      <c r="P1155" s="18"/>
      <c r="Q1155" s="22"/>
      <c r="R1155" s="21"/>
      <c r="S1155" s="21"/>
      <c r="T1155" s="21"/>
      <c r="AA1155"/>
      <c r="AH1155" t="str">
        <f t="shared" si="176"/>
        <v>k yet</v>
      </c>
    </row>
    <row r="1156" spans="1:34">
      <c r="A1156" s="42" t="s">
        <v>252</v>
      </c>
      <c r="B1156" s="1" t="s">
        <v>20</v>
      </c>
      <c r="C1156" s="40" t="str">
        <f t="shared" si="173"/>
        <v>07-&gt;</v>
      </c>
      <c r="D1156" s="40" t="str">
        <f t="shared" si="174"/>
        <v xml:space="preserve">No pick yet                                                 </v>
      </c>
      <c r="E1156" s="52">
        <f t="shared" si="175"/>
        <v>0</v>
      </c>
      <c r="F1156" s="18"/>
      <c r="M1156" s="18"/>
      <c r="N1156" s="18"/>
      <c r="O1156" s="18"/>
      <c r="P1156" s="18"/>
      <c r="Q1156" s="22"/>
      <c r="R1156" s="21"/>
      <c r="S1156" s="21"/>
      <c r="T1156" s="21"/>
      <c r="AA1156"/>
      <c r="AH1156" t="str">
        <f t="shared" si="176"/>
        <v>k yet</v>
      </c>
    </row>
    <row r="1157" spans="1:34">
      <c r="A1157" s="42" t="s">
        <v>253</v>
      </c>
      <c r="B1157" s="1" t="s">
        <v>20</v>
      </c>
      <c r="C1157" s="40" t="str">
        <f t="shared" si="173"/>
        <v>08-&gt;</v>
      </c>
      <c r="D1157" s="40" t="str">
        <f t="shared" si="174"/>
        <v xml:space="preserve">No pick yet                                                 </v>
      </c>
      <c r="E1157" s="52">
        <f t="shared" si="175"/>
        <v>0</v>
      </c>
      <c r="F1157" s="18"/>
      <c r="M1157" s="18"/>
      <c r="N1157" s="18"/>
      <c r="O1157" s="18"/>
      <c r="P1157" s="18"/>
      <c r="Q1157" s="22"/>
      <c r="R1157" s="21"/>
      <c r="S1157" s="21"/>
      <c r="T1157" s="21"/>
      <c r="AA1157"/>
      <c r="AH1157" t="str">
        <f t="shared" si="176"/>
        <v>k yet</v>
      </c>
    </row>
    <row r="1158" spans="1:34">
      <c r="A1158" s="42" t="s">
        <v>254</v>
      </c>
      <c r="B1158" s="1" t="s">
        <v>20</v>
      </c>
      <c r="C1158" s="40" t="str">
        <f t="shared" si="173"/>
        <v>09-&gt;</v>
      </c>
      <c r="D1158" s="40" t="str">
        <f t="shared" si="174"/>
        <v xml:space="preserve">No pick yet                                                 </v>
      </c>
      <c r="E1158" s="52">
        <f t="shared" si="175"/>
        <v>0</v>
      </c>
      <c r="F1158" s="18"/>
      <c r="M1158" s="18"/>
      <c r="N1158" s="18"/>
      <c r="O1158" s="18"/>
      <c r="P1158" s="18"/>
      <c r="Q1158" s="22"/>
      <c r="R1158" s="21"/>
      <c r="S1158" s="21"/>
      <c r="T1158" s="21"/>
      <c r="AA1158"/>
      <c r="AH1158" t="str">
        <f t="shared" si="176"/>
        <v>k yet</v>
      </c>
    </row>
    <row r="1159" spans="1:34">
      <c r="A1159" s="42" t="s">
        <v>255</v>
      </c>
      <c r="B1159" s="1" t="s">
        <v>20</v>
      </c>
      <c r="C1159" s="40" t="str">
        <f t="shared" si="173"/>
        <v>10-&gt;</v>
      </c>
      <c r="D1159" s="40" t="str">
        <f t="shared" si="174"/>
        <v xml:space="preserve">No pick yet                                                 </v>
      </c>
      <c r="E1159" s="52">
        <f t="shared" si="175"/>
        <v>0</v>
      </c>
      <c r="F1159" s="22"/>
      <c r="M1159" s="18"/>
      <c r="N1159" s="18"/>
      <c r="O1159" s="18"/>
      <c r="P1159" s="18"/>
      <c r="Q1159" s="22"/>
      <c r="R1159" s="21"/>
      <c r="S1159" s="21"/>
      <c r="T1159" s="21"/>
      <c r="AA1159"/>
      <c r="AH1159" t="str">
        <f t="shared" si="176"/>
        <v>k yet</v>
      </c>
    </row>
    <row r="1160" spans="1:34">
      <c r="A1160" s="42" t="s">
        <v>256</v>
      </c>
      <c r="B1160" s="1" t="s">
        <v>20</v>
      </c>
      <c r="C1160" s="40" t="str">
        <f t="shared" si="173"/>
        <v>11-&gt;</v>
      </c>
      <c r="D1160" s="40" t="str">
        <f t="shared" si="174"/>
        <v xml:space="preserve">No pick yet                                                 </v>
      </c>
      <c r="E1160" s="52">
        <f t="shared" si="175"/>
        <v>0</v>
      </c>
      <c r="M1160" s="18"/>
      <c r="N1160" s="18"/>
      <c r="O1160" s="18"/>
      <c r="P1160" s="18"/>
      <c r="Q1160" s="22"/>
      <c r="R1160" s="21"/>
      <c r="S1160" s="21"/>
      <c r="T1160" s="21"/>
      <c r="AA1160"/>
      <c r="AH1160" t="str">
        <f t="shared" si="176"/>
        <v>k yet</v>
      </c>
    </row>
    <row r="1161" spans="1:34">
      <c r="A1161" s="42" t="s">
        <v>257</v>
      </c>
      <c r="B1161" s="1" t="s">
        <v>20</v>
      </c>
      <c r="C1161" s="40" t="str">
        <f t="shared" si="173"/>
        <v>12-&gt;</v>
      </c>
      <c r="D1161" s="40" t="str">
        <f t="shared" si="174"/>
        <v xml:space="preserve">No pick yet                                                 </v>
      </c>
      <c r="E1161" s="52">
        <f t="shared" si="175"/>
        <v>0</v>
      </c>
      <c r="M1161" s="18"/>
      <c r="N1161" s="18"/>
      <c r="O1161" s="18"/>
      <c r="P1161" s="18"/>
      <c r="Q1161" s="22"/>
      <c r="R1161" s="21"/>
      <c r="S1161" s="21"/>
      <c r="T1161" s="21"/>
      <c r="AA1161"/>
      <c r="AH1161" t="str">
        <f t="shared" si="176"/>
        <v>k yet</v>
      </c>
    </row>
    <row r="1162" spans="1:34">
      <c r="A1162" s="42" t="s">
        <v>258</v>
      </c>
      <c r="B1162" s="1" t="s">
        <v>20</v>
      </c>
      <c r="C1162" s="40" t="str">
        <f t="shared" si="173"/>
        <v>13-&gt;</v>
      </c>
      <c r="D1162" s="40" t="str">
        <f t="shared" si="174"/>
        <v xml:space="preserve">No pick yet                                                 </v>
      </c>
      <c r="E1162" s="52">
        <f t="shared" si="175"/>
        <v>0</v>
      </c>
      <c r="M1162" s="18"/>
      <c r="N1162" s="18"/>
      <c r="O1162" s="18"/>
      <c r="P1162" s="18"/>
      <c r="Q1162" s="22"/>
      <c r="R1162" s="21"/>
      <c r="S1162" s="21"/>
      <c r="T1162" s="21"/>
      <c r="AA1162"/>
      <c r="AH1162" t="str">
        <f t="shared" si="176"/>
        <v>k yet</v>
      </c>
    </row>
    <row r="1163" spans="1:34">
      <c r="A1163" s="42" t="s">
        <v>259</v>
      </c>
      <c r="B1163" s="1" t="s">
        <v>20</v>
      </c>
      <c r="C1163" s="40" t="str">
        <f t="shared" si="173"/>
        <v>14-&gt;</v>
      </c>
      <c r="D1163" s="40" t="str">
        <f t="shared" si="174"/>
        <v xml:space="preserve">No pick yet                                                 </v>
      </c>
      <c r="E1163" s="52">
        <f t="shared" si="175"/>
        <v>0</v>
      </c>
      <c r="G1163" s="22"/>
      <c r="I1163" s="22"/>
      <c r="J1163" s="22"/>
      <c r="M1163" s="18"/>
      <c r="N1163" s="18"/>
      <c r="O1163" s="18"/>
      <c r="P1163" s="18"/>
      <c r="Q1163" s="22"/>
      <c r="R1163" s="21"/>
      <c r="S1163" s="21"/>
      <c r="T1163" s="21"/>
      <c r="AA1163"/>
      <c r="AH1163" t="str">
        <f t="shared" si="176"/>
        <v>k yet</v>
      </c>
    </row>
    <row r="1164" spans="1:34">
      <c r="A1164" s="42" t="s">
        <v>260</v>
      </c>
      <c r="B1164" s="1" t="s">
        <v>20</v>
      </c>
      <c r="C1164" s="40" t="str">
        <f t="shared" si="173"/>
        <v>15-&gt;</v>
      </c>
      <c r="D1164" s="40" t="str">
        <f t="shared" si="174"/>
        <v xml:space="preserve">No pick yet                                                 </v>
      </c>
      <c r="E1164" s="52">
        <f t="shared" si="175"/>
        <v>0</v>
      </c>
      <c r="H1164" s="21"/>
      <c r="I1164" s="22"/>
      <c r="J1164" s="22"/>
      <c r="M1164" s="18"/>
      <c r="N1164" s="18"/>
      <c r="O1164" s="18"/>
      <c r="P1164" s="18"/>
      <c r="Q1164" s="22"/>
      <c r="R1164" s="21"/>
      <c r="S1164" s="21"/>
      <c r="T1164" s="21"/>
      <c r="AA1164"/>
      <c r="AH1164" t="str">
        <f t="shared" si="176"/>
        <v>k yet</v>
      </c>
    </row>
    <row r="1165" spans="1:34">
      <c r="A1165" s="42" t="s">
        <v>261</v>
      </c>
      <c r="B1165" s="1" t="s">
        <v>20</v>
      </c>
      <c r="C1165" s="40" t="str">
        <f t="shared" si="173"/>
        <v>16-&gt;</v>
      </c>
      <c r="D1165" s="40" t="str">
        <f t="shared" si="174"/>
        <v xml:space="preserve">No pick yet                                                 </v>
      </c>
      <c r="E1165" s="52">
        <f t="shared" si="175"/>
        <v>0</v>
      </c>
      <c r="M1165" s="18"/>
      <c r="N1165" s="18"/>
      <c r="O1165" s="18"/>
      <c r="P1165" s="18"/>
      <c r="Q1165" s="22"/>
      <c r="R1165" s="21"/>
      <c r="S1165" s="21"/>
      <c r="T1165" s="21"/>
      <c r="AA1165"/>
      <c r="AH1165" t="str">
        <f t="shared" si="176"/>
        <v>k yet</v>
      </c>
    </row>
    <row r="1166" spans="1:34">
      <c r="A1166" s="42" t="s">
        <v>262</v>
      </c>
      <c r="B1166" s="1" t="s">
        <v>20</v>
      </c>
      <c r="C1166" s="40" t="str">
        <f t="shared" si="173"/>
        <v>17-&gt;</v>
      </c>
      <c r="D1166" s="40" t="str">
        <f t="shared" si="174"/>
        <v xml:space="preserve">No pick yet                                                 </v>
      </c>
      <c r="E1166" s="52">
        <f t="shared" si="175"/>
        <v>0</v>
      </c>
      <c r="K1166" s="22"/>
      <c r="N1166" s="22"/>
      <c r="O1166" s="22"/>
      <c r="P1166" s="22"/>
      <c r="Q1166" s="22"/>
      <c r="R1166" s="22"/>
      <c r="S1166" s="22"/>
      <c r="Z1166" s="53"/>
      <c r="AA1166"/>
      <c r="AH1166" t="str">
        <f t="shared" si="176"/>
        <v>k yet</v>
      </c>
    </row>
    <row r="1167" spans="1:34">
      <c r="A1167" s="42" t="s">
        <v>263</v>
      </c>
      <c r="B1167" s="1" t="s">
        <v>20</v>
      </c>
      <c r="C1167" s="40" t="str">
        <f t="shared" si="173"/>
        <v>18-&gt;</v>
      </c>
      <c r="D1167" s="40" t="str">
        <f t="shared" si="174"/>
        <v xml:space="preserve">No pick yet                                                 </v>
      </c>
      <c r="E1167" s="52">
        <f t="shared" si="175"/>
        <v>0</v>
      </c>
      <c r="F1167" s="18"/>
      <c r="L1167" s="21"/>
      <c r="N1167" s="22"/>
      <c r="O1167" s="22"/>
      <c r="P1167" s="18"/>
      <c r="Q1167" s="22"/>
      <c r="R1167" s="22"/>
      <c r="S1167" s="22"/>
      <c r="Z1167" s="53"/>
      <c r="AA1167"/>
      <c r="AH1167" t="str">
        <f t="shared" si="176"/>
        <v>k yet</v>
      </c>
    </row>
    <row r="1168" spans="1:34">
      <c r="A1168" s="42" t="s">
        <v>264</v>
      </c>
      <c r="B1168" s="1" t="s">
        <v>20</v>
      </c>
      <c r="C1168" s="40" t="str">
        <f t="shared" si="173"/>
        <v>19-&gt;</v>
      </c>
      <c r="D1168" s="40" t="str">
        <f t="shared" si="174"/>
        <v xml:space="preserve">No pick yet                                                 </v>
      </c>
      <c r="E1168" s="52">
        <f t="shared" si="175"/>
        <v>0</v>
      </c>
      <c r="F1168" s="18"/>
      <c r="M1168" s="18"/>
      <c r="N1168" s="18"/>
      <c r="O1168" s="18"/>
      <c r="P1168" s="18"/>
      <c r="Q1168" s="22"/>
      <c r="R1168" s="21"/>
      <c r="S1168" s="21"/>
      <c r="T1168" s="21"/>
      <c r="AA1168"/>
      <c r="AH1168" t="str">
        <f t="shared" si="176"/>
        <v>k yet</v>
      </c>
    </row>
    <row r="1169" spans="1:39">
      <c r="A1169" s="42" t="s">
        <v>265</v>
      </c>
      <c r="B1169" s="1" t="s">
        <v>20</v>
      </c>
      <c r="C1169" s="40" t="str">
        <f t="shared" si="173"/>
        <v>20-&gt;</v>
      </c>
      <c r="D1169" s="40" t="str">
        <f t="shared" si="174"/>
        <v xml:space="preserve">No pick yet                                                 </v>
      </c>
      <c r="E1169" s="52">
        <f t="shared" si="175"/>
        <v>0</v>
      </c>
      <c r="F1169" s="18"/>
      <c r="M1169" s="18"/>
      <c r="N1169" s="18"/>
      <c r="O1169" s="18"/>
      <c r="P1169" s="18"/>
      <c r="Q1169" s="22"/>
      <c r="R1169" s="21"/>
      <c r="S1169" s="21"/>
      <c r="T1169" s="21"/>
      <c r="AA1169"/>
      <c r="AH1169" t="str">
        <f t="shared" si="176"/>
        <v>k yet</v>
      </c>
    </row>
    <row r="1170" spans="1:39">
      <c r="A1170" s="42" t="s">
        <v>266</v>
      </c>
      <c r="B1170" s="1" t="s">
        <v>20</v>
      </c>
      <c r="C1170" s="40" t="str">
        <f t="shared" si="173"/>
        <v>21-&gt;</v>
      </c>
      <c r="D1170" s="40" t="str">
        <f t="shared" si="174"/>
        <v xml:space="preserve">No pick yet                                                 </v>
      </c>
      <c r="E1170" s="52">
        <f t="shared" si="175"/>
        <v>0</v>
      </c>
      <c r="F1170" s="18"/>
      <c r="M1170" s="18"/>
      <c r="N1170" s="18"/>
      <c r="O1170" s="18"/>
      <c r="P1170" s="18"/>
      <c r="Q1170" s="22"/>
      <c r="R1170" s="21"/>
      <c r="S1170" s="21"/>
      <c r="T1170" s="21"/>
      <c r="AA1170"/>
      <c r="AH1170" t="str">
        <f t="shared" si="176"/>
        <v>k yet</v>
      </c>
    </row>
    <row r="1171" spans="1:39">
      <c r="A1171" s="42" t="s">
        <v>267</v>
      </c>
      <c r="B1171" s="1" t="s">
        <v>20</v>
      </c>
      <c r="C1171" s="40" t="str">
        <f t="shared" si="173"/>
        <v>22-&gt;</v>
      </c>
      <c r="D1171" s="40" t="str">
        <f t="shared" si="174"/>
        <v xml:space="preserve">No pick yet                                                 </v>
      </c>
      <c r="E1171" s="52">
        <f t="shared" si="175"/>
        <v>0</v>
      </c>
      <c r="F1171" s="18"/>
      <c r="M1171" s="18"/>
      <c r="N1171" s="18"/>
      <c r="O1171" s="18"/>
      <c r="P1171" s="18"/>
      <c r="Q1171" s="22"/>
      <c r="R1171" s="21"/>
      <c r="S1171" s="21"/>
      <c r="T1171" s="21"/>
      <c r="AA1171"/>
      <c r="AH1171" t="str">
        <f t="shared" si="176"/>
        <v>k yet</v>
      </c>
    </row>
    <row r="1172" spans="1:39">
      <c r="A1172" s="42" t="s">
        <v>268</v>
      </c>
      <c r="B1172" s="1" t="s">
        <v>20</v>
      </c>
      <c r="C1172" s="40" t="str">
        <f t="shared" si="173"/>
        <v>23-&gt;</v>
      </c>
      <c r="D1172" s="40" t="str">
        <f t="shared" si="174"/>
        <v xml:space="preserve">No pick yet                                                 </v>
      </c>
      <c r="E1172" s="52">
        <f t="shared" si="175"/>
        <v>0</v>
      </c>
      <c r="F1172" s="18"/>
      <c r="M1172" s="18"/>
      <c r="N1172" s="18"/>
      <c r="O1172" s="18"/>
      <c r="P1172" s="18"/>
      <c r="Q1172" s="22"/>
      <c r="R1172" s="21"/>
      <c r="S1172" s="21"/>
      <c r="T1172" s="21"/>
      <c r="AA1172"/>
      <c r="AH1172" t="str">
        <f t="shared" si="176"/>
        <v>k yet</v>
      </c>
    </row>
    <row r="1173" spans="1:39">
      <c r="A1173" s="42" t="s">
        <v>269</v>
      </c>
      <c r="B1173" s="1" t="s">
        <v>20</v>
      </c>
      <c r="C1173" s="40" t="str">
        <f t="shared" si="173"/>
        <v>24-&gt;</v>
      </c>
      <c r="D1173" s="40" t="str">
        <f t="shared" si="174"/>
        <v xml:space="preserve">No pick yet                                                 </v>
      </c>
      <c r="E1173" s="52">
        <f t="shared" si="175"/>
        <v>0</v>
      </c>
      <c r="F1173" s="18"/>
      <c r="M1173" s="18"/>
      <c r="N1173" s="18"/>
      <c r="O1173" s="18"/>
      <c r="P1173" s="18"/>
      <c r="Q1173" s="22"/>
      <c r="R1173" s="21"/>
      <c r="S1173" s="21"/>
      <c r="T1173" s="21"/>
      <c r="AA1173"/>
      <c r="AH1173" t="str">
        <f t="shared" si="176"/>
        <v>k yet</v>
      </c>
    </row>
    <row r="1174" spans="1:39">
      <c r="A1174" s="42" t="s">
        <v>270</v>
      </c>
      <c r="B1174" s="1" t="s">
        <v>20</v>
      </c>
      <c r="C1174" s="40" t="str">
        <f t="shared" si="173"/>
        <v>25-&gt;</v>
      </c>
      <c r="D1174" s="40" t="str">
        <f t="shared" si="174"/>
        <v xml:space="preserve">No pick yet                                                 </v>
      </c>
      <c r="E1174" s="52">
        <f t="shared" si="175"/>
        <v>0</v>
      </c>
      <c r="F1174" s="18"/>
      <c r="M1174" s="18"/>
      <c r="N1174" s="18"/>
      <c r="O1174" s="18"/>
      <c r="P1174" s="18"/>
      <c r="Q1174" s="22"/>
      <c r="R1174" s="21"/>
      <c r="S1174" s="21"/>
      <c r="T1174" s="21"/>
      <c r="AA1174"/>
      <c r="AH1174" t="str">
        <f t="shared" si="176"/>
        <v>k yet</v>
      </c>
    </row>
    <row r="1175" spans="1:39">
      <c r="A1175" s="42" t="s">
        <v>271</v>
      </c>
      <c r="B1175" s="1" t="s">
        <v>20</v>
      </c>
      <c r="C1175" s="40" t="str">
        <f t="shared" si="173"/>
        <v>26-&gt;</v>
      </c>
      <c r="D1175" s="40" t="str">
        <f t="shared" si="174"/>
        <v xml:space="preserve">No pick yet                                                 </v>
      </c>
      <c r="E1175" s="52">
        <f t="shared" si="175"/>
        <v>0</v>
      </c>
      <c r="F1175" s="18"/>
      <c r="M1175" s="18"/>
      <c r="N1175" s="18"/>
      <c r="O1175" s="18"/>
      <c r="P1175" s="18"/>
      <c r="Q1175" s="22"/>
      <c r="R1175" s="21"/>
      <c r="S1175" s="21"/>
      <c r="T1175" s="21"/>
      <c r="AA1175"/>
      <c r="AH1175" t="str">
        <f t="shared" si="176"/>
        <v>k yet</v>
      </c>
    </row>
    <row r="1176" spans="1:39">
      <c r="A1176" s="38"/>
      <c r="B1176" s="59"/>
      <c r="C1176" s="40"/>
      <c r="D1176" s="49"/>
      <c r="E1176" s="41" t="s">
        <v>69</v>
      </c>
      <c r="F1176" s="18"/>
      <c r="K1176" s="22" t="s">
        <v>73</v>
      </c>
      <c r="L1176" s="18" t="s">
        <v>74</v>
      </c>
      <c r="M1176" s="22" t="s">
        <v>78</v>
      </c>
      <c r="N1176" s="22" t="s">
        <v>79</v>
      </c>
      <c r="O1176" s="22" t="s">
        <v>80</v>
      </c>
      <c r="P1176" s="22" t="s">
        <v>81</v>
      </c>
      <c r="Q1176" s="22" t="s">
        <v>82</v>
      </c>
      <c r="R1176" s="22" t="s">
        <v>83</v>
      </c>
      <c r="S1176" s="22" t="s">
        <v>84</v>
      </c>
      <c r="T1176" s="18" t="s">
        <v>85</v>
      </c>
      <c r="U1176" s="18" t="s">
        <v>86</v>
      </c>
      <c r="V1176" s="18" t="s">
        <v>87</v>
      </c>
      <c r="W1176" s="18" t="s">
        <v>88</v>
      </c>
      <c r="X1176" s="18" t="s">
        <v>89</v>
      </c>
      <c r="Y1176" s="18" t="s">
        <v>90</v>
      </c>
      <c r="Z1176" s="18" t="s">
        <v>91</v>
      </c>
      <c r="AA1176" s="18" t="s">
        <v>92</v>
      </c>
      <c r="AB1176" s="18" t="s">
        <v>93</v>
      </c>
      <c r="AC1176" s="18" t="s">
        <v>94</v>
      </c>
      <c r="AD1176" s="18" t="s">
        <v>235</v>
      </c>
      <c r="AE1176" s="18" t="s">
        <v>236</v>
      </c>
      <c r="AF1176" s="18" t="s">
        <v>237</v>
      </c>
      <c r="AG1176" s="18" t="s">
        <v>238</v>
      </c>
      <c r="AH1176" s="18" t="s">
        <v>239</v>
      </c>
      <c r="AI1176" s="18" t="s">
        <v>240</v>
      </c>
      <c r="AJ1176" s="18" t="s">
        <v>241</v>
      </c>
      <c r="AK1176" s="18" t="s">
        <v>242</v>
      </c>
      <c r="AL1176" s="18" t="s">
        <v>243</v>
      </c>
      <c r="AM1176" s="50" t="s">
        <v>244</v>
      </c>
    </row>
    <row r="1177" spans="1:39">
      <c r="A1177" s="40" t="s">
        <v>245</v>
      </c>
      <c r="B1177" s="51" t="str">
        <f>D41</f>
        <v/>
      </c>
      <c r="C1177" s="40" t="str">
        <f t="shared" ref="C1177:C1203" si="177">A1177</f>
        <v>#</v>
      </c>
      <c r="D1177" s="40" t="str">
        <f>"   "&amp;B1177&amp;REPT(" ",$AH$70-LEN(B1177)-3)</f>
        <v xml:space="preserve">                                                            </v>
      </c>
      <c r="E1177" s="38" t="str">
        <f>SUM(E1178:E1203)&amp;" pts[/b]"</f>
        <v>0 pts[/b]</v>
      </c>
      <c r="F1177" s="21">
        <f>SUM(E1178:E1203)</f>
        <v>0</v>
      </c>
      <c r="K1177" s="18">
        <f>COUNTIF(E1178:E1203,"&gt;0")</f>
        <v>0</v>
      </c>
      <c r="L1177" s="21">
        <f>AM1177-K1177</f>
        <v>0</v>
      </c>
      <c r="M1177" s="22">
        <f>MAX(E1178:E1203)</f>
        <v>0</v>
      </c>
      <c r="N1177" s="22">
        <f>LARGE(E1178:E1203,2)</f>
        <v>0</v>
      </c>
      <c r="O1177" s="22">
        <f>LARGE(E1178:E1203,3)</f>
        <v>0</v>
      </c>
      <c r="P1177" s="18">
        <f>LARGE(E1178:E1203,4)</f>
        <v>0</v>
      </c>
      <c r="Q1177" s="22">
        <f>LARGE(E1178:E1203,5)</f>
        <v>0</v>
      </c>
      <c r="R1177" s="22">
        <f>LARGE(E1178:E1203,6)</f>
        <v>0</v>
      </c>
      <c r="S1177" s="22">
        <f>LARGE(E1178:E1203,7)</f>
        <v>0</v>
      </c>
      <c r="T1177" s="18">
        <f>LARGE(E1178:E1203,8)</f>
        <v>0</v>
      </c>
      <c r="U1177" s="18">
        <f>LARGE(E1178:E1203,9)</f>
        <v>0</v>
      </c>
      <c r="V1177" s="18">
        <f>LARGE(E1178:E1203,10)</f>
        <v>0</v>
      </c>
      <c r="W1177" s="18">
        <f>LARGE(E1178:E1203,11)</f>
        <v>0</v>
      </c>
      <c r="X1177" s="18">
        <f>LARGE(E1178:E1203,12)</f>
        <v>0</v>
      </c>
      <c r="Y1177" s="18">
        <f>LARGE(E1178:E1203,13)</f>
        <v>0</v>
      </c>
      <c r="Z1177" s="18">
        <f>LARGE(E1178:E1203,14)</f>
        <v>0</v>
      </c>
      <c r="AA1177" s="18">
        <f>LARGE(E1178:E1203,15)</f>
        <v>0</v>
      </c>
      <c r="AB1177" s="18">
        <f>LARGE(E1178:E1203,16)</f>
        <v>0</v>
      </c>
      <c r="AC1177" s="18">
        <f>LARGE(E1178:E1203,17)</f>
        <v>0</v>
      </c>
      <c r="AD1177" s="18">
        <f>LARGE(E1178:E1204,13)</f>
        <v>0</v>
      </c>
      <c r="AE1177" s="18">
        <f>LARGE(E1178:E1203,19)</f>
        <v>0</v>
      </c>
      <c r="AF1177" s="18">
        <f>LARGE(E1178:E1203,20)</f>
        <v>0</v>
      </c>
      <c r="AG1177" s="18">
        <f>LARGE(E1178:E1203,21)</f>
        <v>0</v>
      </c>
      <c r="AH1177" s="18">
        <f>LARGE(E1178:E1203,22)</f>
        <v>0</v>
      </c>
      <c r="AI1177" s="18">
        <f>LARGE(E1178:E1203,23)</f>
        <v>0</v>
      </c>
      <c r="AJ1177" s="18">
        <f>LARGE(E1178:E1203,24)</f>
        <v>0</v>
      </c>
      <c r="AK1177" s="18">
        <f>LARGE(E1178:E1203,25)</f>
        <v>0</v>
      </c>
      <c r="AL1177" s="18">
        <f>LARGE(E1178:E1203,26)</f>
        <v>0</v>
      </c>
      <c r="AM1177" s="50">
        <f>COUNTIF(AH1178:AH1203,"&lt;&gt;"&amp;AH76)-(26-COUNTIF(E1178:E1203,"&gt;=0"))</f>
        <v>0</v>
      </c>
    </row>
    <row r="1178" spans="1:39">
      <c r="A1178" s="42" t="s">
        <v>246</v>
      </c>
      <c r="B1178" s="1" t="s">
        <v>20</v>
      </c>
      <c r="C1178" s="40" t="str">
        <f t="shared" si="177"/>
        <v>01-&gt;</v>
      </c>
      <c r="D1178" s="40" t="str">
        <f t="shared" ref="D1178:D1203" si="178">B1178&amp;REPT(" ",$AH$70-LEN(B1178))</f>
        <v xml:space="preserve">No pick yet                                                 </v>
      </c>
      <c r="E1178" s="52">
        <f t="shared" ref="E1178:E1203" si="179">VLOOKUP(RIGHT(B1178,LEN(B1178)-$AH$66),$H$138:$I$420,2,0)</f>
        <v>0</v>
      </c>
      <c r="F1178" s="18"/>
      <c r="M1178" s="18"/>
      <c r="N1178" s="18"/>
      <c r="O1178" s="18"/>
      <c r="P1178" s="18"/>
      <c r="Q1178" s="22"/>
      <c r="R1178" s="21"/>
      <c r="S1178" s="21"/>
      <c r="T1178" s="21"/>
      <c r="AA1178"/>
      <c r="AH1178" t="str">
        <f t="shared" ref="AH1178:AH1203" si="180">RIGHT(B1178,LEN(B1178)-$AH$66)</f>
        <v>k yet</v>
      </c>
    </row>
    <row r="1179" spans="1:39">
      <c r="A1179" s="42" t="s">
        <v>247</v>
      </c>
      <c r="B1179" s="1" t="s">
        <v>20</v>
      </c>
      <c r="C1179" s="40" t="str">
        <f t="shared" si="177"/>
        <v>02-&gt;</v>
      </c>
      <c r="D1179" s="40" t="str">
        <f t="shared" si="178"/>
        <v xml:space="preserve">No pick yet                                                 </v>
      </c>
      <c r="E1179" s="52">
        <f t="shared" si="179"/>
        <v>0</v>
      </c>
      <c r="F1179" s="18"/>
      <c r="K1179" s="22"/>
      <c r="N1179" s="22"/>
      <c r="O1179" s="22"/>
      <c r="P1179" s="22"/>
      <c r="Q1179" s="22"/>
      <c r="R1179" s="22"/>
      <c r="S1179" s="22"/>
      <c r="Z1179" s="53"/>
      <c r="AA1179"/>
      <c r="AH1179" t="str">
        <f t="shared" si="180"/>
        <v>k yet</v>
      </c>
    </row>
    <row r="1180" spans="1:39">
      <c r="A1180" s="42" t="s">
        <v>248</v>
      </c>
      <c r="B1180" s="1" t="s">
        <v>20</v>
      </c>
      <c r="C1180" s="40" t="str">
        <f t="shared" si="177"/>
        <v>03-&gt;</v>
      </c>
      <c r="D1180" s="40" t="str">
        <f t="shared" si="178"/>
        <v xml:space="preserve">No pick yet                                                 </v>
      </c>
      <c r="E1180" s="52">
        <f t="shared" si="179"/>
        <v>0</v>
      </c>
      <c r="F1180" s="18"/>
      <c r="L1180" s="21"/>
      <c r="N1180" s="22"/>
      <c r="O1180" s="22"/>
      <c r="P1180" s="18"/>
      <c r="Q1180" s="22"/>
      <c r="R1180" s="22"/>
      <c r="S1180" s="22"/>
      <c r="Z1180" s="53"/>
      <c r="AA1180"/>
      <c r="AH1180" t="str">
        <f t="shared" si="180"/>
        <v>k yet</v>
      </c>
    </row>
    <row r="1181" spans="1:39">
      <c r="A1181" s="42" t="s">
        <v>249</v>
      </c>
      <c r="B1181" s="1" t="s">
        <v>20</v>
      </c>
      <c r="C1181" s="40" t="str">
        <f t="shared" si="177"/>
        <v>04-&gt;</v>
      </c>
      <c r="D1181" s="40" t="str">
        <f t="shared" si="178"/>
        <v xml:space="preserve">No pick yet                                                 </v>
      </c>
      <c r="E1181" s="52">
        <f t="shared" si="179"/>
        <v>0</v>
      </c>
      <c r="F1181" s="18"/>
      <c r="M1181" s="18"/>
      <c r="N1181" s="18"/>
      <c r="O1181" s="18"/>
      <c r="P1181" s="18"/>
      <c r="Q1181" s="22"/>
      <c r="R1181" s="21"/>
      <c r="S1181" s="21"/>
      <c r="T1181" s="21"/>
      <c r="AA1181"/>
      <c r="AH1181" t="str">
        <f t="shared" si="180"/>
        <v>k yet</v>
      </c>
    </row>
    <row r="1182" spans="1:39">
      <c r="A1182" s="42" t="s">
        <v>250</v>
      </c>
      <c r="B1182" s="1" t="s">
        <v>20</v>
      </c>
      <c r="C1182" s="40" t="str">
        <f t="shared" si="177"/>
        <v>05-&gt;</v>
      </c>
      <c r="D1182" s="40" t="str">
        <f t="shared" si="178"/>
        <v xml:space="preserve">No pick yet                                                 </v>
      </c>
      <c r="E1182" s="52">
        <f t="shared" si="179"/>
        <v>0</v>
      </c>
      <c r="F1182" s="18"/>
      <c r="M1182" s="18"/>
      <c r="N1182" s="18"/>
      <c r="O1182" s="18"/>
      <c r="P1182" s="18"/>
      <c r="Q1182" s="22"/>
      <c r="R1182" s="21"/>
      <c r="S1182" s="21"/>
      <c r="T1182" s="21"/>
      <c r="AA1182"/>
      <c r="AH1182" t="str">
        <f t="shared" si="180"/>
        <v>k yet</v>
      </c>
    </row>
    <row r="1183" spans="1:39">
      <c r="A1183" s="42" t="s">
        <v>251</v>
      </c>
      <c r="B1183" s="1" t="s">
        <v>20</v>
      </c>
      <c r="C1183" s="40" t="str">
        <f t="shared" si="177"/>
        <v>06-&gt;</v>
      </c>
      <c r="D1183" s="40" t="str">
        <f t="shared" si="178"/>
        <v xml:space="preserve">No pick yet                                                 </v>
      </c>
      <c r="E1183" s="52">
        <f t="shared" si="179"/>
        <v>0</v>
      </c>
      <c r="F1183" s="18"/>
      <c r="M1183" s="18"/>
      <c r="N1183" s="18"/>
      <c r="O1183" s="18"/>
      <c r="P1183" s="18"/>
      <c r="Q1183" s="22"/>
      <c r="R1183" s="21"/>
      <c r="S1183" s="21"/>
      <c r="T1183" s="21"/>
      <c r="AA1183"/>
      <c r="AH1183" t="str">
        <f t="shared" si="180"/>
        <v>k yet</v>
      </c>
    </row>
    <row r="1184" spans="1:39">
      <c r="A1184" s="42" t="s">
        <v>252</v>
      </c>
      <c r="B1184" s="1" t="s">
        <v>20</v>
      </c>
      <c r="C1184" s="40" t="str">
        <f t="shared" si="177"/>
        <v>07-&gt;</v>
      </c>
      <c r="D1184" s="40" t="str">
        <f t="shared" si="178"/>
        <v xml:space="preserve">No pick yet                                                 </v>
      </c>
      <c r="E1184" s="52">
        <f t="shared" si="179"/>
        <v>0</v>
      </c>
      <c r="F1184" s="18"/>
      <c r="M1184" s="18"/>
      <c r="N1184" s="18"/>
      <c r="O1184" s="18"/>
      <c r="P1184" s="18"/>
      <c r="Q1184" s="22"/>
      <c r="R1184" s="21"/>
      <c r="S1184" s="21"/>
      <c r="T1184" s="21"/>
      <c r="AA1184"/>
      <c r="AH1184" t="str">
        <f t="shared" si="180"/>
        <v>k yet</v>
      </c>
    </row>
    <row r="1185" spans="1:34">
      <c r="A1185" s="42" t="s">
        <v>253</v>
      </c>
      <c r="B1185" s="1" t="s">
        <v>20</v>
      </c>
      <c r="C1185" s="40" t="str">
        <f t="shared" si="177"/>
        <v>08-&gt;</v>
      </c>
      <c r="D1185" s="40" t="str">
        <f t="shared" si="178"/>
        <v xml:space="preserve">No pick yet                                                 </v>
      </c>
      <c r="E1185" s="52">
        <f t="shared" si="179"/>
        <v>0</v>
      </c>
      <c r="F1185" s="18"/>
      <c r="M1185" s="18"/>
      <c r="N1185" s="18"/>
      <c r="O1185" s="18"/>
      <c r="P1185" s="18"/>
      <c r="Q1185" s="22"/>
      <c r="R1185" s="21"/>
      <c r="S1185" s="21"/>
      <c r="T1185" s="21"/>
      <c r="AA1185"/>
      <c r="AH1185" t="str">
        <f t="shared" si="180"/>
        <v>k yet</v>
      </c>
    </row>
    <row r="1186" spans="1:34">
      <c r="A1186" s="42" t="s">
        <v>254</v>
      </c>
      <c r="B1186" s="1" t="s">
        <v>20</v>
      </c>
      <c r="C1186" s="40" t="str">
        <f t="shared" si="177"/>
        <v>09-&gt;</v>
      </c>
      <c r="D1186" s="40" t="str">
        <f t="shared" si="178"/>
        <v xml:space="preserve">No pick yet                                                 </v>
      </c>
      <c r="E1186" s="52">
        <f t="shared" si="179"/>
        <v>0</v>
      </c>
      <c r="F1186" s="18"/>
      <c r="M1186" s="18"/>
      <c r="N1186" s="18"/>
      <c r="O1186" s="18"/>
      <c r="P1186" s="18"/>
      <c r="Q1186" s="22"/>
      <c r="R1186" s="21"/>
      <c r="S1186" s="21"/>
      <c r="T1186" s="21"/>
      <c r="AA1186"/>
      <c r="AH1186" t="str">
        <f t="shared" si="180"/>
        <v>k yet</v>
      </c>
    </row>
    <row r="1187" spans="1:34">
      <c r="A1187" s="42" t="s">
        <v>255</v>
      </c>
      <c r="B1187" s="1" t="s">
        <v>20</v>
      </c>
      <c r="C1187" s="40" t="str">
        <f t="shared" si="177"/>
        <v>10-&gt;</v>
      </c>
      <c r="D1187" s="40" t="str">
        <f t="shared" si="178"/>
        <v xml:space="preserve">No pick yet                                                 </v>
      </c>
      <c r="E1187" s="52">
        <f t="shared" si="179"/>
        <v>0</v>
      </c>
      <c r="F1187" s="22"/>
      <c r="M1187" s="18"/>
      <c r="N1187" s="18"/>
      <c r="O1187" s="18"/>
      <c r="P1187" s="18"/>
      <c r="Q1187" s="22"/>
      <c r="R1187" s="21"/>
      <c r="S1187" s="21"/>
      <c r="T1187" s="21"/>
      <c r="AA1187"/>
      <c r="AH1187" t="str">
        <f t="shared" si="180"/>
        <v>k yet</v>
      </c>
    </row>
    <row r="1188" spans="1:34">
      <c r="A1188" s="42" t="s">
        <v>256</v>
      </c>
      <c r="B1188" s="1" t="s">
        <v>20</v>
      </c>
      <c r="C1188" s="40" t="str">
        <f t="shared" si="177"/>
        <v>11-&gt;</v>
      </c>
      <c r="D1188" s="40" t="str">
        <f t="shared" si="178"/>
        <v xml:space="preserve">No pick yet                                                 </v>
      </c>
      <c r="E1188" s="52">
        <f t="shared" si="179"/>
        <v>0</v>
      </c>
      <c r="M1188" s="18"/>
      <c r="N1188" s="18"/>
      <c r="O1188" s="18"/>
      <c r="P1188" s="18"/>
      <c r="Q1188" s="22"/>
      <c r="R1188" s="21"/>
      <c r="S1188" s="21"/>
      <c r="T1188" s="21"/>
      <c r="AA1188"/>
      <c r="AH1188" t="str">
        <f t="shared" si="180"/>
        <v>k yet</v>
      </c>
    </row>
    <row r="1189" spans="1:34">
      <c r="A1189" s="42" t="s">
        <v>257</v>
      </c>
      <c r="B1189" s="1" t="s">
        <v>20</v>
      </c>
      <c r="C1189" s="40" t="str">
        <f t="shared" si="177"/>
        <v>12-&gt;</v>
      </c>
      <c r="D1189" s="40" t="str">
        <f t="shared" si="178"/>
        <v xml:space="preserve">No pick yet                                                 </v>
      </c>
      <c r="E1189" s="52">
        <f t="shared" si="179"/>
        <v>0</v>
      </c>
      <c r="M1189" s="18"/>
      <c r="N1189" s="18"/>
      <c r="O1189" s="18"/>
      <c r="P1189" s="18"/>
      <c r="Q1189" s="22"/>
      <c r="R1189" s="21"/>
      <c r="S1189" s="21"/>
      <c r="T1189" s="21"/>
      <c r="AA1189"/>
      <c r="AH1189" t="str">
        <f t="shared" si="180"/>
        <v>k yet</v>
      </c>
    </row>
    <row r="1190" spans="1:34">
      <c r="A1190" s="42" t="s">
        <v>258</v>
      </c>
      <c r="B1190" s="1" t="s">
        <v>20</v>
      </c>
      <c r="C1190" s="40" t="str">
        <f t="shared" si="177"/>
        <v>13-&gt;</v>
      </c>
      <c r="D1190" s="40" t="str">
        <f t="shared" si="178"/>
        <v xml:space="preserve">No pick yet                                                 </v>
      </c>
      <c r="E1190" s="52">
        <f t="shared" si="179"/>
        <v>0</v>
      </c>
      <c r="M1190" s="18"/>
      <c r="N1190" s="18"/>
      <c r="O1190" s="18"/>
      <c r="P1190" s="18"/>
      <c r="Q1190" s="22"/>
      <c r="R1190" s="21"/>
      <c r="S1190" s="21"/>
      <c r="T1190" s="21"/>
      <c r="AA1190"/>
      <c r="AH1190" t="str">
        <f t="shared" si="180"/>
        <v>k yet</v>
      </c>
    </row>
    <row r="1191" spans="1:34">
      <c r="A1191" s="42" t="s">
        <v>259</v>
      </c>
      <c r="B1191" s="1" t="s">
        <v>20</v>
      </c>
      <c r="C1191" s="40" t="str">
        <f t="shared" si="177"/>
        <v>14-&gt;</v>
      </c>
      <c r="D1191" s="40" t="str">
        <f t="shared" si="178"/>
        <v xml:space="preserve">No pick yet                                                 </v>
      </c>
      <c r="E1191" s="52">
        <f t="shared" si="179"/>
        <v>0</v>
      </c>
      <c r="M1191" s="18"/>
      <c r="N1191" s="18"/>
      <c r="O1191" s="18"/>
      <c r="P1191" s="18"/>
      <c r="Q1191" s="22"/>
      <c r="R1191" s="21"/>
      <c r="S1191" s="21"/>
      <c r="T1191" s="21"/>
      <c r="AA1191"/>
      <c r="AH1191" t="str">
        <f t="shared" si="180"/>
        <v>k yet</v>
      </c>
    </row>
    <row r="1192" spans="1:34">
      <c r="A1192" s="42" t="s">
        <v>260</v>
      </c>
      <c r="B1192" s="1" t="s">
        <v>20</v>
      </c>
      <c r="C1192" s="40" t="str">
        <f t="shared" si="177"/>
        <v>15-&gt;</v>
      </c>
      <c r="D1192" s="40" t="str">
        <f t="shared" si="178"/>
        <v xml:space="preserve">No pick yet                                                 </v>
      </c>
      <c r="E1192" s="52">
        <f t="shared" si="179"/>
        <v>0</v>
      </c>
      <c r="M1192" s="18"/>
      <c r="N1192" s="18"/>
      <c r="O1192" s="18"/>
      <c r="P1192" s="18"/>
      <c r="Q1192" s="22"/>
      <c r="R1192" s="21"/>
      <c r="S1192" s="21"/>
      <c r="T1192" s="21"/>
      <c r="AA1192"/>
      <c r="AH1192" t="str">
        <f t="shared" si="180"/>
        <v>k yet</v>
      </c>
    </row>
    <row r="1193" spans="1:34">
      <c r="A1193" s="42" t="s">
        <v>261</v>
      </c>
      <c r="B1193" s="1" t="s">
        <v>20</v>
      </c>
      <c r="C1193" s="40" t="str">
        <f t="shared" si="177"/>
        <v>16-&gt;</v>
      </c>
      <c r="D1193" s="40" t="str">
        <f t="shared" si="178"/>
        <v xml:space="preserve">No pick yet                                                 </v>
      </c>
      <c r="E1193" s="52">
        <f t="shared" si="179"/>
        <v>0</v>
      </c>
      <c r="M1193" s="18"/>
      <c r="N1193" s="18"/>
      <c r="O1193" s="18"/>
      <c r="P1193" s="18"/>
      <c r="Q1193" s="22"/>
      <c r="R1193" s="21"/>
      <c r="S1193" s="21"/>
      <c r="T1193" s="21"/>
      <c r="AA1193"/>
      <c r="AH1193" t="str">
        <f t="shared" si="180"/>
        <v>k yet</v>
      </c>
    </row>
    <row r="1194" spans="1:34">
      <c r="A1194" s="42" t="s">
        <v>262</v>
      </c>
      <c r="B1194" s="1" t="s">
        <v>20</v>
      </c>
      <c r="C1194" s="40" t="str">
        <f t="shared" si="177"/>
        <v>17-&gt;</v>
      </c>
      <c r="D1194" s="40" t="str">
        <f t="shared" si="178"/>
        <v xml:space="preserve">No pick yet                                                 </v>
      </c>
      <c r="E1194" s="52">
        <f t="shared" si="179"/>
        <v>0</v>
      </c>
      <c r="K1194" s="22"/>
      <c r="N1194" s="22"/>
      <c r="O1194" s="22"/>
      <c r="P1194" s="22"/>
      <c r="Q1194" s="22"/>
      <c r="R1194" s="22"/>
      <c r="S1194" s="22"/>
      <c r="Z1194" s="53"/>
      <c r="AA1194"/>
      <c r="AH1194" t="str">
        <f t="shared" si="180"/>
        <v>k yet</v>
      </c>
    </row>
    <row r="1195" spans="1:34">
      <c r="A1195" s="42" t="s">
        <v>263</v>
      </c>
      <c r="B1195" s="1" t="s">
        <v>20</v>
      </c>
      <c r="C1195" s="40" t="str">
        <f t="shared" si="177"/>
        <v>18-&gt;</v>
      </c>
      <c r="D1195" s="40" t="str">
        <f t="shared" si="178"/>
        <v xml:space="preserve">No pick yet                                                 </v>
      </c>
      <c r="E1195" s="52">
        <f t="shared" si="179"/>
        <v>0</v>
      </c>
      <c r="F1195" s="18"/>
      <c r="L1195" s="21"/>
      <c r="N1195" s="22"/>
      <c r="O1195" s="22"/>
      <c r="P1195" s="18"/>
      <c r="Q1195" s="22"/>
      <c r="R1195" s="22"/>
      <c r="S1195" s="22"/>
      <c r="Z1195" s="53"/>
      <c r="AA1195"/>
      <c r="AH1195" t="str">
        <f t="shared" si="180"/>
        <v>k yet</v>
      </c>
    </row>
    <row r="1196" spans="1:34">
      <c r="A1196" s="42" t="s">
        <v>264</v>
      </c>
      <c r="B1196" s="1" t="s">
        <v>20</v>
      </c>
      <c r="C1196" s="40" t="str">
        <f t="shared" si="177"/>
        <v>19-&gt;</v>
      </c>
      <c r="D1196" s="40" t="str">
        <f t="shared" si="178"/>
        <v xml:space="preserve">No pick yet                                                 </v>
      </c>
      <c r="E1196" s="52">
        <f t="shared" si="179"/>
        <v>0</v>
      </c>
      <c r="F1196" s="18"/>
      <c r="M1196" s="18"/>
      <c r="N1196" s="18"/>
      <c r="O1196" s="18"/>
      <c r="P1196" s="18"/>
      <c r="Q1196" s="22"/>
      <c r="R1196" s="21"/>
      <c r="S1196" s="21"/>
      <c r="T1196" s="21"/>
      <c r="AA1196"/>
      <c r="AH1196" t="str">
        <f t="shared" si="180"/>
        <v>k yet</v>
      </c>
    </row>
    <row r="1197" spans="1:34">
      <c r="A1197" s="42" t="s">
        <v>265</v>
      </c>
      <c r="B1197" s="1" t="s">
        <v>20</v>
      </c>
      <c r="C1197" s="40" t="str">
        <f t="shared" si="177"/>
        <v>20-&gt;</v>
      </c>
      <c r="D1197" s="40" t="str">
        <f t="shared" si="178"/>
        <v xml:space="preserve">No pick yet                                                 </v>
      </c>
      <c r="E1197" s="52">
        <f t="shared" si="179"/>
        <v>0</v>
      </c>
      <c r="F1197" s="18"/>
      <c r="M1197" s="18"/>
      <c r="N1197" s="18"/>
      <c r="O1197" s="18"/>
      <c r="P1197" s="18"/>
      <c r="Q1197" s="22"/>
      <c r="R1197" s="21"/>
      <c r="S1197" s="21"/>
      <c r="T1197" s="21"/>
      <c r="AA1197"/>
      <c r="AH1197" t="str">
        <f t="shared" si="180"/>
        <v>k yet</v>
      </c>
    </row>
    <row r="1198" spans="1:34">
      <c r="A1198" s="42" t="s">
        <v>266</v>
      </c>
      <c r="B1198" s="1" t="s">
        <v>20</v>
      </c>
      <c r="C1198" s="40" t="str">
        <f t="shared" si="177"/>
        <v>21-&gt;</v>
      </c>
      <c r="D1198" s="40" t="str">
        <f t="shared" si="178"/>
        <v xml:space="preserve">No pick yet                                                 </v>
      </c>
      <c r="E1198" s="52">
        <f t="shared" si="179"/>
        <v>0</v>
      </c>
      <c r="F1198" s="18"/>
      <c r="M1198" s="18"/>
      <c r="N1198" s="18"/>
      <c r="O1198" s="18"/>
      <c r="P1198" s="18"/>
      <c r="Q1198" s="22"/>
      <c r="R1198" s="21"/>
      <c r="S1198" s="21"/>
      <c r="T1198" s="21"/>
      <c r="AA1198"/>
      <c r="AH1198" t="str">
        <f t="shared" si="180"/>
        <v>k yet</v>
      </c>
    </row>
    <row r="1199" spans="1:34">
      <c r="A1199" s="42" t="s">
        <v>267</v>
      </c>
      <c r="B1199" s="1" t="s">
        <v>20</v>
      </c>
      <c r="C1199" s="40" t="str">
        <f t="shared" si="177"/>
        <v>22-&gt;</v>
      </c>
      <c r="D1199" s="40" t="str">
        <f t="shared" si="178"/>
        <v xml:space="preserve">No pick yet                                                 </v>
      </c>
      <c r="E1199" s="52">
        <f t="shared" si="179"/>
        <v>0</v>
      </c>
      <c r="F1199" s="18"/>
      <c r="M1199" s="18"/>
      <c r="N1199" s="18"/>
      <c r="O1199" s="18"/>
      <c r="P1199" s="18"/>
      <c r="Q1199" s="22"/>
      <c r="R1199" s="21"/>
      <c r="S1199" s="21"/>
      <c r="T1199" s="21"/>
      <c r="AA1199"/>
      <c r="AH1199" t="str">
        <f t="shared" si="180"/>
        <v>k yet</v>
      </c>
    </row>
    <row r="1200" spans="1:34">
      <c r="A1200" s="42" t="s">
        <v>268</v>
      </c>
      <c r="B1200" s="1" t="s">
        <v>20</v>
      </c>
      <c r="C1200" s="40" t="str">
        <f t="shared" si="177"/>
        <v>23-&gt;</v>
      </c>
      <c r="D1200" s="40" t="str">
        <f t="shared" si="178"/>
        <v xml:space="preserve">No pick yet                                                 </v>
      </c>
      <c r="E1200" s="52">
        <f t="shared" si="179"/>
        <v>0</v>
      </c>
      <c r="F1200" s="18"/>
      <c r="M1200" s="18"/>
      <c r="N1200" s="18"/>
      <c r="O1200" s="18"/>
      <c r="P1200" s="18"/>
      <c r="Q1200" s="22"/>
      <c r="R1200" s="21"/>
      <c r="S1200" s="21"/>
      <c r="T1200" s="21"/>
      <c r="AA1200"/>
      <c r="AH1200" t="str">
        <f t="shared" si="180"/>
        <v>k yet</v>
      </c>
    </row>
    <row r="1201" spans="1:39">
      <c r="A1201" s="42" t="s">
        <v>269</v>
      </c>
      <c r="B1201" s="1" t="s">
        <v>20</v>
      </c>
      <c r="C1201" s="40" t="str">
        <f t="shared" si="177"/>
        <v>24-&gt;</v>
      </c>
      <c r="D1201" s="40" t="str">
        <f t="shared" si="178"/>
        <v xml:space="preserve">No pick yet                                                 </v>
      </c>
      <c r="E1201" s="52">
        <f t="shared" si="179"/>
        <v>0</v>
      </c>
      <c r="F1201" s="18"/>
      <c r="M1201" s="18"/>
      <c r="N1201" s="18"/>
      <c r="O1201" s="18"/>
      <c r="P1201" s="18"/>
      <c r="Q1201" s="22"/>
      <c r="R1201" s="21"/>
      <c r="S1201" s="21"/>
      <c r="T1201" s="21"/>
      <c r="AA1201"/>
      <c r="AH1201" t="str">
        <f t="shared" si="180"/>
        <v>k yet</v>
      </c>
    </row>
    <row r="1202" spans="1:39">
      <c r="A1202" s="42" t="s">
        <v>270</v>
      </c>
      <c r="B1202" s="1" t="s">
        <v>20</v>
      </c>
      <c r="C1202" s="40" t="str">
        <f t="shared" si="177"/>
        <v>25-&gt;</v>
      </c>
      <c r="D1202" s="40" t="str">
        <f t="shared" si="178"/>
        <v xml:space="preserve">No pick yet                                                 </v>
      </c>
      <c r="E1202" s="52">
        <f t="shared" si="179"/>
        <v>0</v>
      </c>
      <c r="F1202" s="18"/>
      <c r="M1202" s="18"/>
      <c r="N1202" s="18"/>
      <c r="O1202" s="18"/>
      <c r="P1202" s="18"/>
      <c r="Q1202" s="22"/>
      <c r="R1202" s="21"/>
      <c r="S1202" s="21"/>
      <c r="T1202" s="21"/>
      <c r="AA1202"/>
      <c r="AH1202" t="str">
        <f t="shared" si="180"/>
        <v>k yet</v>
      </c>
    </row>
    <row r="1203" spans="1:39">
      <c r="A1203" s="42" t="s">
        <v>271</v>
      </c>
      <c r="B1203" s="1" t="s">
        <v>20</v>
      </c>
      <c r="C1203" s="40" t="str">
        <f t="shared" si="177"/>
        <v>26-&gt;</v>
      </c>
      <c r="D1203" s="40" t="str">
        <f t="shared" si="178"/>
        <v xml:space="preserve">No pick yet                                                 </v>
      </c>
      <c r="E1203" s="52">
        <f t="shared" si="179"/>
        <v>0</v>
      </c>
      <c r="F1203" s="18"/>
      <c r="M1203" s="18"/>
      <c r="N1203" s="18"/>
      <c r="O1203" s="18"/>
      <c r="P1203" s="18"/>
      <c r="Q1203" s="22"/>
      <c r="R1203" s="21"/>
      <c r="S1203" s="21"/>
      <c r="T1203" s="21"/>
      <c r="AA1203"/>
      <c r="AH1203" t="str">
        <f t="shared" si="180"/>
        <v>k yet</v>
      </c>
    </row>
    <row r="1204" spans="1:39">
      <c r="A1204" s="38"/>
      <c r="B1204" s="40"/>
      <c r="C1204" s="40"/>
      <c r="D1204" s="49"/>
      <c r="E1204" s="41" t="s">
        <v>69</v>
      </c>
      <c r="F1204" s="18"/>
      <c r="K1204" s="22" t="s">
        <v>73</v>
      </c>
      <c r="L1204" s="18" t="s">
        <v>74</v>
      </c>
      <c r="M1204" s="22" t="s">
        <v>78</v>
      </c>
      <c r="N1204" s="22" t="s">
        <v>79</v>
      </c>
      <c r="O1204" s="22" t="s">
        <v>80</v>
      </c>
      <c r="P1204" s="22" t="s">
        <v>81</v>
      </c>
      <c r="Q1204" s="22" t="s">
        <v>82</v>
      </c>
      <c r="R1204" s="22" t="s">
        <v>83</v>
      </c>
      <c r="S1204" s="22" t="s">
        <v>84</v>
      </c>
      <c r="T1204" s="18" t="s">
        <v>85</v>
      </c>
      <c r="U1204" s="18" t="s">
        <v>86</v>
      </c>
      <c r="V1204" s="18" t="s">
        <v>87</v>
      </c>
      <c r="W1204" s="18" t="s">
        <v>88</v>
      </c>
      <c r="X1204" s="18" t="s">
        <v>89</v>
      </c>
      <c r="Y1204" s="18" t="s">
        <v>90</v>
      </c>
      <c r="Z1204" s="18" t="s">
        <v>91</v>
      </c>
      <c r="AA1204" s="18" t="s">
        <v>92</v>
      </c>
      <c r="AB1204" s="18" t="s">
        <v>93</v>
      </c>
      <c r="AC1204" s="18" t="s">
        <v>94</v>
      </c>
      <c r="AD1204" s="18" t="s">
        <v>235</v>
      </c>
      <c r="AE1204" s="18" t="s">
        <v>236</v>
      </c>
      <c r="AF1204" s="18" t="s">
        <v>237</v>
      </c>
      <c r="AG1204" s="18" t="s">
        <v>238</v>
      </c>
      <c r="AH1204" s="18" t="s">
        <v>239</v>
      </c>
      <c r="AI1204" s="18" t="s">
        <v>240</v>
      </c>
      <c r="AJ1204" s="18" t="s">
        <v>241</v>
      </c>
      <c r="AK1204" s="18" t="s">
        <v>242</v>
      </c>
      <c r="AL1204" s="18" t="s">
        <v>243</v>
      </c>
      <c r="AM1204" s="50" t="s">
        <v>244</v>
      </c>
    </row>
    <row r="1205" spans="1:39">
      <c r="A1205" s="40" t="s">
        <v>245</v>
      </c>
      <c r="B1205" s="51" t="str">
        <f>D42</f>
        <v/>
      </c>
      <c r="C1205" s="40" t="str">
        <f t="shared" ref="C1205:C1231" si="181">A1205</f>
        <v>#</v>
      </c>
      <c r="D1205" s="40" t="str">
        <f>"   "&amp;B1205&amp;REPT(" ",$AH$70-LEN(B1205)-3)</f>
        <v xml:space="preserve">                                                            </v>
      </c>
      <c r="E1205" s="38" t="str">
        <f>SUM(E1206:E1231)&amp;" pts[/b]"</f>
        <v>0 pts[/b]</v>
      </c>
      <c r="F1205" s="21">
        <f>SUM(E1206:E1231)</f>
        <v>0</v>
      </c>
      <c r="K1205" s="18">
        <f>COUNTIF(E1206:E1231,"&gt;0")</f>
        <v>0</v>
      </c>
      <c r="L1205" s="21">
        <f>AM1205-K1205</f>
        <v>0</v>
      </c>
      <c r="M1205" s="22">
        <f>MAX(E1206:E1231)</f>
        <v>0</v>
      </c>
      <c r="N1205" s="22">
        <f>LARGE(E1206:E1231,2)</f>
        <v>0</v>
      </c>
      <c r="O1205" s="22">
        <f>LARGE(E1206:E1231,3)</f>
        <v>0</v>
      </c>
      <c r="P1205" s="18">
        <f>LARGE(E1206:E1231,4)</f>
        <v>0</v>
      </c>
      <c r="Q1205" s="22">
        <f>LARGE(E1206:E1231,5)</f>
        <v>0</v>
      </c>
      <c r="R1205" s="22">
        <f>LARGE(E1206:E1231,6)</f>
        <v>0</v>
      </c>
      <c r="S1205" s="22">
        <f>LARGE(E1206:E1231,7)</f>
        <v>0</v>
      </c>
      <c r="T1205" s="18">
        <f>LARGE(E1206:E1231,8)</f>
        <v>0</v>
      </c>
      <c r="U1205" s="18">
        <f>LARGE(E1206:E1231,9)</f>
        <v>0</v>
      </c>
      <c r="V1205" s="18">
        <f>LARGE(E1206:E1231,10)</f>
        <v>0</v>
      </c>
      <c r="W1205" s="18">
        <f>LARGE(E1206:E1231,11)</f>
        <v>0</v>
      </c>
      <c r="X1205" s="18">
        <f>LARGE(E1206:E1231,12)</f>
        <v>0</v>
      </c>
      <c r="Y1205" s="18">
        <f>LARGE(E1206:E1231,13)</f>
        <v>0</v>
      </c>
      <c r="Z1205" s="18">
        <f>LARGE(E1206:E1231,14)</f>
        <v>0</v>
      </c>
      <c r="AA1205" s="18">
        <f>LARGE(E1206:E1231,15)</f>
        <v>0</v>
      </c>
      <c r="AB1205" s="18">
        <f>LARGE(E1206:E1231,16)</f>
        <v>0</v>
      </c>
      <c r="AC1205" s="18">
        <f>LARGE(E1206:E1231,17)</f>
        <v>0</v>
      </c>
      <c r="AD1205" s="18">
        <f>LARGE(E1206:E1232,13)</f>
        <v>0</v>
      </c>
      <c r="AE1205" s="18">
        <f>LARGE(E1206:E1231,19)</f>
        <v>0</v>
      </c>
      <c r="AF1205" s="18">
        <f>LARGE(E1206:E1231,20)</f>
        <v>0</v>
      </c>
      <c r="AG1205" s="18">
        <f>LARGE(E1206:E1231,21)</f>
        <v>0</v>
      </c>
      <c r="AH1205" s="18">
        <f>LARGE(E1206:E1231,22)</f>
        <v>0</v>
      </c>
      <c r="AI1205" s="18">
        <f>LARGE(E1206:E1231,23)</f>
        <v>0</v>
      </c>
      <c r="AJ1205" s="18">
        <f>LARGE(E1206:E1231,24)</f>
        <v>0</v>
      </c>
      <c r="AK1205" s="18">
        <f>LARGE(E1206:E1231,25)</f>
        <v>0</v>
      </c>
      <c r="AL1205" s="18">
        <f>LARGE(E1206:E1231,26)</f>
        <v>0</v>
      </c>
      <c r="AM1205" s="50">
        <f>COUNTIF(AH1206:AH1231,"&lt;&gt;"&amp;AH76)-(26-COUNTIF(E1206:E1231,"&gt;=0"))</f>
        <v>0</v>
      </c>
    </row>
    <row r="1206" spans="1:39">
      <c r="A1206" s="42" t="s">
        <v>246</v>
      </c>
      <c r="B1206" s="1" t="s">
        <v>20</v>
      </c>
      <c r="C1206" s="40" t="str">
        <f t="shared" si="181"/>
        <v>01-&gt;</v>
      </c>
      <c r="D1206" s="40" t="str">
        <f t="shared" ref="D1206:D1231" si="182">B1206&amp;REPT(" ",$AH$70-LEN(B1206))</f>
        <v xml:space="preserve">No pick yet                                                 </v>
      </c>
      <c r="E1206" s="52">
        <f t="shared" ref="E1206:E1231" si="183">VLOOKUP(RIGHT(B1206,LEN(B1206)-$AH$66),$H$138:$I$420,2,0)</f>
        <v>0</v>
      </c>
      <c r="F1206" s="18"/>
      <c r="M1206" s="18"/>
      <c r="N1206" s="18"/>
      <c r="O1206" s="18"/>
      <c r="P1206" s="18"/>
      <c r="Q1206" s="22"/>
      <c r="R1206" s="21"/>
      <c r="S1206" s="21"/>
      <c r="T1206" s="21"/>
      <c r="AA1206"/>
      <c r="AH1206" t="str">
        <f t="shared" ref="AH1206:AH1231" si="184">RIGHT(B1206,LEN(B1206)-$AH$66)</f>
        <v>k yet</v>
      </c>
    </row>
    <row r="1207" spans="1:39">
      <c r="A1207" s="42" t="s">
        <v>247</v>
      </c>
      <c r="B1207" s="1" t="s">
        <v>20</v>
      </c>
      <c r="C1207" s="40" t="str">
        <f t="shared" si="181"/>
        <v>02-&gt;</v>
      </c>
      <c r="D1207" s="40" t="str">
        <f t="shared" si="182"/>
        <v xml:space="preserve">No pick yet                                                 </v>
      </c>
      <c r="E1207" s="52">
        <f t="shared" si="183"/>
        <v>0</v>
      </c>
      <c r="F1207" s="18"/>
      <c r="K1207" s="22"/>
      <c r="N1207" s="22"/>
      <c r="O1207" s="22"/>
      <c r="P1207" s="22"/>
      <c r="Q1207" s="22"/>
      <c r="R1207" s="22"/>
      <c r="S1207" s="22"/>
      <c r="Z1207" s="53"/>
      <c r="AA1207"/>
      <c r="AH1207" t="str">
        <f t="shared" si="184"/>
        <v>k yet</v>
      </c>
    </row>
    <row r="1208" spans="1:39">
      <c r="A1208" s="42" t="s">
        <v>248</v>
      </c>
      <c r="B1208" s="1" t="s">
        <v>20</v>
      </c>
      <c r="C1208" s="40" t="str">
        <f t="shared" si="181"/>
        <v>03-&gt;</v>
      </c>
      <c r="D1208" s="40" t="str">
        <f t="shared" si="182"/>
        <v xml:space="preserve">No pick yet                                                 </v>
      </c>
      <c r="E1208" s="52">
        <f t="shared" si="183"/>
        <v>0</v>
      </c>
      <c r="F1208" s="18"/>
      <c r="L1208" s="21"/>
      <c r="N1208" s="22"/>
      <c r="O1208" s="22"/>
      <c r="P1208" s="18"/>
      <c r="Q1208" s="22"/>
      <c r="R1208" s="22"/>
      <c r="S1208" s="22"/>
      <c r="Z1208" s="53"/>
      <c r="AA1208"/>
      <c r="AH1208" t="str">
        <f t="shared" si="184"/>
        <v>k yet</v>
      </c>
    </row>
    <row r="1209" spans="1:39">
      <c r="A1209" s="42" t="s">
        <v>249</v>
      </c>
      <c r="B1209" s="1" t="s">
        <v>20</v>
      </c>
      <c r="C1209" s="40" t="str">
        <f t="shared" si="181"/>
        <v>04-&gt;</v>
      </c>
      <c r="D1209" s="40" t="str">
        <f t="shared" si="182"/>
        <v xml:space="preserve">No pick yet                                                 </v>
      </c>
      <c r="E1209" s="52">
        <f t="shared" si="183"/>
        <v>0</v>
      </c>
      <c r="F1209" s="18"/>
      <c r="M1209" s="18"/>
      <c r="N1209" s="18"/>
      <c r="O1209" s="18"/>
      <c r="P1209" s="18"/>
      <c r="Q1209" s="22"/>
      <c r="R1209" s="21"/>
      <c r="S1209" s="21"/>
      <c r="T1209" s="21"/>
      <c r="AA1209"/>
      <c r="AH1209" t="str">
        <f t="shared" si="184"/>
        <v>k yet</v>
      </c>
    </row>
    <row r="1210" spans="1:39">
      <c r="A1210" s="42" t="s">
        <v>250</v>
      </c>
      <c r="B1210" s="1" t="s">
        <v>20</v>
      </c>
      <c r="C1210" s="40" t="str">
        <f t="shared" si="181"/>
        <v>05-&gt;</v>
      </c>
      <c r="D1210" s="40" t="str">
        <f t="shared" si="182"/>
        <v xml:space="preserve">No pick yet                                                 </v>
      </c>
      <c r="E1210" s="52">
        <f t="shared" si="183"/>
        <v>0</v>
      </c>
      <c r="F1210" s="18"/>
      <c r="M1210" s="18"/>
      <c r="N1210" s="18"/>
      <c r="O1210" s="18"/>
      <c r="P1210" s="18"/>
      <c r="Q1210" s="22"/>
      <c r="R1210" s="21"/>
      <c r="S1210" s="21"/>
      <c r="T1210" s="21"/>
      <c r="AA1210"/>
      <c r="AH1210" t="str">
        <f t="shared" si="184"/>
        <v>k yet</v>
      </c>
    </row>
    <row r="1211" spans="1:39">
      <c r="A1211" s="42" t="s">
        <v>251</v>
      </c>
      <c r="B1211" s="1" t="s">
        <v>20</v>
      </c>
      <c r="C1211" s="40" t="str">
        <f t="shared" si="181"/>
        <v>06-&gt;</v>
      </c>
      <c r="D1211" s="40" t="str">
        <f t="shared" si="182"/>
        <v xml:space="preserve">No pick yet                                                 </v>
      </c>
      <c r="E1211" s="52">
        <f t="shared" si="183"/>
        <v>0</v>
      </c>
      <c r="F1211" s="18"/>
      <c r="M1211" s="18"/>
      <c r="N1211" s="18"/>
      <c r="O1211" s="18"/>
      <c r="P1211" s="18"/>
      <c r="Q1211" s="22"/>
      <c r="R1211" s="21"/>
      <c r="S1211" s="21"/>
      <c r="T1211" s="21"/>
      <c r="AA1211"/>
      <c r="AH1211" t="str">
        <f t="shared" si="184"/>
        <v>k yet</v>
      </c>
    </row>
    <row r="1212" spans="1:39">
      <c r="A1212" s="42" t="s">
        <v>252</v>
      </c>
      <c r="B1212" s="1" t="s">
        <v>20</v>
      </c>
      <c r="C1212" s="40" t="str">
        <f t="shared" si="181"/>
        <v>07-&gt;</v>
      </c>
      <c r="D1212" s="40" t="str">
        <f t="shared" si="182"/>
        <v xml:space="preserve">No pick yet                                                 </v>
      </c>
      <c r="E1212" s="52">
        <f t="shared" si="183"/>
        <v>0</v>
      </c>
      <c r="F1212" s="18"/>
      <c r="M1212" s="18"/>
      <c r="N1212" s="18"/>
      <c r="O1212" s="18"/>
      <c r="P1212" s="18"/>
      <c r="Q1212" s="22"/>
      <c r="R1212" s="21"/>
      <c r="S1212" s="21"/>
      <c r="T1212" s="21"/>
      <c r="AA1212"/>
      <c r="AH1212" t="str">
        <f t="shared" si="184"/>
        <v>k yet</v>
      </c>
    </row>
    <row r="1213" spans="1:39">
      <c r="A1213" s="42" t="s">
        <v>253</v>
      </c>
      <c r="B1213" s="1" t="s">
        <v>20</v>
      </c>
      <c r="C1213" s="40" t="str">
        <f t="shared" si="181"/>
        <v>08-&gt;</v>
      </c>
      <c r="D1213" s="40" t="str">
        <f t="shared" si="182"/>
        <v xml:space="preserve">No pick yet                                                 </v>
      </c>
      <c r="E1213" s="52">
        <f t="shared" si="183"/>
        <v>0</v>
      </c>
      <c r="F1213" s="18"/>
      <c r="M1213" s="18"/>
      <c r="N1213" s="18"/>
      <c r="O1213" s="18"/>
      <c r="P1213" s="18"/>
      <c r="Q1213" s="22"/>
      <c r="R1213" s="21"/>
      <c r="S1213" s="21"/>
      <c r="T1213" s="21"/>
      <c r="AA1213"/>
      <c r="AH1213" t="str">
        <f t="shared" si="184"/>
        <v>k yet</v>
      </c>
    </row>
    <row r="1214" spans="1:39">
      <c r="A1214" s="42" t="s">
        <v>254</v>
      </c>
      <c r="B1214" s="1" t="s">
        <v>20</v>
      </c>
      <c r="C1214" s="40" t="str">
        <f t="shared" si="181"/>
        <v>09-&gt;</v>
      </c>
      <c r="D1214" s="40" t="str">
        <f t="shared" si="182"/>
        <v xml:space="preserve">No pick yet                                                 </v>
      </c>
      <c r="E1214" s="52">
        <f t="shared" si="183"/>
        <v>0</v>
      </c>
      <c r="F1214" s="18"/>
      <c r="M1214" s="18"/>
      <c r="N1214" s="18"/>
      <c r="O1214" s="18"/>
      <c r="P1214" s="18"/>
      <c r="Q1214" s="22"/>
      <c r="R1214" s="21"/>
      <c r="S1214" s="21"/>
      <c r="T1214" s="21"/>
      <c r="AA1214"/>
      <c r="AH1214" t="str">
        <f t="shared" si="184"/>
        <v>k yet</v>
      </c>
    </row>
    <row r="1215" spans="1:39">
      <c r="A1215" s="42" t="s">
        <v>255</v>
      </c>
      <c r="B1215" s="1" t="s">
        <v>20</v>
      </c>
      <c r="C1215" s="40" t="str">
        <f t="shared" si="181"/>
        <v>10-&gt;</v>
      </c>
      <c r="D1215" s="40" t="str">
        <f t="shared" si="182"/>
        <v xml:space="preserve">No pick yet                                                 </v>
      </c>
      <c r="E1215" s="52">
        <f t="shared" si="183"/>
        <v>0</v>
      </c>
      <c r="F1215" s="22"/>
      <c r="M1215" s="18"/>
      <c r="N1215" s="18"/>
      <c r="O1215" s="18"/>
      <c r="P1215" s="18"/>
      <c r="Q1215" s="22"/>
      <c r="R1215" s="21"/>
      <c r="S1215" s="21"/>
      <c r="T1215" s="21"/>
      <c r="AA1215"/>
      <c r="AH1215" t="str">
        <f t="shared" si="184"/>
        <v>k yet</v>
      </c>
    </row>
    <row r="1216" spans="1:39">
      <c r="A1216" s="42" t="s">
        <v>256</v>
      </c>
      <c r="B1216" s="1" t="s">
        <v>20</v>
      </c>
      <c r="C1216" s="40" t="str">
        <f t="shared" si="181"/>
        <v>11-&gt;</v>
      </c>
      <c r="D1216" s="40" t="str">
        <f t="shared" si="182"/>
        <v xml:space="preserve">No pick yet                                                 </v>
      </c>
      <c r="E1216" s="52">
        <f t="shared" si="183"/>
        <v>0</v>
      </c>
      <c r="M1216" s="18"/>
      <c r="N1216" s="18"/>
      <c r="O1216" s="18"/>
      <c r="P1216" s="18"/>
      <c r="Q1216" s="22"/>
      <c r="R1216" s="21"/>
      <c r="S1216" s="21"/>
      <c r="T1216" s="21"/>
      <c r="AA1216"/>
      <c r="AH1216" t="str">
        <f t="shared" si="184"/>
        <v>k yet</v>
      </c>
    </row>
    <row r="1217" spans="1:39">
      <c r="A1217" s="42" t="s">
        <v>257</v>
      </c>
      <c r="B1217" s="1" t="s">
        <v>20</v>
      </c>
      <c r="C1217" s="40" t="str">
        <f t="shared" si="181"/>
        <v>12-&gt;</v>
      </c>
      <c r="D1217" s="40" t="str">
        <f t="shared" si="182"/>
        <v xml:space="preserve">No pick yet                                                 </v>
      </c>
      <c r="E1217" s="52">
        <f t="shared" si="183"/>
        <v>0</v>
      </c>
      <c r="M1217" s="18"/>
      <c r="N1217" s="18"/>
      <c r="O1217" s="18"/>
      <c r="P1217" s="18"/>
      <c r="Q1217" s="22"/>
      <c r="R1217" s="21"/>
      <c r="S1217" s="21"/>
      <c r="T1217" s="21"/>
      <c r="AA1217"/>
      <c r="AH1217" t="str">
        <f t="shared" si="184"/>
        <v>k yet</v>
      </c>
    </row>
    <row r="1218" spans="1:39">
      <c r="A1218" s="42" t="s">
        <v>258</v>
      </c>
      <c r="B1218" s="1" t="s">
        <v>20</v>
      </c>
      <c r="C1218" s="40" t="str">
        <f t="shared" si="181"/>
        <v>13-&gt;</v>
      </c>
      <c r="D1218" s="40" t="str">
        <f t="shared" si="182"/>
        <v xml:space="preserve">No pick yet                                                 </v>
      </c>
      <c r="E1218" s="52">
        <f t="shared" si="183"/>
        <v>0</v>
      </c>
      <c r="M1218" s="18"/>
      <c r="N1218" s="18"/>
      <c r="O1218" s="18"/>
      <c r="P1218" s="18"/>
      <c r="Q1218" s="22"/>
      <c r="R1218" s="21"/>
      <c r="S1218" s="21"/>
      <c r="T1218" s="21"/>
      <c r="AA1218"/>
      <c r="AH1218" t="str">
        <f t="shared" si="184"/>
        <v>k yet</v>
      </c>
    </row>
    <row r="1219" spans="1:39">
      <c r="A1219" s="42" t="s">
        <v>259</v>
      </c>
      <c r="B1219" s="1" t="s">
        <v>20</v>
      </c>
      <c r="C1219" s="40" t="str">
        <f t="shared" si="181"/>
        <v>14-&gt;</v>
      </c>
      <c r="D1219" s="40" t="str">
        <f t="shared" si="182"/>
        <v xml:space="preserve">No pick yet                                                 </v>
      </c>
      <c r="E1219" s="52">
        <f t="shared" si="183"/>
        <v>0</v>
      </c>
      <c r="M1219" s="18"/>
      <c r="N1219" s="18"/>
      <c r="O1219" s="18"/>
      <c r="P1219" s="18"/>
      <c r="Q1219" s="22"/>
      <c r="R1219" s="21"/>
      <c r="S1219" s="21"/>
      <c r="T1219" s="21"/>
      <c r="AA1219"/>
      <c r="AH1219" t="str">
        <f t="shared" si="184"/>
        <v>k yet</v>
      </c>
    </row>
    <row r="1220" spans="1:39">
      <c r="A1220" s="42" t="s">
        <v>260</v>
      </c>
      <c r="B1220" s="1" t="s">
        <v>20</v>
      </c>
      <c r="C1220" s="40" t="str">
        <f t="shared" si="181"/>
        <v>15-&gt;</v>
      </c>
      <c r="D1220" s="40" t="str">
        <f t="shared" si="182"/>
        <v xml:space="preserve">No pick yet                                                 </v>
      </c>
      <c r="E1220" s="52">
        <f t="shared" si="183"/>
        <v>0</v>
      </c>
      <c r="M1220" s="18"/>
      <c r="N1220" s="18"/>
      <c r="O1220" s="18"/>
      <c r="P1220" s="18"/>
      <c r="Q1220" s="22"/>
      <c r="R1220" s="21"/>
      <c r="S1220" s="21"/>
      <c r="T1220" s="21"/>
      <c r="AA1220"/>
      <c r="AH1220" t="str">
        <f t="shared" si="184"/>
        <v>k yet</v>
      </c>
    </row>
    <row r="1221" spans="1:39">
      <c r="A1221" s="42" t="s">
        <v>261</v>
      </c>
      <c r="B1221" s="1" t="s">
        <v>20</v>
      </c>
      <c r="C1221" s="40" t="str">
        <f t="shared" si="181"/>
        <v>16-&gt;</v>
      </c>
      <c r="D1221" s="40" t="str">
        <f t="shared" si="182"/>
        <v xml:space="preserve">No pick yet                                                 </v>
      </c>
      <c r="E1221" s="52">
        <f t="shared" si="183"/>
        <v>0</v>
      </c>
      <c r="M1221" s="18"/>
      <c r="N1221" s="18"/>
      <c r="O1221" s="18"/>
      <c r="P1221" s="18"/>
      <c r="Q1221" s="22"/>
      <c r="R1221" s="21"/>
      <c r="S1221" s="21"/>
      <c r="T1221" s="21"/>
      <c r="AA1221"/>
      <c r="AH1221" t="str">
        <f t="shared" si="184"/>
        <v>k yet</v>
      </c>
    </row>
    <row r="1222" spans="1:39">
      <c r="A1222" s="42" t="s">
        <v>262</v>
      </c>
      <c r="B1222" s="1" t="s">
        <v>20</v>
      </c>
      <c r="C1222" s="40" t="str">
        <f t="shared" si="181"/>
        <v>17-&gt;</v>
      </c>
      <c r="D1222" s="40" t="str">
        <f t="shared" si="182"/>
        <v xml:space="preserve">No pick yet                                                 </v>
      </c>
      <c r="E1222" s="52">
        <f t="shared" si="183"/>
        <v>0</v>
      </c>
      <c r="K1222" s="22"/>
      <c r="N1222" s="22"/>
      <c r="O1222" s="22"/>
      <c r="P1222" s="22"/>
      <c r="Q1222" s="22"/>
      <c r="R1222" s="22"/>
      <c r="S1222" s="22"/>
      <c r="Z1222" s="53"/>
      <c r="AA1222"/>
      <c r="AH1222" t="str">
        <f t="shared" si="184"/>
        <v>k yet</v>
      </c>
    </row>
    <row r="1223" spans="1:39">
      <c r="A1223" s="42" t="s">
        <v>263</v>
      </c>
      <c r="B1223" s="1" t="s">
        <v>20</v>
      </c>
      <c r="C1223" s="40" t="str">
        <f t="shared" si="181"/>
        <v>18-&gt;</v>
      </c>
      <c r="D1223" s="40" t="str">
        <f t="shared" si="182"/>
        <v xml:space="preserve">No pick yet                                                 </v>
      </c>
      <c r="E1223" s="52">
        <f t="shared" si="183"/>
        <v>0</v>
      </c>
      <c r="F1223" s="18"/>
      <c r="L1223" s="21"/>
      <c r="N1223" s="22"/>
      <c r="O1223" s="22"/>
      <c r="P1223" s="18"/>
      <c r="Q1223" s="22"/>
      <c r="R1223" s="22"/>
      <c r="S1223" s="22"/>
      <c r="Z1223" s="53"/>
      <c r="AA1223"/>
      <c r="AH1223" t="str">
        <f t="shared" si="184"/>
        <v>k yet</v>
      </c>
    </row>
    <row r="1224" spans="1:39">
      <c r="A1224" s="42" t="s">
        <v>264</v>
      </c>
      <c r="B1224" s="1" t="s">
        <v>20</v>
      </c>
      <c r="C1224" s="40" t="str">
        <f t="shared" si="181"/>
        <v>19-&gt;</v>
      </c>
      <c r="D1224" s="40" t="str">
        <f t="shared" si="182"/>
        <v xml:space="preserve">No pick yet                                                 </v>
      </c>
      <c r="E1224" s="52">
        <f t="shared" si="183"/>
        <v>0</v>
      </c>
      <c r="F1224" s="18"/>
      <c r="M1224" s="18"/>
      <c r="N1224" s="18"/>
      <c r="O1224" s="18"/>
      <c r="P1224" s="18"/>
      <c r="Q1224" s="22"/>
      <c r="R1224" s="21"/>
      <c r="S1224" s="21"/>
      <c r="T1224" s="21"/>
      <c r="AA1224"/>
      <c r="AH1224" t="str">
        <f t="shared" si="184"/>
        <v>k yet</v>
      </c>
    </row>
    <row r="1225" spans="1:39">
      <c r="A1225" s="42" t="s">
        <v>265</v>
      </c>
      <c r="B1225" s="1" t="s">
        <v>20</v>
      </c>
      <c r="C1225" s="40" t="str">
        <f t="shared" si="181"/>
        <v>20-&gt;</v>
      </c>
      <c r="D1225" s="40" t="str">
        <f t="shared" si="182"/>
        <v xml:space="preserve">No pick yet                                                 </v>
      </c>
      <c r="E1225" s="52">
        <f t="shared" si="183"/>
        <v>0</v>
      </c>
      <c r="F1225" s="18"/>
      <c r="M1225" s="18"/>
      <c r="N1225" s="18"/>
      <c r="O1225" s="18"/>
      <c r="P1225" s="18"/>
      <c r="Q1225" s="22"/>
      <c r="R1225" s="21"/>
      <c r="S1225" s="21"/>
      <c r="T1225" s="21"/>
      <c r="AA1225"/>
      <c r="AH1225" t="str">
        <f t="shared" si="184"/>
        <v>k yet</v>
      </c>
    </row>
    <row r="1226" spans="1:39">
      <c r="A1226" s="42" t="s">
        <v>266</v>
      </c>
      <c r="B1226" s="1" t="s">
        <v>20</v>
      </c>
      <c r="C1226" s="40" t="str">
        <f t="shared" si="181"/>
        <v>21-&gt;</v>
      </c>
      <c r="D1226" s="40" t="str">
        <f t="shared" si="182"/>
        <v xml:space="preserve">No pick yet                                                 </v>
      </c>
      <c r="E1226" s="52">
        <f t="shared" si="183"/>
        <v>0</v>
      </c>
      <c r="F1226" s="18"/>
      <c r="M1226" s="18"/>
      <c r="N1226" s="18"/>
      <c r="O1226" s="18"/>
      <c r="P1226" s="18"/>
      <c r="Q1226" s="22"/>
      <c r="R1226" s="21"/>
      <c r="S1226" s="21"/>
      <c r="T1226" s="21"/>
      <c r="AA1226"/>
      <c r="AH1226" t="str">
        <f t="shared" si="184"/>
        <v>k yet</v>
      </c>
    </row>
    <row r="1227" spans="1:39">
      <c r="A1227" s="42" t="s">
        <v>267</v>
      </c>
      <c r="B1227" s="1" t="s">
        <v>20</v>
      </c>
      <c r="C1227" s="40" t="str">
        <f t="shared" si="181"/>
        <v>22-&gt;</v>
      </c>
      <c r="D1227" s="40" t="str">
        <f t="shared" si="182"/>
        <v xml:space="preserve">No pick yet                                                 </v>
      </c>
      <c r="E1227" s="52">
        <f t="shared" si="183"/>
        <v>0</v>
      </c>
      <c r="F1227" s="18"/>
      <c r="M1227" s="18"/>
      <c r="N1227" s="18"/>
      <c r="O1227" s="18"/>
      <c r="P1227" s="18"/>
      <c r="Q1227" s="22"/>
      <c r="R1227" s="21"/>
      <c r="S1227" s="21"/>
      <c r="T1227" s="21"/>
      <c r="AA1227"/>
      <c r="AH1227" t="str">
        <f t="shared" si="184"/>
        <v>k yet</v>
      </c>
    </row>
    <row r="1228" spans="1:39">
      <c r="A1228" s="42" t="s">
        <v>268</v>
      </c>
      <c r="B1228" s="1" t="s">
        <v>20</v>
      </c>
      <c r="C1228" s="40" t="str">
        <f t="shared" si="181"/>
        <v>23-&gt;</v>
      </c>
      <c r="D1228" s="40" t="str">
        <f t="shared" si="182"/>
        <v xml:space="preserve">No pick yet                                                 </v>
      </c>
      <c r="E1228" s="52">
        <f t="shared" si="183"/>
        <v>0</v>
      </c>
      <c r="F1228" s="18"/>
      <c r="M1228" s="18"/>
      <c r="N1228" s="18"/>
      <c r="O1228" s="18"/>
      <c r="P1228" s="18"/>
      <c r="Q1228" s="22"/>
      <c r="R1228" s="21"/>
      <c r="S1228" s="21"/>
      <c r="T1228" s="21"/>
      <c r="AA1228"/>
      <c r="AH1228" t="str">
        <f t="shared" si="184"/>
        <v>k yet</v>
      </c>
    </row>
    <row r="1229" spans="1:39">
      <c r="A1229" s="42" t="s">
        <v>269</v>
      </c>
      <c r="B1229" s="1" t="s">
        <v>20</v>
      </c>
      <c r="C1229" s="40" t="str">
        <f t="shared" si="181"/>
        <v>24-&gt;</v>
      </c>
      <c r="D1229" s="40" t="str">
        <f t="shared" si="182"/>
        <v xml:space="preserve">No pick yet                                                 </v>
      </c>
      <c r="E1229" s="52">
        <f t="shared" si="183"/>
        <v>0</v>
      </c>
      <c r="F1229" s="18"/>
      <c r="M1229" s="18"/>
      <c r="N1229" s="18"/>
      <c r="O1229" s="18"/>
      <c r="P1229" s="18"/>
      <c r="Q1229" s="22"/>
      <c r="R1229" s="21"/>
      <c r="S1229" s="21"/>
      <c r="T1229" s="21"/>
      <c r="AA1229"/>
      <c r="AH1229" t="str">
        <f t="shared" si="184"/>
        <v>k yet</v>
      </c>
    </row>
    <row r="1230" spans="1:39">
      <c r="A1230" s="42" t="s">
        <v>270</v>
      </c>
      <c r="B1230" s="1" t="s">
        <v>20</v>
      </c>
      <c r="C1230" s="40" t="str">
        <f t="shared" si="181"/>
        <v>25-&gt;</v>
      </c>
      <c r="D1230" s="40" t="str">
        <f t="shared" si="182"/>
        <v xml:space="preserve">No pick yet                                                 </v>
      </c>
      <c r="E1230" s="52">
        <f t="shared" si="183"/>
        <v>0</v>
      </c>
      <c r="F1230" s="18"/>
      <c r="M1230" s="18"/>
      <c r="N1230" s="18"/>
      <c r="O1230" s="18"/>
      <c r="P1230" s="18"/>
      <c r="Q1230" s="22"/>
      <c r="R1230" s="21"/>
      <c r="S1230" s="21"/>
      <c r="T1230" s="21"/>
      <c r="AA1230"/>
      <c r="AH1230" t="str">
        <f t="shared" si="184"/>
        <v>k yet</v>
      </c>
    </row>
    <row r="1231" spans="1:39">
      <c r="A1231" s="42" t="s">
        <v>271</v>
      </c>
      <c r="B1231" s="1" t="s">
        <v>20</v>
      </c>
      <c r="C1231" s="40" t="str">
        <f t="shared" si="181"/>
        <v>26-&gt;</v>
      </c>
      <c r="D1231" s="40" t="str">
        <f t="shared" si="182"/>
        <v xml:space="preserve">No pick yet                                                 </v>
      </c>
      <c r="E1231" s="52">
        <f t="shared" si="183"/>
        <v>0</v>
      </c>
      <c r="F1231" s="18"/>
      <c r="M1231" s="18"/>
      <c r="N1231" s="18"/>
      <c r="O1231" s="18"/>
      <c r="P1231" s="18"/>
      <c r="Q1231" s="22"/>
      <c r="R1231" s="21"/>
      <c r="S1231" s="21"/>
      <c r="T1231" s="21"/>
      <c r="AA1231"/>
      <c r="AH1231" t="str">
        <f t="shared" si="184"/>
        <v>k yet</v>
      </c>
    </row>
    <row r="1232" spans="1:39">
      <c r="A1232" s="38"/>
      <c r="B1232" s="40"/>
      <c r="C1232" s="40"/>
      <c r="D1232" s="49"/>
      <c r="E1232" s="41" t="s">
        <v>69</v>
      </c>
      <c r="F1232" s="18"/>
      <c r="K1232" s="22" t="s">
        <v>73</v>
      </c>
      <c r="L1232" s="18" t="s">
        <v>74</v>
      </c>
      <c r="M1232" s="22" t="s">
        <v>78</v>
      </c>
      <c r="N1232" s="22" t="s">
        <v>79</v>
      </c>
      <c r="O1232" s="22" t="s">
        <v>80</v>
      </c>
      <c r="P1232" s="22" t="s">
        <v>81</v>
      </c>
      <c r="Q1232" s="22" t="s">
        <v>82</v>
      </c>
      <c r="R1232" s="22" t="s">
        <v>83</v>
      </c>
      <c r="S1232" s="22" t="s">
        <v>84</v>
      </c>
      <c r="T1232" s="18" t="s">
        <v>85</v>
      </c>
      <c r="U1232" s="18" t="s">
        <v>86</v>
      </c>
      <c r="V1232" s="18" t="s">
        <v>87</v>
      </c>
      <c r="W1232" s="18" t="s">
        <v>88</v>
      </c>
      <c r="X1232" s="18" t="s">
        <v>89</v>
      </c>
      <c r="Y1232" s="18" t="s">
        <v>90</v>
      </c>
      <c r="Z1232" s="18" t="s">
        <v>91</v>
      </c>
      <c r="AA1232" s="18" t="s">
        <v>92</v>
      </c>
      <c r="AB1232" s="18" t="s">
        <v>93</v>
      </c>
      <c r="AC1232" s="18" t="s">
        <v>94</v>
      </c>
      <c r="AD1232" s="18" t="s">
        <v>235</v>
      </c>
      <c r="AE1232" s="18" t="s">
        <v>236</v>
      </c>
      <c r="AF1232" s="18" t="s">
        <v>237</v>
      </c>
      <c r="AG1232" s="18" t="s">
        <v>238</v>
      </c>
      <c r="AH1232" s="18" t="s">
        <v>239</v>
      </c>
      <c r="AI1232" s="18" t="s">
        <v>240</v>
      </c>
      <c r="AJ1232" s="18" t="s">
        <v>241</v>
      </c>
      <c r="AK1232" s="18" t="s">
        <v>242</v>
      </c>
      <c r="AL1232" s="18" t="s">
        <v>243</v>
      </c>
      <c r="AM1232" s="50" t="s">
        <v>244</v>
      </c>
    </row>
    <row r="1233" spans="1:39">
      <c r="A1233" s="40" t="s">
        <v>245</v>
      </c>
      <c r="B1233" s="51" t="str">
        <f>D43</f>
        <v/>
      </c>
      <c r="C1233" s="40" t="str">
        <f t="shared" ref="C1233:C1259" si="185">A1233</f>
        <v>#</v>
      </c>
      <c r="D1233" s="40" t="str">
        <f>"   "&amp;B1233&amp;REPT(" ",$AH$70-LEN(B1233)-3)</f>
        <v xml:space="preserve">                                                            </v>
      </c>
      <c r="E1233" s="38" t="str">
        <f>SUM(E1234:E1259)&amp;" pts[/b]"</f>
        <v>0 pts[/b]</v>
      </c>
      <c r="F1233" s="21">
        <f>SUM(E1234:E1259)</f>
        <v>0</v>
      </c>
      <c r="K1233" s="18">
        <f>COUNTIF(E1234:E1259,"&gt;0")</f>
        <v>0</v>
      </c>
      <c r="L1233" s="21">
        <f>AM1233-K1233</f>
        <v>0</v>
      </c>
      <c r="M1233" s="22">
        <f>MAX(E1234:E1259)</f>
        <v>0</v>
      </c>
      <c r="N1233" s="22">
        <f>LARGE(E1234:E1259,2)</f>
        <v>0</v>
      </c>
      <c r="O1233" s="22">
        <f>LARGE(E1234:E1259,3)</f>
        <v>0</v>
      </c>
      <c r="P1233" s="18">
        <f>LARGE(E1234:E1259,4)</f>
        <v>0</v>
      </c>
      <c r="Q1233" s="22">
        <f>LARGE(E1234:E1259,5)</f>
        <v>0</v>
      </c>
      <c r="R1233" s="22">
        <f>LARGE(E1234:E1259,6)</f>
        <v>0</v>
      </c>
      <c r="S1233" s="22">
        <f>LARGE(E1234:E1259,7)</f>
        <v>0</v>
      </c>
      <c r="T1233" s="18">
        <f>LARGE(E1234:E1259,8)</f>
        <v>0</v>
      </c>
      <c r="U1233" s="18">
        <f>LARGE(E1234:E1259,9)</f>
        <v>0</v>
      </c>
      <c r="V1233" s="18">
        <f>LARGE(E1234:E1259,10)</f>
        <v>0</v>
      </c>
      <c r="W1233" s="18">
        <f>LARGE(E1234:E1259,11)</f>
        <v>0</v>
      </c>
      <c r="X1233" s="18">
        <f>LARGE(E1234:E1259,12)</f>
        <v>0</v>
      </c>
      <c r="Y1233" s="18">
        <f>LARGE(E1234:E1259,13)</f>
        <v>0</v>
      </c>
      <c r="Z1233" s="18">
        <f>LARGE(E1234:E1259,14)</f>
        <v>0</v>
      </c>
      <c r="AA1233" s="18">
        <f>LARGE(E1234:E1259,15)</f>
        <v>0</v>
      </c>
      <c r="AB1233" s="18">
        <f>LARGE(E1234:E1259,16)</f>
        <v>0</v>
      </c>
      <c r="AC1233" s="18">
        <f>LARGE(E1234:E1259,17)</f>
        <v>0</v>
      </c>
      <c r="AD1233" s="18">
        <f>LARGE(E1234:E1260,13)</f>
        <v>0</v>
      </c>
      <c r="AE1233" s="18">
        <f>LARGE(E1234:E1259,19)</f>
        <v>0</v>
      </c>
      <c r="AF1233" s="18">
        <f>LARGE(E1234:E1259,20)</f>
        <v>0</v>
      </c>
      <c r="AG1233" s="18">
        <f>LARGE(E1234:E1259,21)</f>
        <v>0</v>
      </c>
      <c r="AH1233" s="18">
        <f>LARGE(E1234:E1259,22)</f>
        <v>0</v>
      </c>
      <c r="AI1233" s="18">
        <f>LARGE(E1234:E1259,23)</f>
        <v>0</v>
      </c>
      <c r="AJ1233" s="18">
        <f>LARGE(E1234:E1259,24)</f>
        <v>0</v>
      </c>
      <c r="AK1233" s="18">
        <f>LARGE(E1234:E1259,25)</f>
        <v>0</v>
      </c>
      <c r="AL1233" s="18">
        <f>LARGE(E1234:E1259,26)</f>
        <v>0</v>
      </c>
      <c r="AM1233" s="50">
        <f>COUNTIF(AH1234:AH1259,"&lt;&gt;"&amp;AH76)-(26-COUNTIF(E1234:E1259,"&gt;=0"))</f>
        <v>0</v>
      </c>
    </row>
    <row r="1234" spans="1:39">
      <c r="A1234" s="42" t="s">
        <v>246</v>
      </c>
      <c r="B1234" s="1" t="s">
        <v>20</v>
      </c>
      <c r="C1234" s="40" t="str">
        <f t="shared" si="185"/>
        <v>01-&gt;</v>
      </c>
      <c r="D1234" s="40" t="str">
        <f t="shared" ref="D1234:D1259" si="186">B1234&amp;REPT(" ",$AH$70-LEN(B1234))</f>
        <v xml:space="preserve">No pick yet                                                 </v>
      </c>
      <c r="E1234" s="52">
        <f t="shared" ref="E1234:E1259" si="187">VLOOKUP(RIGHT(B1234,LEN(B1234)-$AH$66),$H$138:$I$420,2,0)</f>
        <v>0</v>
      </c>
      <c r="F1234" s="18"/>
      <c r="M1234" s="18"/>
      <c r="N1234" s="18"/>
      <c r="O1234" s="18"/>
      <c r="P1234" s="18"/>
      <c r="Q1234" s="22"/>
      <c r="R1234" s="21"/>
      <c r="S1234" s="21"/>
      <c r="T1234" s="21"/>
      <c r="AA1234"/>
      <c r="AH1234" t="str">
        <f t="shared" ref="AH1234:AH1259" si="188">RIGHT(B1234,LEN(B1234)-$AH$66)</f>
        <v>k yet</v>
      </c>
    </row>
    <row r="1235" spans="1:39">
      <c r="A1235" s="42" t="s">
        <v>247</v>
      </c>
      <c r="B1235" s="1" t="s">
        <v>20</v>
      </c>
      <c r="C1235" s="40" t="str">
        <f t="shared" si="185"/>
        <v>02-&gt;</v>
      </c>
      <c r="D1235" s="40" t="str">
        <f t="shared" si="186"/>
        <v xml:space="preserve">No pick yet                                                 </v>
      </c>
      <c r="E1235" s="52">
        <f t="shared" si="187"/>
        <v>0</v>
      </c>
      <c r="F1235" s="18"/>
      <c r="K1235" s="22"/>
      <c r="N1235" s="22"/>
      <c r="O1235" s="22"/>
      <c r="P1235" s="22"/>
      <c r="Q1235" s="22"/>
      <c r="R1235" s="22"/>
      <c r="S1235" s="22"/>
      <c r="Z1235" s="53"/>
      <c r="AA1235"/>
      <c r="AH1235" t="str">
        <f t="shared" si="188"/>
        <v>k yet</v>
      </c>
    </row>
    <row r="1236" spans="1:39">
      <c r="A1236" s="42" t="s">
        <v>248</v>
      </c>
      <c r="B1236" s="1" t="s">
        <v>20</v>
      </c>
      <c r="C1236" s="40" t="str">
        <f t="shared" si="185"/>
        <v>03-&gt;</v>
      </c>
      <c r="D1236" s="40" t="str">
        <f t="shared" si="186"/>
        <v xml:space="preserve">No pick yet                                                 </v>
      </c>
      <c r="E1236" s="52">
        <f t="shared" si="187"/>
        <v>0</v>
      </c>
      <c r="F1236" s="18"/>
      <c r="L1236" s="21"/>
      <c r="N1236" s="22"/>
      <c r="O1236" s="22"/>
      <c r="P1236" s="18"/>
      <c r="Q1236" s="22"/>
      <c r="R1236" s="22"/>
      <c r="S1236" s="22"/>
      <c r="Z1236" s="53"/>
      <c r="AA1236"/>
      <c r="AH1236" t="str">
        <f t="shared" si="188"/>
        <v>k yet</v>
      </c>
    </row>
    <row r="1237" spans="1:39">
      <c r="A1237" s="42" t="s">
        <v>249</v>
      </c>
      <c r="B1237" s="1" t="s">
        <v>20</v>
      </c>
      <c r="C1237" s="40" t="str">
        <f t="shared" si="185"/>
        <v>04-&gt;</v>
      </c>
      <c r="D1237" s="40" t="str">
        <f t="shared" si="186"/>
        <v xml:space="preserve">No pick yet                                                 </v>
      </c>
      <c r="E1237" s="52">
        <f t="shared" si="187"/>
        <v>0</v>
      </c>
      <c r="F1237" s="18"/>
      <c r="M1237" s="18"/>
      <c r="N1237" s="18"/>
      <c r="O1237" s="18"/>
      <c r="P1237" s="18"/>
      <c r="Q1237" s="22"/>
      <c r="R1237" s="21"/>
      <c r="S1237" s="21"/>
      <c r="T1237" s="21"/>
      <c r="AA1237"/>
      <c r="AH1237" t="str">
        <f t="shared" si="188"/>
        <v>k yet</v>
      </c>
    </row>
    <row r="1238" spans="1:39">
      <c r="A1238" s="42" t="s">
        <v>250</v>
      </c>
      <c r="B1238" s="1" t="s">
        <v>20</v>
      </c>
      <c r="C1238" s="40" t="str">
        <f t="shared" si="185"/>
        <v>05-&gt;</v>
      </c>
      <c r="D1238" s="40" t="str">
        <f t="shared" si="186"/>
        <v xml:space="preserve">No pick yet                                                 </v>
      </c>
      <c r="E1238" s="52">
        <f t="shared" si="187"/>
        <v>0</v>
      </c>
      <c r="F1238" s="18"/>
      <c r="M1238" s="18"/>
      <c r="N1238" s="18"/>
      <c r="O1238" s="18"/>
      <c r="P1238" s="18"/>
      <c r="Q1238" s="22"/>
      <c r="R1238" s="21"/>
      <c r="S1238" s="21"/>
      <c r="T1238" s="21"/>
      <c r="AA1238"/>
      <c r="AH1238" t="str">
        <f t="shared" si="188"/>
        <v>k yet</v>
      </c>
    </row>
    <row r="1239" spans="1:39">
      <c r="A1239" s="42" t="s">
        <v>251</v>
      </c>
      <c r="B1239" s="1" t="s">
        <v>20</v>
      </c>
      <c r="C1239" s="40" t="str">
        <f t="shared" si="185"/>
        <v>06-&gt;</v>
      </c>
      <c r="D1239" s="40" t="str">
        <f t="shared" si="186"/>
        <v xml:space="preserve">No pick yet                                                 </v>
      </c>
      <c r="E1239" s="52">
        <f t="shared" si="187"/>
        <v>0</v>
      </c>
      <c r="F1239" s="18"/>
      <c r="M1239" s="18"/>
      <c r="N1239" s="18"/>
      <c r="O1239" s="18"/>
      <c r="P1239" s="18"/>
      <c r="Q1239" s="22"/>
      <c r="R1239" s="21"/>
      <c r="S1239" s="21"/>
      <c r="T1239" s="21"/>
      <c r="AA1239"/>
      <c r="AH1239" t="str">
        <f t="shared" si="188"/>
        <v>k yet</v>
      </c>
    </row>
    <row r="1240" spans="1:39">
      <c r="A1240" s="42" t="s">
        <v>252</v>
      </c>
      <c r="B1240" s="1" t="s">
        <v>20</v>
      </c>
      <c r="C1240" s="40" t="str">
        <f t="shared" si="185"/>
        <v>07-&gt;</v>
      </c>
      <c r="D1240" s="40" t="str">
        <f t="shared" si="186"/>
        <v xml:space="preserve">No pick yet                                                 </v>
      </c>
      <c r="E1240" s="52">
        <f t="shared" si="187"/>
        <v>0</v>
      </c>
      <c r="F1240" s="18"/>
      <c r="M1240" s="18"/>
      <c r="N1240" s="18"/>
      <c r="O1240" s="18"/>
      <c r="P1240" s="18"/>
      <c r="Q1240" s="22"/>
      <c r="R1240" s="21"/>
      <c r="S1240" s="21"/>
      <c r="T1240" s="21"/>
      <c r="AA1240"/>
      <c r="AH1240" t="str">
        <f t="shared" si="188"/>
        <v>k yet</v>
      </c>
    </row>
    <row r="1241" spans="1:39">
      <c r="A1241" s="42" t="s">
        <v>253</v>
      </c>
      <c r="B1241" s="1" t="s">
        <v>20</v>
      </c>
      <c r="C1241" s="40" t="str">
        <f t="shared" si="185"/>
        <v>08-&gt;</v>
      </c>
      <c r="D1241" s="40" t="str">
        <f t="shared" si="186"/>
        <v xml:space="preserve">No pick yet                                                 </v>
      </c>
      <c r="E1241" s="52">
        <f t="shared" si="187"/>
        <v>0</v>
      </c>
      <c r="F1241" s="18"/>
      <c r="M1241" s="18"/>
      <c r="N1241" s="18"/>
      <c r="O1241" s="18"/>
      <c r="P1241" s="18"/>
      <c r="Q1241" s="22"/>
      <c r="R1241" s="21"/>
      <c r="S1241" s="21"/>
      <c r="T1241" s="21"/>
      <c r="AA1241"/>
      <c r="AH1241" t="str">
        <f t="shared" si="188"/>
        <v>k yet</v>
      </c>
    </row>
    <row r="1242" spans="1:39">
      <c r="A1242" s="42" t="s">
        <v>254</v>
      </c>
      <c r="B1242" s="1" t="s">
        <v>20</v>
      </c>
      <c r="C1242" s="40" t="str">
        <f t="shared" si="185"/>
        <v>09-&gt;</v>
      </c>
      <c r="D1242" s="40" t="str">
        <f t="shared" si="186"/>
        <v xml:space="preserve">No pick yet                                                 </v>
      </c>
      <c r="E1242" s="52">
        <f t="shared" si="187"/>
        <v>0</v>
      </c>
      <c r="F1242" s="18"/>
      <c r="M1242" s="18"/>
      <c r="N1242" s="18"/>
      <c r="O1242" s="18"/>
      <c r="P1242" s="18"/>
      <c r="Q1242" s="22"/>
      <c r="R1242" s="21"/>
      <c r="S1242" s="21"/>
      <c r="T1242" s="21"/>
      <c r="AA1242"/>
      <c r="AH1242" t="str">
        <f t="shared" si="188"/>
        <v>k yet</v>
      </c>
    </row>
    <row r="1243" spans="1:39">
      <c r="A1243" s="42" t="s">
        <v>255</v>
      </c>
      <c r="B1243" s="1" t="s">
        <v>20</v>
      </c>
      <c r="C1243" s="40" t="str">
        <f t="shared" si="185"/>
        <v>10-&gt;</v>
      </c>
      <c r="D1243" s="40" t="str">
        <f t="shared" si="186"/>
        <v xml:space="preserve">No pick yet                                                 </v>
      </c>
      <c r="E1243" s="52">
        <f t="shared" si="187"/>
        <v>0</v>
      </c>
      <c r="F1243" s="22"/>
      <c r="M1243" s="18"/>
      <c r="N1243" s="18"/>
      <c r="O1243" s="18"/>
      <c r="P1243" s="18"/>
      <c r="Q1243" s="22"/>
      <c r="R1243" s="21"/>
      <c r="S1243" s="21"/>
      <c r="T1243" s="21"/>
      <c r="AA1243"/>
      <c r="AH1243" t="str">
        <f t="shared" si="188"/>
        <v>k yet</v>
      </c>
    </row>
    <row r="1244" spans="1:39">
      <c r="A1244" s="42" t="s">
        <v>256</v>
      </c>
      <c r="B1244" s="1" t="s">
        <v>20</v>
      </c>
      <c r="C1244" s="40" t="str">
        <f t="shared" si="185"/>
        <v>11-&gt;</v>
      </c>
      <c r="D1244" s="40" t="str">
        <f t="shared" si="186"/>
        <v xml:space="preserve">No pick yet                                                 </v>
      </c>
      <c r="E1244" s="52">
        <f t="shared" si="187"/>
        <v>0</v>
      </c>
      <c r="M1244" s="18"/>
      <c r="N1244" s="18"/>
      <c r="O1244" s="18"/>
      <c r="P1244" s="18"/>
      <c r="Q1244" s="22"/>
      <c r="R1244" s="21"/>
      <c r="S1244" s="21"/>
      <c r="T1244" s="21"/>
      <c r="AA1244"/>
      <c r="AH1244" t="str">
        <f t="shared" si="188"/>
        <v>k yet</v>
      </c>
    </row>
    <row r="1245" spans="1:39">
      <c r="A1245" s="42" t="s">
        <v>257</v>
      </c>
      <c r="B1245" s="1" t="s">
        <v>20</v>
      </c>
      <c r="C1245" s="40" t="str">
        <f t="shared" si="185"/>
        <v>12-&gt;</v>
      </c>
      <c r="D1245" s="40" t="str">
        <f t="shared" si="186"/>
        <v xml:space="preserve">No pick yet                                                 </v>
      </c>
      <c r="E1245" s="52">
        <f t="shared" si="187"/>
        <v>0</v>
      </c>
      <c r="M1245" s="18"/>
      <c r="N1245" s="18"/>
      <c r="O1245" s="18"/>
      <c r="P1245" s="18"/>
      <c r="Q1245" s="22"/>
      <c r="R1245" s="21"/>
      <c r="S1245" s="21"/>
      <c r="T1245" s="21"/>
      <c r="AA1245"/>
      <c r="AH1245" t="str">
        <f t="shared" si="188"/>
        <v>k yet</v>
      </c>
    </row>
    <row r="1246" spans="1:39">
      <c r="A1246" s="42" t="s">
        <v>258</v>
      </c>
      <c r="B1246" s="1" t="s">
        <v>20</v>
      </c>
      <c r="C1246" s="40" t="str">
        <f t="shared" si="185"/>
        <v>13-&gt;</v>
      </c>
      <c r="D1246" s="40" t="str">
        <f t="shared" si="186"/>
        <v xml:space="preserve">No pick yet                                                 </v>
      </c>
      <c r="E1246" s="52">
        <f t="shared" si="187"/>
        <v>0</v>
      </c>
      <c r="M1246" s="18"/>
      <c r="N1246" s="18"/>
      <c r="O1246" s="18"/>
      <c r="P1246" s="18"/>
      <c r="Q1246" s="22"/>
      <c r="R1246" s="21"/>
      <c r="S1246" s="21"/>
      <c r="T1246" s="21"/>
      <c r="AA1246"/>
      <c r="AH1246" t="str">
        <f t="shared" si="188"/>
        <v>k yet</v>
      </c>
    </row>
    <row r="1247" spans="1:39">
      <c r="A1247" s="42" t="s">
        <v>259</v>
      </c>
      <c r="B1247" s="1" t="s">
        <v>20</v>
      </c>
      <c r="C1247" s="40" t="str">
        <f t="shared" si="185"/>
        <v>14-&gt;</v>
      </c>
      <c r="D1247" s="40" t="str">
        <f t="shared" si="186"/>
        <v xml:space="preserve">No pick yet                                                 </v>
      </c>
      <c r="E1247" s="52">
        <f t="shared" si="187"/>
        <v>0</v>
      </c>
      <c r="M1247" s="18"/>
      <c r="N1247" s="18"/>
      <c r="O1247" s="18"/>
      <c r="P1247" s="18"/>
      <c r="Q1247" s="22"/>
      <c r="R1247" s="21"/>
      <c r="S1247" s="21"/>
      <c r="T1247" s="21"/>
      <c r="AA1247"/>
      <c r="AH1247" t="str">
        <f t="shared" si="188"/>
        <v>k yet</v>
      </c>
    </row>
    <row r="1248" spans="1:39">
      <c r="A1248" s="42" t="s">
        <v>260</v>
      </c>
      <c r="B1248" s="1" t="s">
        <v>20</v>
      </c>
      <c r="C1248" s="40" t="str">
        <f t="shared" si="185"/>
        <v>15-&gt;</v>
      </c>
      <c r="D1248" s="40" t="str">
        <f t="shared" si="186"/>
        <v xml:space="preserve">No pick yet                                                 </v>
      </c>
      <c r="E1248" s="52">
        <f t="shared" si="187"/>
        <v>0</v>
      </c>
      <c r="M1248" s="18"/>
      <c r="N1248" s="18"/>
      <c r="O1248" s="18"/>
      <c r="P1248" s="18"/>
      <c r="Q1248" s="22"/>
      <c r="R1248" s="21"/>
      <c r="S1248" s="21"/>
      <c r="T1248" s="21"/>
      <c r="AA1248"/>
      <c r="AH1248" t="str">
        <f t="shared" si="188"/>
        <v>k yet</v>
      </c>
    </row>
    <row r="1249" spans="1:39">
      <c r="A1249" s="42" t="s">
        <v>261</v>
      </c>
      <c r="B1249" s="1" t="s">
        <v>20</v>
      </c>
      <c r="C1249" s="40" t="str">
        <f t="shared" si="185"/>
        <v>16-&gt;</v>
      </c>
      <c r="D1249" s="40" t="str">
        <f t="shared" si="186"/>
        <v xml:space="preserve">No pick yet                                                 </v>
      </c>
      <c r="E1249" s="52">
        <f t="shared" si="187"/>
        <v>0</v>
      </c>
      <c r="M1249" s="18"/>
      <c r="N1249" s="18"/>
      <c r="O1249" s="18"/>
      <c r="P1249" s="18"/>
      <c r="Q1249" s="22"/>
      <c r="R1249" s="21"/>
      <c r="S1249" s="21"/>
      <c r="T1249" s="21"/>
      <c r="AA1249"/>
      <c r="AH1249" t="str">
        <f t="shared" si="188"/>
        <v>k yet</v>
      </c>
    </row>
    <row r="1250" spans="1:39">
      <c r="A1250" s="42" t="s">
        <v>262</v>
      </c>
      <c r="B1250" s="1" t="s">
        <v>20</v>
      </c>
      <c r="C1250" s="40" t="str">
        <f t="shared" si="185"/>
        <v>17-&gt;</v>
      </c>
      <c r="D1250" s="40" t="str">
        <f t="shared" si="186"/>
        <v xml:space="preserve">No pick yet                                                 </v>
      </c>
      <c r="E1250" s="52">
        <f t="shared" si="187"/>
        <v>0</v>
      </c>
      <c r="K1250" s="22"/>
      <c r="N1250" s="22"/>
      <c r="O1250" s="22"/>
      <c r="P1250" s="22"/>
      <c r="Q1250" s="22"/>
      <c r="R1250" s="22"/>
      <c r="S1250" s="22"/>
      <c r="Z1250" s="53"/>
      <c r="AA1250"/>
      <c r="AH1250" t="str">
        <f t="shared" si="188"/>
        <v>k yet</v>
      </c>
    </row>
    <row r="1251" spans="1:39">
      <c r="A1251" s="42" t="s">
        <v>263</v>
      </c>
      <c r="B1251" s="1" t="s">
        <v>20</v>
      </c>
      <c r="C1251" s="40" t="str">
        <f t="shared" si="185"/>
        <v>18-&gt;</v>
      </c>
      <c r="D1251" s="40" t="str">
        <f t="shared" si="186"/>
        <v xml:space="preserve">No pick yet                                                 </v>
      </c>
      <c r="E1251" s="52">
        <f t="shared" si="187"/>
        <v>0</v>
      </c>
      <c r="F1251" s="18"/>
      <c r="L1251" s="21"/>
      <c r="N1251" s="22"/>
      <c r="O1251" s="22"/>
      <c r="P1251" s="18"/>
      <c r="Q1251" s="22"/>
      <c r="R1251" s="22"/>
      <c r="S1251" s="22"/>
      <c r="Z1251" s="53"/>
      <c r="AA1251"/>
      <c r="AH1251" t="str">
        <f t="shared" si="188"/>
        <v>k yet</v>
      </c>
    </row>
    <row r="1252" spans="1:39">
      <c r="A1252" s="42" t="s">
        <v>264</v>
      </c>
      <c r="B1252" s="1" t="s">
        <v>20</v>
      </c>
      <c r="C1252" s="40" t="str">
        <f t="shared" si="185"/>
        <v>19-&gt;</v>
      </c>
      <c r="D1252" s="40" t="str">
        <f t="shared" si="186"/>
        <v xml:space="preserve">No pick yet                                                 </v>
      </c>
      <c r="E1252" s="52">
        <f t="shared" si="187"/>
        <v>0</v>
      </c>
      <c r="F1252" s="18"/>
      <c r="M1252" s="18"/>
      <c r="N1252" s="18"/>
      <c r="O1252" s="18"/>
      <c r="P1252" s="18"/>
      <c r="Q1252" s="22"/>
      <c r="R1252" s="21"/>
      <c r="S1252" s="21"/>
      <c r="T1252" s="21"/>
      <c r="AA1252"/>
      <c r="AH1252" t="str">
        <f t="shared" si="188"/>
        <v>k yet</v>
      </c>
    </row>
    <row r="1253" spans="1:39">
      <c r="A1253" s="42" t="s">
        <v>265</v>
      </c>
      <c r="B1253" s="1" t="s">
        <v>20</v>
      </c>
      <c r="C1253" s="40" t="str">
        <f t="shared" si="185"/>
        <v>20-&gt;</v>
      </c>
      <c r="D1253" s="40" t="str">
        <f t="shared" si="186"/>
        <v xml:space="preserve">No pick yet                                                 </v>
      </c>
      <c r="E1253" s="52">
        <f t="shared" si="187"/>
        <v>0</v>
      </c>
      <c r="F1253" s="18"/>
      <c r="M1253" s="18"/>
      <c r="N1253" s="18"/>
      <c r="O1253" s="18"/>
      <c r="P1253" s="18"/>
      <c r="Q1253" s="22"/>
      <c r="R1253" s="21"/>
      <c r="S1253" s="21"/>
      <c r="T1253" s="21"/>
      <c r="AA1253"/>
      <c r="AH1253" t="str">
        <f t="shared" si="188"/>
        <v>k yet</v>
      </c>
    </row>
    <row r="1254" spans="1:39">
      <c r="A1254" s="42" t="s">
        <v>266</v>
      </c>
      <c r="B1254" s="1" t="s">
        <v>20</v>
      </c>
      <c r="C1254" s="40" t="str">
        <f t="shared" si="185"/>
        <v>21-&gt;</v>
      </c>
      <c r="D1254" s="40" t="str">
        <f t="shared" si="186"/>
        <v xml:space="preserve">No pick yet                                                 </v>
      </c>
      <c r="E1254" s="52">
        <f t="shared" si="187"/>
        <v>0</v>
      </c>
      <c r="F1254" s="18"/>
      <c r="M1254" s="18"/>
      <c r="N1254" s="18"/>
      <c r="O1254" s="18"/>
      <c r="P1254" s="18"/>
      <c r="Q1254" s="22"/>
      <c r="R1254" s="21"/>
      <c r="S1254" s="21"/>
      <c r="T1254" s="21"/>
      <c r="AA1254"/>
      <c r="AH1254" t="str">
        <f t="shared" si="188"/>
        <v>k yet</v>
      </c>
    </row>
    <row r="1255" spans="1:39">
      <c r="A1255" s="42" t="s">
        <v>267</v>
      </c>
      <c r="B1255" s="1" t="s">
        <v>20</v>
      </c>
      <c r="C1255" s="40" t="str">
        <f t="shared" si="185"/>
        <v>22-&gt;</v>
      </c>
      <c r="D1255" s="40" t="str">
        <f t="shared" si="186"/>
        <v xml:space="preserve">No pick yet                                                 </v>
      </c>
      <c r="E1255" s="52">
        <f t="shared" si="187"/>
        <v>0</v>
      </c>
      <c r="F1255" s="18"/>
      <c r="M1255" s="18"/>
      <c r="N1255" s="18"/>
      <c r="O1255" s="18"/>
      <c r="P1255" s="18"/>
      <c r="Q1255" s="22"/>
      <c r="R1255" s="21"/>
      <c r="S1255" s="21"/>
      <c r="T1255" s="21"/>
      <c r="AA1255"/>
      <c r="AH1255" t="str">
        <f t="shared" si="188"/>
        <v>k yet</v>
      </c>
    </row>
    <row r="1256" spans="1:39">
      <c r="A1256" s="42" t="s">
        <v>268</v>
      </c>
      <c r="B1256" s="1" t="s">
        <v>20</v>
      </c>
      <c r="C1256" s="40" t="str">
        <f t="shared" si="185"/>
        <v>23-&gt;</v>
      </c>
      <c r="D1256" s="40" t="str">
        <f t="shared" si="186"/>
        <v xml:space="preserve">No pick yet                                                 </v>
      </c>
      <c r="E1256" s="52">
        <f t="shared" si="187"/>
        <v>0</v>
      </c>
      <c r="F1256" s="18"/>
      <c r="M1256" s="18"/>
      <c r="N1256" s="18"/>
      <c r="O1256" s="18"/>
      <c r="P1256" s="18"/>
      <c r="Q1256" s="22"/>
      <c r="R1256" s="21"/>
      <c r="S1256" s="21"/>
      <c r="T1256" s="21"/>
      <c r="AA1256"/>
      <c r="AH1256" t="str">
        <f t="shared" si="188"/>
        <v>k yet</v>
      </c>
    </row>
    <row r="1257" spans="1:39">
      <c r="A1257" s="42" t="s">
        <v>269</v>
      </c>
      <c r="B1257" s="1" t="s">
        <v>20</v>
      </c>
      <c r="C1257" s="40" t="str">
        <f t="shared" si="185"/>
        <v>24-&gt;</v>
      </c>
      <c r="D1257" s="40" t="str">
        <f t="shared" si="186"/>
        <v xml:space="preserve">No pick yet                                                 </v>
      </c>
      <c r="E1257" s="52">
        <f t="shared" si="187"/>
        <v>0</v>
      </c>
      <c r="F1257" s="18"/>
      <c r="M1257" s="18"/>
      <c r="N1257" s="18"/>
      <c r="O1257" s="18"/>
      <c r="P1257" s="18"/>
      <c r="Q1257" s="22"/>
      <c r="R1257" s="21"/>
      <c r="S1257" s="21"/>
      <c r="T1257" s="21"/>
      <c r="AA1257"/>
      <c r="AH1257" t="str">
        <f t="shared" si="188"/>
        <v>k yet</v>
      </c>
    </row>
    <row r="1258" spans="1:39">
      <c r="A1258" s="42" t="s">
        <v>270</v>
      </c>
      <c r="B1258" s="1" t="s">
        <v>20</v>
      </c>
      <c r="C1258" s="40" t="str">
        <f t="shared" si="185"/>
        <v>25-&gt;</v>
      </c>
      <c r="D1258" s="40" t="str">
        <f t="shared" si="186"/>
        <v xml:space="preserve">No pick yet                                                 </v>
      </c>
      <c r="E1258" s="52">
        <f t="shared" si="187"/>
        <v>0</v>
      </c>
      <c r="F1258" s="18"/>
      <c r="M1258" s="18"/>
      <c r="N1258" s="18"/>
      <c r="O1258" s="18"/>
      <c r="P1258" s="18"/>
      <c r="Q1258" s="22"/>
      <c r="R1258" s="21"/>
      <c r="S1258" s="21"/>
      <c r="T1258" s="21"/>
      <c r="AA1258"/>
      <c r="AH1258" t="str">
        <f t="shared" si="188"/>
        <v>k yet</v>
      </c>
    </row>
    <row r="1259" spans="1:39">
      <c r="A1259" s="42" t="s">
        <v>271</v>
      </c>
      <c r="B1259" s="1" t="s">
        <v>20</v>
      </c>
      <c r="C1259" s="40" t="str">
        <f t="shared" si="185"/>
        <v>26-&gt;</v>
      </c>
      <c r="D1259" s="40" t="str">
        <f t="shared" si="186"/>
        <v xml:space="preserve">No pick yet                                                 </v>
      </c>
      <c r="E1259" s="52">
        <f t="shared" si="187"/>
        <v>0</v>
      </c>
      <c r="F1259" s="18"/>
      <c r="M1259" s="18"/>
      <c r="N1259" s="18"/>
      <c r="O1259" s="18"/>
      <c r="P1259" s="18"/>
      <c r="Q1259" s="22"/>
      <c r="R1259" s="21"/>
      <c r="S1259" s="21"/>
      <c r="T1259" s="21"/>
      <c r="AA1259"/>
      <c r="AH1259" t="str">
        <f t="shared" si="188"/>
        <v>k yet</v>
      </c>
    </row>
    <row r="1260" spans="1:39">
      <c r="A1260" s="38"/>
      <c r="B1260" s="40"/>
      <c r="C1260" s="40"/>
      <c r="D1260" s="49"/>
      <c r="E1260" s="41" t="s">
        <v>69</v>
      </c>
      <c r="F1260" s="18"/>
      <c r="K1260" s="22" t="s">
        <v>73</v>
      </c>
      <c r="L1260" s="18" t="s">
        <v>74</v>
      </c>
      <c r="M1260" s="22" t="s">
        <v>78</v>
      </c>
      <c r="N1260" s="22" t="s">
        <v>79</v>
      </c>
      <c r="O1260" s="22" t="s">
        <v>80</v>
      </c>
      <c r="P1260" s="22" t="s">
        <v>81</v>
      </c>
      <c r="Q1260" s="22" t="s">
        <v>82</v>
      </c>
      <c r="R1260" s="22" t="s">
        <v>83</v>
      </c>
      <c r="S1260" s="22" t="s">
        <v>84</v>
      </c>
      <c r="T1260" s="18" t="s">
        <v>85</v>
      </c>
      <c r="U1260" s="18" t="s">
        <v>86</v>
      </c>
      <c r="V1260" s="18" t="s">
        <v>87</v>
      </c>
      <c r="W1260" s="18" t="s">
        <v>88</v>
      </c>
      <c r="X1260" s="18" t="s">
        <v>89</v>
      </c>
      <c r="Y1260" s="18" t="s">
        <v>90</v>
      </c>
      <c r="Z1260" s="18" t="s">
        <v>91</v>
      </c>
      <c r="AA1260" s="18" t="s">
        <v>92</v>
      </c>
      <c r="AB1260" s="18" t="s">
        <v>93</v>
      </c>
      <c r="AC1260" s="18" t="s">
        <v>94</v>
      </c>
      <c r="AD1260" s="18" t="s">
        <v>235</v>
      </c>
      <c r="AE1260" s="18" t="s">
        <v>236</v>
      </c>
      <c r="AF1260" s="18" t="s">
        <v>237</v>
      </c>
      <c r="AG1260" s="18" t="s">
        <v>238</v>
      </c>
      <c r="AH1260" s="18" t="s">
        <v>239</v>
      </c>
      <c r="AI1260" s="18" t="s">
        <v>240</v>
      </c>
      <c r="AJ1260" s="18" t="s">
        <v>241</v>
      </c>
      <c r="AK1260" s="18" t="s">
        <v>242</v>
      </c>
      <c r="AL1260" s="18" t="s">
        <v>243</v>
      </c>
      <c r="AM1260" s="50" t="s">
        <v>244</v>
      </c>
    </row>
    <row r="1261" spans="1:39">
      <c r="A1261" s="40" t="s">
        <v>245</v>
      </c>
      <c r="B1261" s="51" t="str">
        <f>D44</f>
        <v/>
      </c>
      <c r="C1261" s="40" t="str">
        <f t="shared" ref="C1261:C1287" si="189">A1261</f>
        <v>#</v>
      </c>
      <c r="D1261" s="40" t="str">
        <f>"   "&amp;B1261&amp;REPT(" ",$AH$70-LEN(B1261)-3)</f>
        <v xml:space="preserve">                                                            </v>
      </c>
      <c r="E1261" s="38" t="str">
        <f>SUM(E1262:E1287)&amp;" pts[/b]"</f>
        <v>0 pts[/b]</v>
      </c>
      <c r="F1261" s="21">
        <f>SUM(E1262:E1287)</f>
        <v>0</v>
      </c>
      <c r="K1261" s="18">
        <f>COUNTIF(E1262:E1287,"&gt;0")</f>
        <v>0</v>
      </c>
      <c r="L1261" s="21">
        <f>AM1261-K1261</f>
        <v>0</v>
      </c>
      <c r="M1261" s="22">
        <f>MAX(E1262:E1287)</f>
        <v>0</v>
      </c>
      <c r="N1261" s="22">
        <f>LARGE(E1262:E1287,2)</f>
        <v>0</v>
      </c>
      <c r="O1261" s="22">
        <f>LARGE(E1262:E1287,3)</f>
        <v>0</v>
      </c>
      <c r="P1261" s="18">
        <f>LARGE(E1262:E1287,4)</f>
        <v>0</v>
      </c>
      <c r="Q1261" s="22">
        <f>LARGE(E1262:E1287,5)</f>
        <v>0</v>
      </c>
      <c r="R1261" s="22">
        <f>LARGE(E1262:E1287,6)</f>
        <v>0</v>
      </c>
      <c r="S1261" s="22">
        <f>LARGE(E1262:E1287,7)</f>
        <v>0</v>
      </c>
      <c r="T1261" s="18">
        <f>LARGE(E1262:E1287,8)</f>
        <v>0</v>
      </c>
      <c r="U1261" s="18">
        <f>LARGE(E1262:E1287,9)</f>
        <v>0</v>
      </c>
      <c r="V1261" s="18">
        <f>LARGE(E1262:E1287,10)</f>
        <v>0</v>
      </c>
      <c r="W1261" s="18">
        <f>LARGE(E1262:E1287,11)</f>
        <v>0</v>
      </c>
      <c r="X1261" s="18">
        <f>LARGE(E1262:E1287,12)</f>
        <v>0</v>
      </c>
      <c r="Y1261" s="18">
        <f>LARGE(E1262:E1287,13)</f>
        <v>0</v>
      </c>
      <c r="Z1261" s="18">
        <f>LARGE(E1262:E1287,14)</f>
        <v>0</v>
      </c>
      <c r="AA1261" s="18">
        <f>LARGE(E1262:E1287,15)</f>
        <v>0</v>
      </c>
      <c r="AB1261" s="18">
        <f>LARGE(E1262:E1287,16)</f>
        <v>0</v>
      </c>
      <c r="AC1261" s="18">
        <f>LARGE(E1262:E1287,17)</f>
        <v>0</v>
      </c>
      <c r="AD1261" s="18">
        <f>LARGE(E1262:E1288,13)</f>
        <v>0</v>
      </c>
      <c r="AE1261" s="18">
        <f>LARGE(E1262:E1287,19)</f>
        <v>0</v>
      </c>
      <c r="AF1261" s="18">
        <f>LARGE(E1262:E1287,20)</f>
        <v>0</v>
      </c>
      <c r="AG1261" s="18">
        <f>LARGE(E1262:E1287,21)</f>
        <v>0</v>
      </c>
      <c r="AH1261" s="18">
        <f>LARGE(E1262:E1287,22)</f>
        <v>0</v>
      </c>
      <c r="AI1261" s="18">
        <f>LARGE(E1262:E1287,23)</f>
        <v>0</v>
      </c>
      <c r="AJ1261" s="18">
        <f>LARGE(E1262:E1287,24)</f>
        <v>0</v>
      </c>
      <c r="AK1261" s="18">
        <f>LARGE(E1262:E1287,25)</f>
        <v>0</v>
      </c>
      <c r="AL1261" s="18">
        <f>LARGE(E1262:E1287,26)</f>
        <v>0</v>
      </c>
      <c r="AM1261" s="50">
        <f>COUNTIF(AH1262:AH1287,"&lt;&gt;"&amp;AH76)-(26-COUNTIF(E1262:E1287,"&gt;=0"))</f>
        <v>0</v>
      </c>
    </row>
    <row r="1262" spans="1:39">
      <c r="A1262" s="42" t="s">
        <v>246</v>
      </c>
      <c r="B1262" s="1" t="s">
        <v>20</v>
      </c>
      <c r="C1262" s="40" t="str">
        <f t="shared" si="189"/>
        <v>01-&gt;</v>
      </c>
      <c r="D1262" s="40" t="str">
        <f t="shared" ref="D1262:D1287" si="190">B1262&amp;REPT(" ",$AH$70-LEN(B1262))</f>
        <v xml:space="preserve">No pick yet                                                 </v>
      </c>
      <c r="E1262" s="52">
        <f t="shared" ref="E1262:E1287" si="191">VLOOKUP(RIGHT(B1262,LEN(B1262)-$AH$66),$H$138:$I$420,2,0)</f>
        <v>0</v>
      </c>
      <c r="F1262" s="18"/>
      <c r="M1262" s="18"/>
      <c r="N1262" s="18"/>
      <c r="O1262" s="18"/>
      <c r="P1262" s="18"/>
      <c r="Q1262" s="22"/>
      <c r="R1262" s="21"/>
      <c r="S1262" s="21"/>
      <c r="T1262" s="21"/>
      <c r="AA1262"/>
      <c r="AH1262" t="str">
        <f t="shared" ref="AH1262:AH1287" si="192">RIGHT(B1262,LEN(B1262)-$AH$66)</f>
        <v>k yet</v>
      </c>
    </row>
    <row r="1263" spans="1:39">
      <c r="A1263" s="42" t="s">
        <v>247</v>
      </c>
      <c r="B1263" s="1" t="s">
        <v>20</v>
      </c>
      <c r="C1263" s="40" t="str">
        <f t="shared" si="189"/>
        <v>02-&gt;</v>
      </c>
      <c r="D1263" s="40" t="str">
        <f t="shared" si="190"/>
        <v xml:space="preserve">No pick yet                                                 </v>
      </c>
      <c r="E1263" s="52">
        <f t="shared" si="191"/>
        <v>0</v>
      </c>
      <c r="F1263" s="18"/>
      <c r="K1263" s="22"/>
      <c r="N1263" s="22"/>
      <c r="O1263" s="22"/>
      <c r="P1263" s="22"/>
      <c r="Q1263" s="22"/>
      <c r="R1263" s="22"/>
      <c r="S1263" s="22"/>
      <c r="Z1263" s="53"/>
      <c r="AA1263"/>
      <c r="AH1263" t="str">
        <f t="shared" si="192"/>
        <v>k yet</v>
      </c>
    </row>
    <row r="1264" spans="1:39">
      <c r="A1264" s="42" t="s">
        <v>248</v>
      </c>
      <c r="B1264" s="1" t="s">
        <v>20</v>
      </c>
      <c r="C1264" s="40" t="str">
        <f t="shared" si="189"/>
        <v>03-&gt;</v>
      </c>
      <c r="D1264" s="40" t="str">
        <f t="shared" si="190"/>
        <v xml:space="preserve">No pick yet                                                 </v>
      </c>
      <c r="E1264" s="52">
        <f t="shared" si="191"/>
        <v>0</v>
      </c>
      <c r="F1264" s="18"/>
      <c r="L1264" s="21"/>
      <c r="N1264" s="22"/>
      <c r="O1264" s="22"/>
      <c r="P1264" s="18"/>
      <c r="Q1264" s="22"/>
      <c r="R1264" s="22"/>
      <c r="S1264" s="22"/>
      <c r="Z1264" s="53"/>
      <c r="AA1264"/>
      <c r="AH1264" t="str">
        <f t="shared" si="192"/>
        <v>k yet</v>
      </c>
    </row>
    <row r="1265" spans="1:34">
      <c r="A1265" s="42" t="s">
        <v>249</v>
      </c>
      <c r="B1265" s="1" t="s">
        <v>20</v>
      </c>
      <c r="C1265" s="40" t="str">
        <f t="shared" si="189"/>
        <v>04-&gt;</v>
      </c>
      <c r="D1265" s="40" t="str">
        <f t="shared" si="190"/>
        <v xml:space="preserve">No pick yet                                                 </v>
      </c>
      <c r="E1265" s="52">
        <f t="shared" si="191"/>
        <v>0</v>
      </c>
      <c r="F1265" s="18"/>
      <c r="M1265" s="18"/>
      <c r="N1265" s="18"/>
      <c r="O1265" s="18"/>
      <c r="P1265" s="18"/>
      <c r="Q1265" s="22"/>
      <c r="R1265" s="21"/>
      <c r="S1265" s="21"/>
      <c r="T1265" s="21"/>
      <c r="AA1265"/>
      <c r="AH1265" t="str">
        <f t="shared" si="192"/>
        <v>k yet</v>
      </c>
    </row>
    <row r="1266" spans="1:34">
      <c r="A1266" s="42" t="s">
        <v>250</v>
      </c>
      <c r="B1266" s="1" t="s">
        <v>20</v>
      </c>
      <c r="C1266" s="40" t="str">
        <f t="shared" si="189"/>
        <v>05-&gt;</v>
      </c>
      <c r="D1266" s="40" t="str">
        <f t="shared" si="190"/>
        <v xml:space="preserve">No pick yet                                                 </v>
      </c>
      <c r="E1266" s="52">
        <f t="shared" si="191"/>
        <v>0</v>
      </c>
      <c r="F1266" s="18"/>
      <c r="M1266" s="18"/>
      <c r="N1266" s="18"/>
      <c r="O1266" s="18"/>
      <c r="P1266" s="18"/>
      <c r="Q1266" s="22"/>
      <c r="R1266" s="21"/>
      <c r="S1266" s="21"/>
      <c r="T1266" s="21"/>
      <c r="AA1266"/>
      <c r="AH1266" t="str">
        <f t="shared" si="192"/>
        <v>k yet</v>
      </c>
    </row>
    <row r="1267" spans="1:34">
      <c r="A1267" s="42" t="s">
        <v>251</v>
      </c>
      <c r="B1267" s="1" t="s">
        <v>20</v>
      </c>
      <c r="C1267" s="40" t="str">
        <f t="shared" si="189"/>
        <v>06-&gt;</v>
      </c>
      <c r="D1267" s="40" t="str">
        <f t="shared" si="190"/>
        <v xml:space="preserve">No pick yet                                                 </v>
      </c>
      <c r="E1267" s="52">
        <f t="shared" si="191"/>
        <v>0</v>
      </c>
      <c r="F1267" s="18"/>
      <c r="M1267" s="18"/>
      <c r="N1267" s="18"/>
      <c r="O1267" s="18"/>
      <c r="P1267" s="18"/>
      <c r="Q1267" s="22"/>
      <c r="R1267" s="21"/>
      <c r="S1267" s="21"/>
      <c r="T1267" s="21"/>
      <c r="AA1267"/>
      <c r="AH1267" t="str">
        <f t="shared" si="192"/>
        <v>k yet</v>
      </c>
    </row>
    <row r="1268" spans="1:34">
      <c r="A1268" s="42" t="s">
        <v>252</v>
      </c>
      <c r="B1268" s="1" t="s">
        <v>20</v>
      </c>
      <c r="C1268" s="40" t="str">
        <f t="shared" si="189"/>
        <v>07-&gt;</v>
      </c>
      <c r="D1268" s="40" t="str">
        <f t="shared" si="190"/>
        <v xml:space="preserve">No pick yet                                                 </v>
      </c>
      <c r="E1268" s="52">
        <f t="shared" si="191"/>
        <v>0</v>
      </c>
      <c r="F1268" s="18"/>
      <c r="M1268" s="18"/>
      <c r="N1268" s="18"/>
      <c r="O1268" s="18"/>
      <c r="P1268" s="18"/>
      <c r="Q1268" s="22"/>
      <c r="R1268" s="21"/>
      <c r="S1268" s="21"/>
      <c r="T1268" s="21"/>
      <c r="AA1268"/>
      <c r="AH1268" t="str">
        <f t="shared" si="192"/>
        <v>k yet</v>
      </c>
    </row>
    <row r="1269" spans="1:34">
      <c r="A1269" s="42" t="s">
        <v>253</v>
      </c>
      <c r="B1269" s="1" t="s">
        <v>20</v>
      </c>
      <c r="C1269" s="40" t="str">
        <f t="shared" si="189"/>
        <v>08-&gt;</v>
      </c>
      <c r="D1269" s="40" t="str">
        <f t="shared" si="190"/>
        <v xml:space="preserve">No pick yet                                                 </v>
      </c>
      <c r="E1269" s="52">
        <f t="shared" si="191"/>
        <v>0</v>
      </c>
      <c r="F1269" s="18"/>
      <c r="M1269" s="18"/>
      <c r="N1269" s="18"/>
      <c r="O1269" s="18"/>
      <c r="P1269" s="18"/>
      <c r="Q1269" s="22"/>
      <c r="R1269" s="21"/>
      <c r="S1269" s="21"/>
      <c r="T1269" s="21"/>
      <c r="AA1269"/>
      <c r="AH1269" t="str">
        <f t="shared" si="192"/>
        <v>k yet</v>
      </c>
    </row>
    <row r="1270" spans="1:34">
      <c r="A1270" s="42" t="s">
        <v>254</v>
      </c>
      <c r="B1270" s="1" t="s">
        <v>20</v>
      </c>
      <c r="C1270" s="40" t="str">
        <f t="shared" si="189"/>
        <v>09-&gt;</v>
      </c>
      <c r="D1270" s="40" t="str">
        <f t="shared" si="190"/>
        <v xml:space="preserve">No pick yet                                                 </v>
      </c>
      <c r="E1270" s="52">
        <f t="shared" si="191"/>
        <v>0</v>
      </c>
      <c r="F1270" s="18"/>
      <c r="M1270" s="18"/>
      <c r="N1270" s="18"/>
      <c r="O1270" s="18"/>
      <c r="P1270" s="18"/>
      <c r="Q1270" s="22"/>
      <c r="R1270" s="21"/>
      <c r="S1270" s="21"/>
      <c r="T1270" s="21"/>
      <c r="AA1270"/>
      <c r="AH1270" t="str">
        <f t="shared" si="192"/>
        <v>k yet</v>
      </c>
    </row>
    <row r="1271" spans="1:34">
      <c r="A1271" s="42" t="s">
        <v>255</v>
      </c>
      <c r="B1271" s="1" t="s">
        <v>20</v>
      </c>
      <c r="C1271" s="40" t="str">
        <f t="shared" si="189"/>
        <v>10-&gt;</v>
      </c>
      <c r="D1271" s="40" t="str">
        <f t="shared" si="190"/>
        <v xml:space="preserve">No pick yet                                                 </v>
      </c>
      <c r="E1271" s="52">
        <f t="shared" si="191"/>
        <v>0</v>
      </c>
      <c r="F1271" s="22"/>
      <c r="M1271" s="18"/>
      <c r="N1271" s="18"/>
      <c r="O1271" s="18"/>
      <c r="P1271" s="18"/>
      <c r="Q1271" s="22"/>
      <c r="R1271" s="21"/>
      <c r="S1271" s="21"/>
      <c r="T1271" s="21"/>
      <c r="AA1271"/>
      <c r="AH1271" t="str">
        <f t="shared" si="192"/>
        <v>k yet</v>
      </c>
    </row>
    <row r="1272" spans="1:34">
      <c r="A1272" s="42" t="s">
        <v>256</v>
      </c>
      <c r="B1272" s="1" t="s">
        <v>20</v>
      </c>
      <c r="C1272" s="40" t="str">
        <f t="shared" si="189"/>
        <v>11-&gt;</v>
      </c>
      <c r="D1272" s="40" t="str">
        <f t="shared" si="190"/>
        <v xml:space="preserve">No pick yet                                                 </v>
      </c>
      <c r="E1272" s="52">
        <f t="shared" si="191"/>
        <v>0</v>
      </c>
      <c r="M1272" s="18"/>
      <c r="N1272" s="18"/>
      <c r="O1272" s="18"/>
      <c r="P1272" s="18"/>
      <c r="Q1272" s="22"/>
      <c r="R1272" s="21"/>
      <c r="S1272" s="21"/>
      <c r="T1272" s="21"/>
      <c r="AA1272"/>
      <c r="AH1272" t="str">
        <f t="shared" si="192"/>
        <v>k yet</v>
      </c>
    </row>
    <row r="1273" spans="1:34">
      <c r="A1273" s="42" t="s">
        <v>257</v>
      </c>
      <c r="B1273" s="1" t="s">
        <v>20</v>
      </c>
      <c r="C1273" s="40" t="str">
        <f t="shared" si="189"/>
        <v>12-&gt;</v>
      </c>
      <c r="D1273" s="40" t="str">
        <f t="shared" si="190"/>
        <v xml:space="preserve">No pick yet                                                 </v>
      </c>
      <c r="E1273" s="52">
        <f t="shared" si="191"/>
        <v>0</v>
      </c>
      <c r="M1273" s="18"/>
      <c r="N1273" s="18"/>
      <c r="O1273" s="18"/>
      <c r="P1273" s="18"/>
      <c r="Q1273" s="22"/>
      <c r="R1273" s="21"/>
      <c r="S1273" s="21"/>
      <c r="T1273" s="21"/>
      <c r="AA1273"/>
      <c r="AH1273" t="str">
        <f t="shared" si="192"/>
        <v>k yet</v>
      </c>
    </row>
    <row r="1274" spans="1:34">
      <c r="A1274" s="42" t="s">
        <v>258</v>
      </c>
      <c r="B1274" s="1" t="s">
        <v>20</v>
      </c>
      <c r="C1274" s="40" t="str">
        <f t="shared" si="189"/>
        <v>13-&gt;</v>
      </c>
      <c r="D1274" s="40" t="str">
        <f t="shared" si="190"/>
        <v xml:space="preserve">No pick yet                                                 </v>
      </c>
      <c r="E1274" s="52">
        <f t="shared" si="191"/>
        <v>0</v>
      </c>
      <c r="M1274" s="18"/>
      <c r="N1274" s="18"/>
      <c r="O1274" s="18"/>
      <c r="P1274" s="18"/>
      <c r="Q1274" s="22"/>
      <c r="R1274" s="21"/>
      <c r="S1274" s="21"/>
      <c r="T1274" s="21"/>
      <c r="AA1274"/>
      <c r="AH1274" t="str">
        <f t="shared" si="192"/>
        <v>k yet</v>
      </c>
    </row>
    <row r="1275" spans="1:34">
      <c r="A1275" s="42" t="s">
        <v>259</v>
      </c>
      <c r="B1275" s="1" t="s">
        <v>20</v>
      </c>
      <c r="C1275" s="40" t="str">
        <f t="shared" si="189"/>
        <v>14-&gt;</v>
      </c>
      <c r="D1275" s="40" t="str">
        <f t="shared" si="190"/>
        <v xml:space="preserve">No pick yet                                                 </v>
      </c>
      <c r="E1275" s="52">
        <f t="shared" si="191"/>
        <v>0</v>
      </c>
      <c r="M1275" s="18"/>
      <c r="N1275" s="18"/>
      <c r="O1275" s="18"/>
      <c r="P1275" s="18"/>
      <c r="Q1275" s="22"/>
      <c r="R1275" s="21"/>
      <c r="S1275" s="21"/>
      <c r="T1275" s="21"/>
      <c r="AA1275"/>
      <c r="AH1275" t="str">
        <f t="shared" si="192"/>
        <v>k yet</v>
      </c>
    </row>
    <row r="1276" spans="1:34">
      <c r="A1276" s="42" t="s">
        <v>260</v>
      </c>
      <c r="B1276" s="1" t="s">
        <v>20</v>
      </c>
      <c r="C1276" s="40" t="str">
        <f t="shared" si="189"/>
        <v>15-&gt;</v>
      </c>
      <c r="D1276" s="40" t="str">
        <f t="shared" si="190"/>
        <v xml:space="preserve">No pick yet                                                 </v>
      </c>
      <c r="E1276" s="52">
        <f t="shared" si="191"/>
        <v>0</v>
      </c>
      <c r="M1276" s="18"/>
      <c r="N1276" s="18"/>
      <c r="O1276" s="18"/>
      <c r="P1276" s="18"/>
      <c r="Q1276" s="22"/>
      <c r="R1276" s="21"/>
      <c r="S1276" s="21"/>
      <c r="T1276" s="21"/>
      <c r="AA1276"/>
      <c r="AH1276" t="str">
        <f t="shared" si="192"/>
        <v>k yet</v>
      </c>
    </row>
    <row r="1277" spans="1:34">
      <c r="A1277" s="42" t="s">
        <v>261</v>
      </c>
      <c r="B1277" s="1" t="s">
        <v>20</v>
      </c>
      <c r="C1277" s="40" t="str">
        <f t="shared" si="189"/>
        <v>16-&gt;</v>
      </c>
      <c r="D1277" s="40" t="str">
        <f t="shared" si="190"/>
        <v xml:space="preserve">No pick yet                                                 </v>
      </c>
      <c r="E1277" s="52">
        <f t="shared" si="191"/>
        <v>0</v>
      </c>
      <c r="M1277" s="18"/>
      <c r="N1277" s="18"/>
      <c r="O1277" s="18"/>
      <c r="P1277" s="18"/>
      <c r="Q1277" s="22"/>
      <c r="R1277" s="21"/>
      <c r="S1277" s="21"/>
      <c r="T1277" s="21"/>
      <c r="AA1277"/>
      <c r="AH1277" t="str">
        <f t="shared" si="192"/>
        <v>k yet</v>
      </c>
    </row>
    <row r="1278" spans="1:34">
      <c r="A1278" s="42" t="s">
        <v>262</v>
      </c>
      <c r="B1278" s="1" t="s">
        <v>20</v>
      </c>
      <c r="C1278" s="40" t="str">
        <f t="shared" si="189"/>
        <v>17-&gt;</v>
      </c>
      <c r="D1278" s="40" t="str">
        <f t="shared" si="190"/>
        <v xml:space="preserve">No pick yet                                                 </v>
      </c>
      <c r="E1278" s="52">
        <f t="shared" si="191"/>
        <v>0</v>
      </c>
      <c r="K1278" s="22"/>
      <c r="N1278" s="22"/>
      <c r="O1278" s="22"/>
      <c r="P1278" s="22"/>
      <c r="Q1278" s="22"/>
      <c r="R1278" s="22"/>
      <c r="S1278" s="22"/>
      <c r="Z1278" s="53"/>
      <c r="AA1278"/>
      <c r="AH1278" t="str">
        <f t="shared" si="192"/>
        <v>k yet</v>
      </c>
    </row>
    <row r="1279" spans="1:34">
      <c r="A1279" s="42" t="s">
        <v>263</v>
      </c>
      <c r="B1279" s="1" t="s">
        <v>20</v>
      </c>
      <c r="C1279" s="40" t="str">
        <f t="shared" si="189"/>
        <v>18-&gt;</v>
      </c>
      <c r="D1279" s="40" t="str">
        <f t="shared" si="190"/>
        <v xml:space="preserve">No pick yet                                                 </v>
      </c>
      <c r="E1279" s="52">
        <f t="shared" si="191"/>
        <v>0</v>
      </c>
      <c r="F1279" s="18"/>
      <c r="L1279" s="21"/>
      <c r="N1279" s="22"/>
      <c r="O1279" s="22"/>
      <c r="P1279" s="18"/>
      <c r="Q1279" s="22"/>
      <c r="R1279" s="22"/>
      <c r="S1279" s="22"/>
      <c r="Z1279" s="53"/>
      <c r="AA1279"/>
      <c r="AH1279" t="str">
        <f t="shared" si="192"/>
        <v>k yet</v>
      </c>
    </row>
    <row r="1280" spans="1:34">
      <c r="A1280" s="42" t="s">
        <v>264</v>
      </c>
      <c r="B1280" s="1" t="s">
        <v>20</v>
      </c>
      <c r="C1280" s="40" t="str">
        <f t="shared" si="189"/>
        <v>19-&gt;</v>
      </c>
      <c r="D1280" s="40" t="str">
        <f t="shared" si="190"/>
        <v xml:space="preserve">No pick yet                                                 </v>
      </c>
      <c r="E1280" s="52">
        <f t="shared" si="191"/>
        <v>0</v>
      </c>
      <c r="F1280" s="18"/>
      <c r="M1280" s="18"/>
      <c r="N1280" s="18"/>
      <c r="O1280" s="18"/>
      <c r="P1280" s="18"/>
      <c r="Q1280" s="22"/>
      <c r="R1280" s="21"/>
      <c r="S1280" s="21"/>
      <c r="T1280" s="21"/>
      <c r="AA1280"/>
      <c r="AH1280" t="str">
        <f t="shared" si="192"/>
        <v>k yet</v>
      </c>
    </row>
    <row r="1281" spans="1:39">
      <c r="A1281" s="42" t="s">
        <v>265</v>
      </c>
      <c r="B1281" s="1" t="s">
        <v>20</v>
      </c>
      <c r="C1281" s="40" t="str">
        <f t="shared" si="189"/>
        <v>20-&gt;</v>
      </c>
      <c r="D1281" s="40" t="str">
        <f t="shared" si="190"/>
        <v xml:space="preserve">No pick yet                                                 </v>
      </c>
      <c r="E1281" s="52">
        <f t="shared" si="191"/>
        <v>0</v>
      </c>
      <c r="F1281" s="18"/>
      <c r="M1281" s="18"/>
      <c r="N1281" s="18"/>
      <c r="O1281" s="18"/>
      <c r="P1281" s="18"/>
      <c r="Q1281" s="22"/>
      <c r="R1281" s="21"/>
      <c r="S1281" s="21"/>
      <c r="T1281" s="21"/>
      <c r="AA1281"/>
      <c r="AH1281" t="str">
        <f t="shared" si="192"/>
        <v>k yet</v>
      </c>
    </row>
    <row r="1282" spans="1:39">
      <c r="A1282" s="42" t="s">
        <v>266</v>
      </c>
      <c r="B1282" s="1" t="s">
        <v>20</v>
      </c>
      <c r="C1282" s="40" t="str">
        <f t="shared" si="189"/>
        <v>21-&gt;</v>
      </c>
      <c r="D1282" s="40" t="str">
        <f t="shared" si="190"/>
        <v xml:space="preserve">No pick yet                                                 </v>
      </c>
      <c r="E1282" s="52">
        <f t="shared" si="191"/>
        <v>0</v>
      </c>
      <c r="F1282" s="18"/>
      <c r="M1282" s="18"/>
      <c r="N1282" s="18"/>
      <c r="O1282" s="18"/>
      <c r="P1282" s="18"/>
      <c r="Q1282" s="22"/>
      <c r="R1282" s="21"/>
      <c r="S1282" s="21"/>
      <c r="T1282" s="21"/>
      <c r="AA1282"/>
      <c r="AH1282" t="str">
        <f t="shared" si="192"/>
        <v>k yet</v>
      </c>
    </row>
    <row r="1283" spans="1:39">
      <c r="A1283" s="42" t="s">
        <v>267</v>
      </c>
      <c r="B1283" s="1" t="s">
        <v>20</v>
      </c>
      <c r="C1283" s="40" t="str">
        <f t="shared" si="189"/>
        <v>22-&gt;</v>
      </c>
      <c r="D1283" s="40" t="str">
        <f t="shared" si="190"/>
        <v xml:space="preserve">No pick yet                                                 </v>
      </c>
      <c r="E1283" s="52">
        <f t="shared" si="191"/>
        <v>0</v>
      </c>
      <c r="F1283" s="18"/>
      <c r="M1283" s="18"/>
      <c r="N1283" s="18"/>
      <c r="O1283" s="18"/>
      <c r="P1283" s="18"/>
      <c r="Q1283" s="22"/>
      <c r="R1283" s="21"/>
      <c r="S1283" s="21"/>
      <c r="T1283" s="21"/>
      <c r="AA1283"/>
      <c r="AH1283" t="str">
        <f t="shared" si="192"/>
        <v>k yet</v>
      </c>
    </row>
    <row r="1284" spans="1:39">
      <c r="A1284" s="42" t="s">
        <v>268</v>
      </c>
      <c r="B1284" s="1" t="s">
        <v>20</v>
      </c>
      <c r="C1284" s="40" t="str">
        <f t="shared" si="189"/>
        <v>23-&gt;</v>
      </c>
      <c r="D1284" s="40" t="str">
        <f t="shared" si="190"/>
        <v xml:space="preserve">No pick yet                                                 </v>
      </c>
      <c r="E1284" s="52">
        <f t="shared" si="191"/>
        <v>0</v>
      </c>
      <c r="F1284" s="18"/>
      <c r="M1284" s="18"/>
      <c r="N1284" s="18"/>
      <c r="O1284" s="18"/>
      <c r="P1284" s="18"/>
      <c r="Q1284" s="22"/>
      <c r="R1284" s="21"/>
      <c r="S1284" s="21"/>
      <c r="T1284" s="21"/>
      <c r="AA1284"/>
      <c r="AH1284" t="str">
        <f t="shared" si="192"/>
        <v>k yet</v>
      </c>
    </row>
    <row r="1285" spans="1:39">
      <c r="A1285" s="42" t="s">
        <v>269</v>
      </c>
      <c r="B1285" s="1" t="s">
        <v>20</v>
      </c>
      <c r="C1285" s="40" t="str">
        <f t="shared" si="189"/>
        <v>24-&gt;</v>
      </c>
      <c r="D1285" s="40" t="str">
        <f t="shared" si="190"/>
        <v xml:space="preserve">No pick yet                                                 </v>
      </c>
      <c r="E1285" s="52">
        <f t="shared" si="191"/>
        <v>0</v>
      </c>
      <c r="F1285" s="18"/>
      <c r="M1285" s="18"/>
      <c r="N1285" s="18"/>
      <c r="O1285" s="18"/>
      <c r="P1285" s="18"/>
      <c r="Q1285" s="22"/>
      <c r="R1285" s="21"/>
      <c r="S1285" s="21"/>
      <c r="T1285" s="21"/>
      <c r="AA1285"/>
      <c r="AH1285" t="str">
        <f t="shared" si="192"/>
        <v>k yet</v>
      </c>
    </row>
    <row r="1286" spans="1:39">
      <c r="A1286" s="42" t="s">
        <v>270</v>
      </c>
      <c r="B1286" s="1" t="s">
        <v>20</v>
      </c>
      <c r="C1286" s="40" t="str">
        <f t="shared" si="189"/>
        <v>25-&gt;</v>
      </c>
      <c r="D1286" s="40" t="str">
        <f t="shared" si="190"/>
        <v xml:space="preserve">No pick yet                                                 </v>
      </c>
      <c r="E1286" s="52">
        <f t="shared" si="191"/>
        <v>0</v>
      </c>
      <c r="F1286" s="18"/>
      <c r="M1286" s="18"/>
      <c r="N1286" s="18"/>
      <c r="O1286" s="18"/>
      <c r="P1286" s="18"/>
      <c r="Q1286" s="22"/>
      <c r="R1286" s="21"/>
      <c r="S1286" s="21"/>
      <c r="T1286" s="21"/>
      <c r="AA1286"/>
      <c r="AH1286" t="str">
        <f t="shared" si="192"/>
        <v>k yet</v>
      </c>
    </row>
    <row r="1287" spans="1:39">
      <c r="A1287" s="42" t="s">
        <v>271</v>
      </c>
      <c r="B1287" s="1" t="s">
        <v>20</v>
      </c>
      <c r="C1287" s="40" t="str">
        <f t="shared" si="189"/>
        <v>26-&gt;</v>
      </c>
      <c r="D1287" s="40" t="str">
        <f t="shared" si="190"/>
        <v xml:space="preserve">No pick yet                                                 </v>
      </c>
      <c r="E1287" s="52">
        <f t="shared" si="191"/>
        <v>0</v>
      </c>
      <c r="F1287" s="18"/>
      <c r="M1287" s="18"/>
      <c r="N1287" s="18"/>
      <c r="O1287" s="18"/>
      <c r="P1287" s="18"/>
      <c r="Q1287" s="22"/>
      <c r="R1287" s="21"/>
      <c r="S1287" s="21"/>
      <c r="T1287" s="21"/>
      <c r="AA1287"/>
      <c r="AH1287" t="str">
        <f t="shared" si="192"/>
        <v>k yet</v>
      </c>
    </row>
    <row r="1288" spans="1:39">
      <c r="A1288" s="38"/>
      <c r="B1288" s="40"/>
      <c r="C1288" s="40"/>
      <c r="D1288" s="49"/>
      <c r="E1288" s="41" t="s">
        <v>69</v>
      </c>
      <c r="F1288" s="18"/>
      <c r="K1288" s="22" t="s">
        <v>73</v>
      </c>
      <c r="L1288" s="18" t="s">
        <v>74</v>
      </c>
      <c r="M1288" s="22" t="s">
        <v>78</v>
      </c>
      <c r="N1288" s="22" t="s">
        <v>79</v>
      </c>
      <c r="O1288" s="22" t="s">
        <v>80</v>
      </c>
      <c r="P1288" s="22" t="s">
        <v>81</v>
      </c>
      <c r="Q1288" s="22" t="s">
        <v>82</v>
      </c>
      <c r="R1288" s="22" t="s">
        <v>83</v>
      </c>
      <c r="S1288" s="22" t="s">
        <v>84</v>
      </c>
      <c r="T1288" s="18" t="s">
        <v>85</v>
      </c>
      <c r="U1288" s="18" t="s">
        <v>86</v>
      </c>
      <c r="V1288" s="18" t="s">
        <v>87</v>
      </c>
      <c r="W1288" s="18" t="s">
        <v>88</v>
      </c>
      <c r="X1288" s="18" t="s">
        <v>89</v>
      </c>
      <c r="Y1288" s="18" t="s">
        <v>90</v>
      </c>
      <c r="Z1288" s="18" t="s">
        <v>91</v>
      </c>
      <c r="AA1288" s="18" t="s">
        <v>92</v>
      </c>
      <c r="AB1288" s="18" t="s">
        <v>93</v>
      </c>
      <c r="AC1288" s="18" t="s">
        <v>94</v>
      </c>
      <c r="AD1288" s="18" t="s">
        <v>235</v>
      </c>
      <c r="AE1288" s="18" t="s">
        <v>236</v>
      </c>
      <c r="AF1288" s="18" t="s">
        <v>237</v>
      </c>
      <c r="AG1288" s="18" t="s">
        <v>238</v>
      </c>
      <c r="AH1288" s="18" t="s">
        <v>239</v>
      </c>
      <c r="AI1288" s="18" t="s">
        <v>240</v>
      </c>
      <c r="AJ1288" s="18" t="s">
        <v>241</v>
      </c>
      <c r="AK1288" s="18" t="s">
        <v>242</v>
      </c>
      <c r="AL1288" s="18" t="s">
        <v>243</v>
      </c>
      <c r="AM1288" s="50" t="s">
        <v>244</v>
      </c>
    </row>
    <row r="1289" spans="1:39">
      <c r="A1289" s="40" t="s">
        <v>245</v>
      </c>
      <c r="B1289" s="51" t="str">
        <f>D45</f>
        <v/>
      </c>
      <c r="C1289" s="40" t="str">
        <f t="shared" ref="C1289:C1315" si="193">A1289</f>
        <v>#</v>
      </c>
      <c r="D1289" s="40" t="str">
        <f>"   "&amp;B1289&amp;REPT(" ",$AH$70-LEN(B1289)-3)</f>
        <v xml:space="preserve">                                                            </v>
      </c>
      <c r="E1289" s="38" t="str">
        <f>SUM(E1290:E1315)&amp;" pts[/b]"</f>
        <v>0 pts[/b]</v>
      </c>
      <c r="F1289" s="21">
        <f>SUM(E1290:E1315)</f>
        <v>0</v>
      </c>
      <c r="K1289" s="18">
        <f>COUNTIF(E1290:E1315,"&gt;0")</f>
        <v>0</v>
      </c>
      <c r="L1289" s="21">
        <f>AM1289-K1289</f>
        <v>0</v>
      </c>
      <c r="M1289" s="22">
        <f>MAX(E1290:E1315)</f>
        <v>0</v>
      </c>
      <c r="N1289" s="22">
        <f>LARGE(E1290:E1315,2)</f>
        <v>0</v>
      </c>
      <c r="O1289" s="22">
        <f>LARGE(E1290:E1315,3)</f>
        <v>0</v>
      </c>
      <c r="P1289" s="18">
        <f>LARGE(E1290:E1315,4)</f>
        <v>0</v>
      </c>
      <c r="Q1289" s="22">
        <f>LARGE(E1290:E1315,5)</f>
        <v>0</v>
      </c>
      <c r="R1289" s="22">
        <f>LARGE(E1290:E1315,6)</f>
        <v>0</v>
      </c>
      <c r="S1289" s="22">
        <f>LARGE(E1290:E1315,7)</f>
        <v>0</v>
      </c>
      <c r="T1289" s="18">
        <f>LARGE(E1290:E1315,8)</f>
        <v>0</v>
      </c>
      <c r="U1289" s="18">
        <f>LARGE(E1290:E1315,9)</f>
        <v>0</v>
      </c>
      <c r="V1289" s="18">
        <f>LARGE(E1290:E1315,10)</f>
        <v>0</v>
      </c>
      <c r="W1289" s="18">
        <f>LARGE(E1290:E1315,11)</f>
        <v>0</v>
      </c>
      <c r="X1289" s="18">
        <f>LARGE(E1290:E1315,12)</f>
        <v>0</v>
      </c>
      <c r="Y1289" s="18">
        <f>LARGE(E1290:E1315,13)</f>
        <v>0</v>
      </c>
      <c r="Z1289" s="18">
        <f>LARGE(E1290:E1315,14)</f>
        <v>0</v>
      </c>
      <c r="AA1289" s="18">
        <f>LARGE(E1290:E1315,15)</f>
        <v>0</v>
      </c>
      <c r="AB1289" s="18">
        <f>LARGE(E1290:E1315,16)</f>
        <v>0</v>
      </c>
      <c r="AC1289" s="18">
        <f>LARGE(E1290:E1315,17)</f>
        <v>0</v>
      </c>
      <c r="AD1289" s="18">
        <f>LARGE(E1290:E1316,13)</f>
        <v>0</v>
      </c>
      <c r="AE1289" s="18">
        <f>LARGE(E1290:E1315,19)</f>
        <v>0</v>
      </c>
      <c r="AF1289" s="18">
        <f>LARGE(E1290:E1315,20)</f>
        <v>0</v>
      </c>
      <c r="AG1289" s="18">
        <f>LARGE(E1290:E1315,21)</f>
        <v>0</v>
      </c>
      <c r="AH1289" s="18">
        <f>LARGE(E1290:E1315,22)</f>
        <v>0</v>
      </c>
      <c r="AI1289" s="18">
        <f>LARGE(E1290:E1315,23)</f>
        <v>0</v>
      </c>
      <c r="AJ1289" s="18">
        <f>LARGE(E1290:E1315,24)</f>
        <v>0</v>
      </c>
      <c r="AK1289" s="18">
        <f>LARGE(E1290:E1315,25)</f>
        <v>0</v>
      </c>
      <c r="AL1289" s="18">
        <f>LARGE(E1290:E1315,26)</f>
        <v>0</v>
      </c>
      <c r="AM1289" s="50">
        <f>COUNTIF(AH1290:AH1315,"&lt;&gt;"&amp;AH76)-(26-COUNTIF(E1290:E1315,"&gt;=0"))</f>
        <v>0</v>
      </c>
    </row>
    <row r="1290" spans="1:39">
      <c r="A1290" s="42" t="s">
        <v>246</v>
      </c>
      <c r="B1290" s="1" t="s">
        <v>20</v>
      </c>
      <c r="C1290" s="40" t="str">
        <f t="shared" si="193"/>
        <v>01-&gt;</v>
      </c>
      <c r="D1290" s="40" t="str">
        <f t="shared" ref="D1290:D1315" si="194">B1290&amp;REPT(" ",$AH$70-LEN(B1290))</f>
        <v xml:space="preserve">No pick yet                                                 </v>
      </c>
      <c r="E1290" s="52">
        <f t="shared" ref="E1290:E1315" si="195">VLOOKUP(RIGHT(B1290,LEN(B1290)-$AH$66),$H$138:$I$420,2,0)</f>
        <v>0</v>
      </c>
      <c r="F1290" s="18"/>
      <c r="M1290" s="18"/>
      <c r="N1290" s="18"/>
      <c r="O1290" s="18"/>
      <c r="P1290" s="18"/>
      <c r="Q1290" s="22"/>
      <c r="R1290" s="21"/>
      <c r="S1290" s="21"/>
      <c r="T1290" s="21"/>
      <c r="AA1290"/>
      <c r="AH1290" t="str">
        <f t="shared" ref="AH1290:AH1315" si="196">RIGHT(B1290,LEN(B1290)-$AH$66)</f>
        <v>k yet</v>
      </c>
    </row>
    <row r="1291" spans="1:39">
      <c r="A1291" s="42" t="s">
        <v>247</v>
      </c>
      <c r="B1291" s="1" t="s">
        <v>20</v>
      </c>
      <c r="C1291" s="40" t="str">
        <f t="shared" si="193"/>
        <v>02-&gt;</v>
      </c>
      <c r="D1291" s="40" t="str">
        <f t="shared" si="194"/>
        <v xml:space="preserve">No pick yet                                                 </v>
      </c>
      <c r="E1291" s="52">
        <f t="shared" si="195"/>
        <v>0</v>
      </c>
      <c r="F1291" s="18"/>
      <c r="K1291" s="22"/>
      <c r="N1291" s="22"/>
      <c r="O1291" s="22"/>
      <c r="P1291" s="22"/>
      <c r="Q1291" s="22"/>
      <c r="R1291" s="22"/>
      <c r="S1291" s="22"/>
      <c r="Z1291" s="53"/>
      <c r="AA1291"/>
      <c r="AH1291" t="str">
        <f t="shared" si="196"/>
        <v>k yet</v>
      </c>
    </row>
    <row r="1292" spans="1:39">
      <c r="A1292" s="42" t="s">
        <v>248</v>
      </c>
      <c r="B1292" s="1" t="s">
        <v>20</v>
      </c>
      <c r="C1292" s="40" t="str">
        <f t="shared" si="193"/>
        <v>03-&gt;</v>
      </c>
      <c r="D1292" s="40" t="str">
        <f t="shared" si="194"/>
        <v xml:space="preserve">No pick yet                                                 </v>
      </c>
      <c r="E1292" s="52">
        <f t="shared" si="195"/>
        <v>0</v>
      </c>
      <c r="F1292" s="18"/>
      <c r="L1292" s="21"/>
      <c r="N1292" s="22"/>
      <c r="O1292" s="22"/>
      <c r="P1292" s="18"/>
      <c r="Q1292" s="22"/>
      <c r="R1292" s="22"/>
      <c r="S1292" s="22"/>
      <c r="Z1292" s="53"/>
      <c r="AA1292"/>
      <c r="AH1292" t="str">
        <f t="shared" si="196"/>
        <v>k yet</v>
      </c>
    </row>
    <row r="1293" spans="1:39">
      <c r="A1293" s="42" t="s">
        <v>249</v>
      </c>
      <c r="B1293" s="1" t="s">
        <v>20</v>
      </c>
      <c r="C1293" s="40" t="str">
        <f t="shared" si="193"/>
        <v>04-&gt;</v>
      </c>
      <c r="D1293" s="40" t="str">
        <f t="shared" si="194"/>
        <v xml:space="preserve">No pick yet                                                 </v>
      </c>
      <c r="E1293" s="52">
        <f t="shared" si="195"/>
        <v>0</v>
      </c>
      <c r="F1293" s="18"/>
      <c r="M1293" s="18"/>
      <c r="N1293" s="18"/>
      <c r="O1293" s="18"/>
      <c r="P1293" s="18"/>
      <c r="Q1293" s="22"/>
      <c r="R1293" s="21"/>
      <c r="S1293" s="21"/>
      <c r="T1293" s="21"/>
      <c r="AA1293"/>
      <c r="AH1293" t="str">
        <f t="shared" si="196"/>
        <v>k yet</v>
      </c>
    </row>
    <row r="1294" spans="1:39">
      <c r="A1294" s="42" t="s">
        <v>250</v>
      </c>
      <c r="B1294" s="1" t="s">
        <v>20</v>
      </c>
      <c r="C1294" s="40" t="str">
        <f t="shared" si="193"/>
        <v>05-&gt;</v>
      </c>
      <c r="D1294" s="40" t="str">
        <f t="shared" si="194"/>
        <v xml:space="preserve">No pick yet                                                 </v>
      </c>
      <c r="E1294" s="52">
        <f t="shared" si="195"/>
        <v>0</v>
      </c>
      <c r="F1294" s="18"/>
      <c r="M1294" s="18"/>
      <c r="N1294" s="18"/>
      <c r="O1294" s="18"/>
      <c r="P1294" s="18"/>
      <c r="Q1294" s="22"/>
      <c r="R1294" s="21"/>
      <c r="S1294" s="21"/>
      <c r="T1294" s="21"/>
      <c r="AA1294"/>
      <c r="AH1294" t="str">
        <f t="shared" si="196"/>
        <v>k yet</v>
      </c>
    </row>
    <row r="1295" spans="1:39">
      <c r="A1295" s="42" t="s">
        <v>251</v>
      </c>
      <c r="B1295" s="1" t="s">
        <v>20</v>
      </c>
      <c r="C1295" s="40" t="str">
        <f t="shared" si="193"/>
        <v>06-&gt;</v>
      </c>
      <c r="D1295" s="40" t="str">
        <f t="shared" si="194"/>
        <v xml:space="preserve">No pick yet                                                 </v>
      </c>
      <c r="E1295" s="52">
        <f t="shared" si="195"/>
        <v>0</v>
      </c>
      <c r="F1295" s="18"/>
      <c r="M1295" s="18"/>
      <c r="N1295" s="18"/>
      <c r="O1295" s="18"/>
      <c r="P1295" s="18"/>
      <c r="Q1295" s="22"/>
      <c r="R1295" s="21"/>
      <c r="S1295" s="21"/>
      <c r="T1295" s="21"/>
      <c r="AA1295"/>
      <c r="AH1295" t="str">
        <f t="shared" si="196"/>
        <v>k yet</v>
      </c>
    </row>
    <row r="1296" spans="1:39">
      <c r="A1296" s="42" t="s">
        <v>252</v>
      </c>
      <c r="B1296" s="1" t="s">
        <v>20</v>
      </c>
      <c r="C1296" s="40" t="str">
        <f t="shared" si="193"/>
        <v>07-&gt;</v>
      </c>
      <c r="D1296" s="40" t="str">
        <f t="shared" si="194"/>
        <v xml:space="preserve">No pick yet                                                 </v>
      </c>
      <c r="E1296" s="52">
        <f t="shared" si="195"/>
        <v>0</v>
      </c>
      <c r="F1296" s="18"/>
      <c r="M1296" s="18"/>
      <c r="N1296" s="18"/>
      <c r="O1296" s="18"/>
      <c r="P1296" s="18"/>
      <c r="Q1296" s="22"/>
      <c r="R1296" s="21"/>
      <c r="S1296" s="21"/>
      <c r="T1296" s="21"/>
      <c r="AA1296"/>
      <c r="AH1296" t="str">
        <f t="shared" si="196"/>
        <v>k yet</v>
      </c>
    </row>
    <row r="1297" spans="1:34">
      <c r="A1297" s="42" t="s">
        <v>253</v>
      </c>
      <c r="B1297" s="1" t="s">
        <v>20</v>
      </c>
      <c r="C1297" s="40" t="str">
        <f t="shared" si="193"/>
        <v>08-&gt;</v>
      </c>
      <c r="D1297" s="40" t="str">
        <f t="shared" si="194"/>
        <v xml:space="preserve">No pick yet                                                 </v>
      </c>
      <c r="E1297" s="52">
        <f t="shared" si="195"/>
        <v>0</v>
      </c>
      <c r="F1297" s="18"/>
      <c r="M1297" s="18"/>
      <c r="N1297" s="18"/>
      <c r="O1297" s="18"/>
      <c r="P1297" s="18"/>
      <c r="Q1297" s="22"/>
      <c r="R1297" s="21"/>
      <c r="S1297" s="21"/>
      <c r="T1297" s="21"/>
      <c r="AA1297"/>
      <c r="AH1297" t="str">
        <f t="shared" si="196"/>
        <v>k yet</v>
      </c>
    </row>
    <row r="1298" spans="1:34">
      <c r="A1298" s="42" t="s">
        <v>254</v>
      </c>
      <c r="B1298" s="1" t="s">
        <v>20</v>
      </c>
      <c r="C1298" s="40" t="str">
        <f t="shared" si="193"/>
        <v>09-&gt;</v>
      </c>
      <c r="D1298" s="40" t="str">
        <f t="shared" si="194"/>
        <v xml:space="preserve">No pick yet                                                 </v>
      </c>
      <c r="E1298" s="52">
        <f t="shared" si="195"/>
        <v>0</v>
      </c>
      <c r="F1298" s="18"/>
      <c r="M1298" s="18"/>
      <c r="N1298" s="18"/>
      <c r="O1298" s="18"/>
      <c r="P1298" s="18"/>
      <c r="Q1298" s="22"/>
      <c r="R1298" s="21"/>
      <c r="S1298" s="21"/>
      <c r="T1298" s="21"/>
      <c r="AA1298"/>
      <c r="AH1298" t="str">
        <f t="shared" si="196"/>
        <v>k yet</v>
      </c>
    </row>
    <row r="1299" spans="1:34">
      <c r="A1299" s="42" t="s">
        <v>255</v>
      </c>
      <c r="B1299" s="1" t="s">
        <v>20</v>
      </c>
      <c r="C1299" s="40" t="str">
        <f t="shared" si="193"/>
        <v>10-&gt;</v>
      </c>
      <c r="D1299" s="40" t="str">
        <f t="shared" si="194"/>
        <v xml:space="preserve">No pick yet                                                 </v>
      </c>
      <c r="E1299" s="52">
        <f t="shared" si="195"/>
        <v>0</v>
      </c>
      <c r="F1299" s="22"/>
      <c r="M1299" s="18"/>
      <c r="N1299" s="18"/>
      <c r="O1299" s="18"/>
      <c r="P1299" s="18"/>
      <c r="Q1299" s="22"/>
      <c r="R1299" s="21"/>
      <c r="S1299" s="21"/>
      <c r="T1299" s="21"/>
      <c r="AA1299"/>
      <c r="AH1299" t="str">
        <f t="shared" si="196"/>
        <v>k yet</v>
      </c>
    </row>
    <row r="1300" spans="1:34">
      <c r="A1300" s="42" t="s">
        <v>256</v>
      </c>
      <c r="B1300" s="1" t="s">
        <v>20</v>
      </c>
      <c r="C1300" s="40" t="str">
        <f t="shared" si="193"/>
        <v>11-&gt;</v>
      </c>
      <c r="D1300" s="40" t="str">
        <f t="shared" si="194"/>
        <v xml:space="preserve">No pick yet                                                 </v>
      </c>
      <c r="E1300" s="52">
        <f t="shared" si="195"/>
        <v>0</v>
      </c>
      <c r="M1300" s="18"/>
      <c r="N1300" s="18"/>
      <c r="O1300" s="18"/>
      <c r="P1300" s="18"/>
      <c r="Q1300" s="22"/>
      <c r="R1300" s="21"/>
      <c r="S1300" s="21"/>
      <c r="T1300" s="21"/>
      <c r="AA1300"/>
      <c r="AH1300" t="str">
        <f t="shared" si="196"/>
        <v>k yet</v>
      </c>
    </row>
    <row r="1301" spans="1:34">
      <c r="A1301" s="42" t="s">
        <v>257</v>
      </c>
      <c r="B1301" s="1" t="s">
        <v>20</v>
      </c>
      <c r="C1301" s="40" t="str">
        <f t="shared" si="193"/>
        <v>12-&gt;</v>
      </c>
      <c r="D1301" s="40" t="str">
        <f t="shared" si="194"/>
        <v xml:space="preserve">No pick yet                                                 </v>
      </c>
      <c r="E1301" s="52">
        <f t="shared" si="195"/>
        <v>0</v>
      </c>
      <c r="M1301" s="18"/>
      <c r="N1301" s="18"/>
      <c r="O1301" s="18"/>
      <c r="P1301" s="18"/>
      <c r="Q1301" s="22"/>
      <c r="R1301" s="21"/>
      <c r="S1301" s="21"/>
      <c r="T1301" s="21"/>
      <c r="AA1301"/>
      <c r="AH1301" t="str">
        <f t="shared" si="196"/>
        <v>k yet</v>
      </c>
    </row>
    <row r="1302" spans="1:34">
      <c r="A1302" s="42" t="s">
        <v>258</v>
      </c>
      <c r="B1302" s="1" t="s">
        <v>20</v>
      </c>
      <c r="C1302" s="40" t="str">
        <f t="shared" si="193"/>
        <v>13-&gt;</v>
      </c>
      <c r="D1302" s="40" t="str">
        <f t="shared" si="194"/>
        <v xml:space="preserve">No pick yet                                                 </v>
      </c>
      <c r="E1302" s="52">
        <f t="shared" si="195"/>
        <v>0</v>
      </c>
      <c r="M1302" s="18"/>
      <c r="N1302" s="18"/>
      <c r="O1302" s="18"/>
      <c r="P1302" s="18"/>
      <c r="Q1302" s="22"/>
      <c r="R1302" s="21"/>
      <c r="S1302" s="21"/>
      <c r="T1302" s="21"/>
      <c r="AA1302"/>
      <c r="AH1302" t="str">
        <f t="shared" si="196"/>
        <v>k yet</v>
      </c>
    </row>
    <row r="1303" spans="1:34">
      <c r="A1303" s="42" t="s">
        <v>259</v>
      </c>
      <c r="B1303" s="1" t="s">
        <v>20</v>
      </c>
      <c r="C1303" s="40" t="str">
        <f t="shared" si="193"/>
        <v>14-&gt;</v>
      </c>
      <c r="D1303" s="40" t="str">
        <f t="shared" si="194"/>
        <v xml:space="preserve">No pick yet                                                 </v>
      </c>
      <c r="E1303" s="52">
        <f t="shared" si="195"/>
        <v>0</v>
      </c>
      <c r="M1303" s="18"/>
      <c r="N1303" s="18"/>
      <c r="O1303" s="18"/>
      <c r="P1303" s="18"/>
      <c r="Q1303" s="22"/>
      <c r="R1303" s="21"/>
      <c r="S1303" s="21"/>
      <c r="T1303" s="21"/>
      <c r="AA1303"/>
      <c r="AH1303" t="str">
        <f t="shared" si="196"/>
        <v>k yet</v>
      </c>
    </row>
    <row r="1304" spans="1:34">
      <c r="A1304" s="42" t="s">
        <v>260</v>
      </c>
      <c r="B1304" s="1" t="s">
        <v>20</v>
      </c>
      <c r="C1304" s="40" t="str">
        <f t="shared" si="193"/>
        <v>15-&gt;</v>
      </c>
      <c r="D1304" s="40" t="str">
        <f t="shared" si="194"/>
        <v xml:space="preserve">No pick yet                                                 </v>
      </c>
      <c r="E1304" s="52">
        <f t="shared" si="195"/>
        <v>0</v>
      </c>
      <c r="M1304" s="18"/>
      <c r="N1304" s="18"/>
      <c r="O1304" s="18"/>
      <c r="P1304" s="18"/>
      <c r="Q1304" s="22"/>
      <c r="R1304" s="21"/>
      <c r="S1304" s="21"/>
      <c r="T1304" s="21"/>
      <c r="AA1304"/>
      <c r="AH1304" t="str">
        <f t="shared" si="196"/>
        <v>k yet</v>
      </c>
    </row>
    <row r="1305" spans="1:34">
      <c r="A1305" s="42" t="s">
        <v>261</v>
      </c>
      <c r="B1305" s="1" t="s">
        <v>20</v>
      </c>
      <c r="C1305" s="40" t="str">
        <f t="shared" si="193"/>
        <v>16-&gt;</v>
      </c>
      <c r="D1305" s="40" t="str">
        <f t="shared" si="194"/>
        <v xml:space="preserve">No pick yet                                                 </v>
      </c>
      <c r="E1305" s="52">
        <f t="shared" si="195"/>
        <v>0</v>
      </c>
      <c r="M1305" s="18"/>
      <c r="N1305" s="18"/>
      <c r="O1305" s="18"/>
      <c r="P1305" s="18"/>
      <c r="Q1305" s="22"/>
      <c r="R1305" s="21"/>
      <c r="S1305" s="21"/>
      <c r="T1305" s="21"/>
      <c r="AA1305"/>
      <c r="AH1305" t="str">
        <f t="shared" si="196"/>
        <v>k yet</v>
      </c>
    </row>
    <row r="1306" spans="1:34">
      <c r="A1306" s="42" t="s">
        <v>262</v>
      </c>
      <c r="B1306" s="1" t="s">
        <v>20</v>
      </c>
      <c r="C1306" s="40" t="str">
        <f t="shared" si="193"/>
        <v>17-&gt;</v>
      </c>
      <c r="D1306" s="40" t="str">
        <f t="shared" si="194"/>
        <v xml:space="preserve">No pick yet                                                 </v>
      </c>
      <c r="E1306" s="52">
        <f t="shared" si="195"/>
        <v>0</v>
      </c>
      <c r="K1306" s="22"/>
      <c r="N1306" s="22"/>
      <c r="O1306" s="22"/>
      <c r="P1306" s="22"/>
      <c r="Q1306" s="22"/>
      <c r="R1306" s="22"/>
      <c r="S1306" s="22"/>
      <c r="Z1306" s="53"/>
      <c r="AA1306"/>
      <c r="AH1306" t="str">
        <f t="shared" si="196"/>
        <v>k yet</v>
      </c>
    </row>
    <row r="1307" spans="1:34">
      <c r="A1307" s="42" t="s">
        <v>263</v>
      </c>
      <c r="B1307" s="1" t="s">
        <v>20</v>
      </c>
      <c r="C1307" s="40" t="str">
        <f t="shared" si="193"/>
        <v>18-&gt;</v>
      </c>
      <c r="D1307" s="40" t="str">
        <f t="shared" si="194"/>
        <v xml:space="preserve">No pick yet                                                 </v>
      </c>
      <c r="E1307" s="52">
        <f t="shared" si="195"/>
        <v>0</v>
      </c>
      <c r="F1307" s="18"/>
      <c r="L1307" s="21"/>
      <c r="N1307" s="22"/>
      <c r="O1307" s="22"/>
      <c r="P1307" s="18"/>
      <c r="Q1307" s="22"/>
      <c r="R1307" s="22"/>
      <c r="S1307" s="22"/>
      <c r="Z1307" s="53"/>
      <c r="AA1307"/>
      <c r="AH1307" t="str">
        <f t="shared" si="196"/>
        <v>k yet</v>
      </c>
    </row>
    <row r="1308" spans="1:34">
      <c r="A1308" s="42" t="s">
        <v>264</v>
      </c>
      <c r="B1308" s="1" t="s">
        <v>20</v>
      </c>
      <c r="C1308" s="40" t="str">
        <f t="shared" si="193"/>
        <v>19-&gt;</v>
      </c>
      <c r="D1308" s="40" t="str">
        <f t="shared" si="194"/>
        <v xml:space="preserve">No pick yet                                                 </v>
      </c>
      <c r="E1308" s="52">
        <f t="shared" si="195"/>
        <v>0</v>
      </c>
      <c r="F1308" s="18"/>
      <c r="M1308" s="18"/>
      <c r="N1308" s="18"/>
      <c r="O1308" s="18"/>
      <c r="P1308" s="18"/>
      <c r="Q1308" s="22"/>
      <c r="R1308" s="21"/>
      <c r="S1308" s="21"/>
      <c r="T1308" s="21"/>
      <c r="AA1308"/>
      <c r="AH1308" t="str">
        <f t="shared" si="196"/>
        <v>k yet</v>
      </c>
    </row>
    <row r="1309" spans="1:34">
      <c r="A1309" s="42" t="s">
        <v>265</v>
      </c>
      <c r="B1309" s="1" t="s">
        <v>20</v>
      </c>
      <c r="C1309" s="40" t="str">
        <f t="shared" si="193"/>
        <v>20-&gt;</v>
      </c>
      <c r="D1309" s="40" t="str">
        <f t="shared" si="194"/>
        <v xml:space="preserve">No pick yet                                                 </v>
      </c>
      <c r="E1309" s="52">
        <f t="shared" si="195"/>
        <v>0</v>
      </c>
      <c r="F1309" s="18"/>
      <c r="M1309" s="18"/>
      <c r="N1309" s="18"/>
      <c r="O1309" s="18"/>
      <c r="P1309" s="18"/>
      <c r="Q1309" s="22"/>
      <c r="R1309" s="21"/>
      <c r="S1309" s="21"/>
      <c r="T1309" s="21"/>
      <c r="AA1309"/>
      <c r="AH1309" t="str">
        <f t="shared" si="196"/>
        <v>k yet</v>
      </c>
    </row>
    <row r="1310" spans="1:34">
      <c r="A1310" s="42" t="s">
        <v>266</v>
      </c>
      <c r="B1310" s="1" t="s">
        <v>20</v>
      </c>
      <c r="C1310" s="40" t="str">
        <f t="shared" si="193"/>
        <v>21-&gt;</v>
      </c>
      <c r="D1310" s="40" t="str">
        <f t="shared" si="194"/>
        <v xml:space="preserve">No pick yet                                                 </v>
      </c>
      <c r="E1310" s="52">
        <f t="shared" si="195"/>
        <v>0</v>
      </c>
      <c r="F1310" s="18"/>
      <c r="M1310" s="18"/>
      <c r="N1310" s="18"/>
      <c r="O1310" s="18"/>
      <c r="P1310" s="18"/>
      <c r="Q1310" s="22"/>
      <c r="R1310" s="21"/>
      <c r="S1310" s="21"/>
      <c r="T1310" s="21"/>
      <c r="AA1310"/>
      <c r="AH1310" t="str">
        <f t="shared" si="196"/>
        <v>k yet</v>
      </c>
    </row>
    <row r="1311" spans="1:34">
      <c r="A1311" s="42" t="s">
        <v>267</v>
      </c>
      <c r="B1311" s="1" t="s">
        <v>20</v>
      </c>
      <c r="C1311" s="40" t="str">
        <f t="shared" si="193"/>
        <v>22-&gt;</v>
      </c>
      <c r="D1311" s="40" t="str">
        <f t="shared" si="194"/>
        <v xml:space="preserve">No pick yet                                                 </v>
      </c>
      <c r="E1311" s="52">
        <f t="shared" si="195"/>
        <v>0</v>
      </c>
      <c r="F1311" s="18"/>
      <c r="M1311" s="18"/>
      <c r="N1311" s="18"/>
      <c r="O1311" s="18"/>
      <c r="P1311" s="18"/>
      <c r="Q1311" s="22"/>
      <c r="R1311" s="21"/>
      <c r="S1311" s="21"/>
      <c r="T1311" s="21"/>
      <c r="AA1311"/>
      <c r="AH1311" t="str">
        <f t="shared" si="196"/>
        <v>k yet</v>
      </c>
    </row>
    <row r="1312" spans="1:34">
      <c r="A1312" s="42" t="s">
        <v>268</v>
      </c>
      <c r="B1312" s="1" t="s">
        <v>20</v>
      </c>
      <c r="C1312" s="40" t="str">
        <f t="shared" si="193"/>
        <v>23-&gt;</v>
      </c>
      <c r="D1312" s="40" t="str">
        <f t="shared" si="194"/>
        <v xml:space="preserve">No pick yet                                                 </v>
      </c>
      <c r="E1312" s="52">
        <f t="shared" si="195"/>
        <v>0</v>
      </c>
      <c r="F1312" s="18"/>
      <c r="M1312" s="18"/>
      <c r="N1312" s="18"/>
      <c r="O1312" s="18"/>
      <c r="P1312" s="18"/>
      <c r="Q1312" s="22"/>
      <c r="R1312" s="21"/>
      <c r="S1312" s="21"/>
      <c r="T1312" s="21"/>
      <c r="AA1312"/>
      <c r="AH1312" t="str">
        <f t="shared" si="196"/>
        <v>k yet</v>
      </c>
    </row>
    <row r="1313" spans="1:39">
      <c r="A1313" s="42" t="s">
        <v>269</v>
      </c>
      <c r="B1313" s="1" t="s">
        <v>20</v>
      </c>
      <c r="C1313" s="40" t="str">
        <f t="shared" si="193"/>
        <v>24-&gt;</v>
      </c>
      <c r="D1313" s="40" t="str">
        <f t="shared" si="194"/>
        <v xml:space="preserve">No pick yet                                                 </v>
      </c>
      <c r="E1313" s="52">
        <f t="shared" si="195"/>
        <v>0</v>
      </c>
      <c r="F1313" s="18"/>
      <c r="M1313" s="18"/>
      <c r="N1313" s="18"/>
      <c r="O1313" s="18"/>
      <c r="P1313" s="18"/>
      <c r="Q1313" s="22"/>
      <c r="R1313" s="21"/>
      <c r="S1313" s="21"/>
      <c r="T1313" s="21"/>
      <c r="AA1313"/>
      <c r="AH1313" t="str">
        <f t="shared" si="196"/>
        <v>k yet</v>
      </c>
    </row>
    <row r="1314" spans="1:39">
      <c r="A1314" s="42" t="s">
        <v>270</v>
      </c>
      <c r="B1314" s="1" t="s">
        <v>20</v>
      </c>
      <c r="C1314" s="40" t="str">
        <f t="shared" si="193"/>
        <v>25-&gt;</v>
      </c>
      <c r="D1314" s="40" t="str">
        <f t="shared" si="194"/>
        <v xml:space="preserve">No pick yet                                                 </v>
      </c>
      <c r="E1314" s="52">
        <f t="shared" si="195"/>
        <v>0</v>
      </c>
      <c r="F1314" s="18"/>
      <c r="M1314" s="18"/>
      <c r="N1314" s="18"/>
      <c r="O1314" s="18"/>
      <c r="P1314" s="18"/>
      <c r="Q1314" s="22"/>
      <c r="R1314" s="21"/>
      <c r="S1314" s="21"/>
      <c r="T1314" s="21"/>
      <c r="AA1314"/>
      <c r="AH1314" t="str">
        <f t="shared" si="196"/>
        <v>k yet</v>
      </c>
    </row>
    <row r="1315" spans="1:39">
      <c r="A1315" s="42" t="s">
        <v>271</v>
      </c>
      <c r="B1315" s="1" t="s">
        <v>20</v>
      </c>
      <c r="C1315" s="40" t="str">
        <f t="shared" si="193"/>
        <v>26-&gt;</v>
      </c>
      <c r="D1315" s="40" t="str">
        <f t="shared" si="194"/>
        <v xml:space="preserve">No pick yet                                                 </v>
      </c>
      <c r="E1315" s="52">
        <f t="shared" si="195"/>
        <v>0</v>
      </c>
      <c r="F1315" s="18"/>
      <c r="M1315" s="18"/>
      <c r="N1315" s="18"/>
      <c r="O1315" s="18"/>
      <c r="P1315" s="18"/>
      <c r="Q1315" s="22"/>
      <c r="R1315" s="21"/>
      <c r="S1315" s="21"/>
      <c r="T1315" s="21"/>
      <c r="AA1315"/>
      <c r="AH1315" t="str">
        <f t="shared" si="196"/>
        <v>k yet</v>
      </c>
    </row>
    <row r="1316" spans="1:39">
      <c r="A1316" s="38"/>
      <c r="B1316" s="40"/>
      <c r="C1316" s="40"/>
      <c r="D1316" s="49"/>
      <c r="E1316" s="41" t="s">
        <v>69</v>
      </c>
      <c r="F1316" s="18"/>
      <c r="K1316" s="22" t="s">
        <v>73</v>
      </c>
      <c r="L1316" s="18" t="s">
        <v>74</v>
      </c>
      <c r="M1316" s="22" t="s">
        <v>78</v>
      </c>
      <c r="N1316" s="22" t="s">
        <v>79</v>
      </c>
      <c r="O1316" s="22" t="s">
        <v>80</v>
      </c>
      <c r="P1316" s="22" t="s">
        <v>81</v>
      </c>
      <c r="Q1316" s="22" t="s">
        <v>82</v>
      </c>
      <c r="R1316" s="22" t="s">
        <v>83</v>
      </c>
      <c r="S1316" s="22" t="s">
        <v>84</v>
      </c>
      <c r="T1316" s="18" t="s">
        <v>85</v>
      </c>
      <c r="U1316" s="18" t="s">
        <v>86</v>
      </c>
      <c r="V1316" s="18" t="s">
        <v>87</v>
      </c>
      <c r="W1316" s="18" t="s">
        <v>88</v>
      </c>
      <c r="X1316" s="18" t="s">
        <v>89</v>
      </c>
      <c r="Y1316" s="18" t="s">
        <v>90</v>
      </c>
      <c r="Z1316" s="18" t="s">
        <v>91</v>
      </c>
      <c r="AA1316" s="18" t="s">
        <v>92</v>
      </c>
      <c r="AB1316" s="18" t="s">
        <v>93</v>
      </c>
      <c r="AC1316" s="18" t="s">
        <v>94</v>
      </c>
      <c r="AD1316" s="18" t="s">
        <v>235</v>
      </c>
      <c r="AE1316" s="18" t="s">
        <v>236</v>
      </c>
      <c r="AF1316" s="18" t="s">
        <v>237</v>
      </c>
      <c r="AG1316" s="18" t="s">
        <v>238</v>
      </c>
      <c r="AH1316" s="18" t="s">
        <v>239</v>
      </c>
      <c r="AI1316" s="18" t="s">
        <v>240</v>
      </c>
      <c r="AJ1316" s="18" t="s">
        <v>241</v>
      </c>
      <c r="AK1316" s="18" t="s">
        <v>242</v>
      </c>
      <c r="AL1316" s="18" t="s">
        <v>243</v>
      </c>
      <c r="AM1316" s="50" t="s">
        <v>244</v>
      </c>
    </row>
    <row r="1317" spans="1:39">
      <c r="A1317" s="40" t="s">
        <v>245</v>
      </c>
      <c r="B1317" s="51" t="str">
        <f>D46</f>
        <v/>
      </c>
      <c r="C1317" s="40" t="str">
        <f t="shared" ref="C1317:C1343" si="197">A1317</f>
        <v>#</v>
      </c>
      <c r="D1317" s="40" t="str">
        <f>"   "&amp;B1317&amp;REPT(" ",$AH$70-LEN(B1317)-3)</f>
        <v xml:space="preserve">                                                            </v>
      </c>
      <c r="E1317" s="38" t="str">
        <f>SUM(E1318:E1343)&amp;" pts[/b]"</f>
        <v>0 pts[/b]</v>
      </c>
      <c r="F1317" s="21">
        <f>SUM(E1318:E1343)</f>
        <v>0</v>
      </c>
      <c r="K1317" s="18">
        <f>COUNTIF(E1318:E1343,"&gt;0")</f>
        <v>0</v>
      </c>
      <c r="L1317" s="21">
        <f>AM1317-K1317</f>
        <v>0</v>
      </c>
      <c r="M1317" s="22">
        <f>MAX(E1318:E1343)</f>
        <v>0</v>
      </c>
      <c r="N1317" s="22">
        <f>LARGE(E1318:E1343,2)</f>
        <v>0</v>
      </c>
      <c r="O1317" s="22">
        <f>LARGE(E1318:E1343,3)</f>
        <v>0</v>
      </c>
      <c r="P1317" s="18">
        <f>LARGE(E1318:E1343,4)</f>
        <v>0</v>
      </c>
      <c r="Q1317" s="22">
        <f>LARGE(E1318:E1343,5)</f>
        <v>0</v>
      </c>
      <c r="R1317" s="22">
        <f>LARGE(E1318:E1343,6)</f>
        <v>0</v>
      </c>
      <c r="S1317" s="22">
        <f>LARGE(E1318:E1343,7)</f>
        <v>0</v>
      </c>
      <c r="T1317" s="18">
        <f>LARGE(E1318:E1343,8)</f>
        <v>0</v>
      </c>
      <c r="U1317" s="18">
        <f>LARGE(E1318:E1343,9)</f>
        <v>0</v>
      </c>
      <c r="V1317" s="18">
        <f>LARGE(E1318:E1343,10)</f>
        <v>0</v>
      </c>
      <c r="W1317" s="18">
        <f>LARGE(E1318:E1343,11)</f>
        <v>0</v>
      </c>
      <c r="X1317" s="18">
        <f>LARGE(E1318:E1343,12)</f>
        <v>0</v>
      </c>
      <c r="Y1317" s="18">
        <f>LARGE(E1318:E1343,13)</f>
        <v>0</v>
      </c>
      <c r="Z1317" s="18">
        <f>LARGE(E1318:E1343,14)</f>
        <v>0</v>
      </c>
      <c r="AA1317" s="18">
        <f>LARGE(E1318:E1343,15)</f>
        <v>0</v>
      </c>
      <c r="AB1317" s="18">
        <f>LARGE(E1318:E1343,16)</f>
        <v>0</v>
      </c>
      <c r="AC1317" s="18">
        <f>LARGE(E1318:E1343,17)</f>
        <v>0</v>
      </c>
      <c r="AD1317" s="18">
        <f>LARGE(E1318:E1344,13)</f>
        <v>0</v>
      </c>
      <c r="AE1317" s="18">
        <f>LARGE(E1318:E1343,19)</f>
        <v>0</v>
      </c>
      <c r="AF1317" s="18">
        <f>LARGE(E1318:E1343,20)</f>
        <v>0</v>
      </c>
      <c r="AG1317" s="18">
        <f>LARGE(E1318:E1343,21)</f>
        <v>0</v>
      </c>
      <c r="AH1317" s="18">
        <f>LARGE(E1318:E1343,22)</f>
        <v>0</v>
      </c>
      <c r="AI1317" s="18">
        <f>LARGE(E1318:E1343,23)</f>
        <v>0</v>
      </c>
      <c r="AJ1317" s="18">
        <f>LARGE(E1318:E1343,24)</f>
        <v>0</v>
      </c>
      <c r="AK1317" s="18">
        <f>LARGE(E1318:E1343,25)</f>
        <v>0</v>
      </c>
      <c r="AL1317" s="18">
        <f>LARGE(E1318:E1343,26)</f>
        <v>0</v>
      </c>
      <c r="AM1317" s="50">
        <f>COUNTIF(AH1318:AH1343,"&lt;&gt;"&amp;AH76)-(26-COUNTIF(E1318:E1343,"&gt;=0"))</f>
        <v>0</v>
      </c>
    </row>
    <row r="1318" spans="1:39">
      <c r="A1318" s="42" t="s">
        <v>246</v>
      </c>
      <c r="B1318" s="1" t="s">
        <v>20</v>
      </c>
      <c r="C1318" s="40" t="str">
        <f t="shared" si="197"/>
        <v>01-&gt;</v>
      </c>
      <c r="D1318" s="40" t="str">
        <f t="shared" ref="D1318:D1343" si="198">B1318&amp;REPT(" ",$AH$70-LEN(B1318))</f>
        <v xml:space="preserve">No pick yet                                                 </v>
      </c>
      <c r="E1318" s="52">
        <f t="shared" ref="E1318:E1343" si="199">VLOOKUP(RIGHT(B1318,LEN(B1318)-$AH$66),$H$138:$I$420,2,0)</f>
        <v>0</v>
      </c>
      <c r="F1318" s="18"/>
      <c r="M1318" s="18"/>
      <c r="N1318" s="18"/>
      <c r="O1318" s="18"/>
      <c r="P1318" s="18"/>
      <c r="Q1318" s="22"/>
      <c r="R1318" s="21"/>
      <c r="S1318" s="21"/>
      <c r="T1318" s="21"/>
      <c r="AA1318"/>
      <c r="AH1318" t="str">
        <f t="shared" ref="AH1318:AH1343" si="200">RIGHT(B1318,LEN(B1318)-$AH$66)</f>
        <v>k yet</v>
      </c>
    </row>
    <row r="1319" spans="1:39">
      <c r="A1319" s="42" t="s">
        <v>247</v>
      </c>
      <c r="B1319" s="1" t="s">
        <v>20</v>
      </c>
      <c r="C1319" s="40" t="str">
        <f t="shared" si="197"/>
        <v>02-&gt;</v>
      </c>
      <c r="D1319" s="40" t="str">
        <f t="shared" si="198"/>
        <v xml:space="preserve">No pick yet                                                 </v>
      </c>
      <c r="E1319" s="52">
        <f t="shared" si="199"/>
        <v>0</v>
      </c>
      <c r="F1319" s="18"/>
      <c r="K1319" s="22"/>
      <c r="N1319" s="22"/>
      <c r="O1319" s="22"/>
      <c r="P1319" s="22"/>
      <c r="Q1319" s="22"/>
      <c r="R1319" s="22"/>
      <c r="S1319" s="22"/>
      <c r="Z1319" s="53"/>
      <c r="AA1319"/>
      <c r="AH1319" t="str">
        <f t="shared" si="200"/>
        <v>k yet</v>
      </c>
    </row>
    <row r="1320" spans="1:39">
      <c r="A1320" s="42" t="s">
        <v>248</v>
      </c>
      <c r="B1320" s="1" t="s">
        <v>20</v>
      </c>
      <c r="C1320" s="40" t="str">
        <f t="shared" si="197"/>
        <v>03-&gt;</v>
      </c>
      <c r="D1320" s="40" t="str">
        <f t="shared" si="198"/>
        <v xml:space="preserve">No pick yet                                                 </v>
      </c>
      <c r="E1320" s="52">
        <f t="shared" si="199"/>
        <v>0</v>
      </c>
      <c r="F1320" s="18"/>
      <c r="L1320" s="21"/>
      <c r="N1320" s="22"/>
      <c r="O1320" s="22"/>
      <c r="P1320" s="18"/>
      <c r="Q1320" s="22"/>
      <c r="R1320" s="22"/>
      <c r="S1320" s="22"/>
      <c r="Z1320" s="53"/>
      <c r="AA1320"/>
      <c r="AH1320" t="str">
        <f t="shared" si="200"/>
        <v>k yet</v>
      </c>
    </row>
    <row r="1321" spans="1:39">
      <c r="A1321" s="42" t="s">
        <v>249</v>
      </c>
      <c r="B1321" s="1" t="s">
        <v>20</v>
      </c>
      <c r="C1321" s="40" t="str">
        <f t="shared" si="197"/>
        <v>04-&gt;</v>
      </c>
      <c r="D1321" s="40" t="str">
        <f t="shared" si="198"/>
        <v xml:space="preserve">No pick yet                                                 </v>
      </c>
      <c r="E1321" s="52">
        <f t="shared" si="199"/>
        <v>0</v>
      </c>
      <c r="F1321" s="18"/>
      <c r="M1321" s="18"/>
      <c r="N1321" s="18"/>
      <c r="O1321" s="18"/>
      <c r="P1321" s="18"/>
      <c r="Q1321" s="22"/>
      <c r="R1321" s="21"/>
      <c r="S1321" s="21"/>
      <c r="T1321" s="21"/>
      <c r="AA1321"/>
      <c r="AH1321" t="str">
        <f t="shared" si="200"/>
        <v>k yet</v>
      </c>
    </row>
    <row r="1322" spans="1:39">
      <c r="A1322" s="42" t="s">
        <v>250</v>
      </c>
      <c r="B1322" s="1" t="s">
        <v>20</v>
      </c>
      <c r="C1322" s="40" t="str">
        <f t="shared" si="197"/>
        <v>05-&gt;</v>
      </c>
      <c r="D1322" s="40" t="str">
        <f t="shared" si="198"/>
        <v xml:space="preserve">No pick yet                                                 </v>
      </c>
      <c r="E1322" s="52">
        <f t="shared" si="199"/>
        <v>0</v>
      </c>
      <c r="F1322" s="18"/>
      <c r="M1322" s="18"/>
      <c r="N1322" s="18"/>
      <c r="O1322" s="18"/>
      <c r="P1322" s="18"/>
      <c r="Q1322" s="22"/>
      <c r="R1322" s="21"/>
      <c r="S1322" s="21"/>
      <c r="T1322" s="21"/>
      <c r="AA1322"/>
      <c r="AH1322" t="str">
        <f t="shared" si="200"/>
        <v>k yet</v>
      </c>
    </row>
    <row r="1323" spans="1:39">
      <c r="A1323" s="42" t="s">
        <v>251</v>
      </c>
      <c r="B1323" s="1" t="s">
        <v>20</v>
      </c>
      <c r="C1323" s="40" t="str">
        <f t="shared" si="197"/>
        <v>06-&gt;</v>
      </c>
      <c r="D1323" s="40" t="str">
        <f t="shared" si="198"/>
        <v xml:space="preserve">No pick yet                                                 </v>
      </c>
      <c r="E1323" s="52">
        <f t="shared" si="199"/>
        <v>0</v>
      </c>
      <c r="F1323" s="18"/>
      <c r="M1323" s="18"/>
      <c r="N1323" s="18"/>
      <c r="O1323" s="18"/>
      <c r="P1323" s="18"/>
      <c r="Q1323" s="22"/>
      <c r="R1323" s="21"/>
      <c r="S1323" s="21"/>
      <c r="T1323" s="21"/>
      <c r="AA1323"/>
      <c r="AH1323" t="str">
        <f t="shared" si="200"/>
        <v>k yet</v>
      </c>
    </row>
    <row r="1324" spans="1:39">
      <c r="A1324" s="42" t="s">
        <v>252</v>
      </c>
      <c r="B1324" s="1" t="s">
        <v>20</v>
      </c>
      <c r="C1324" s="40" t="str">
        <f t="shared" si="197"/>
        <v>07-&gt;</v>
      </c>
      <c r="D1324" s="40" t="str">
        <f t="shared" si="198"/>
        <v xml:space="preserve">No pick yet                                                 </v>
      </c>
      <c r="E1324" s="52">
        <f t="shared" si="199"/>
        <v>0</v>
      </c>
      <c r="F1324" s="18"/>
      <c r="M1324" s="18"/>
      <c r="N1324" s="18"/>
      <c r="O1324" s="18"/>
      <c r="P1324" s="18"/>
      <c r="Q1324" s="22"/>
      <c r="R1324" s="21"/>
      <c r="S1324" s="21"/>
      <c r="T1324" s="21"/>
      <c r="AA1324"/>
      <c r="AH1324" t="str">
        <f t="shared" si="200"/>
        <v>k yet</v>
      </c>
    </row>
    <row r="1325" spans="1:39">
      <c r="A1325" s="42" t="s">
        <v>253</v>
      </c>
      <c r="B1325" s="1" t="s">
        <v>20</v>
      </c>
      <c r="C1325" s="40" t="str">
        <f t="shared" si="197"/>
        <v>08-&gt;</v>
      </c>
      <c r="D1325" s="40" t="str">
        <f t="shared" si="198"/>
        <v xml:space="preserve">No pick yet                                                 </v>
      </c>
      <c r="E1325" s="52">
        <f t="shared" si="199"/>
        <v>0</v>
      </c>
      <c r="F1325" s="18"/>
      <c r="M1325" s="18"/>
      <c r="N1325" s="18"/>
      <c r="O1325" s="18"/>
      <c r="P1325" s="18"/>
      <c r="Q1325" s="22"/>
      <c r="R1325" s="21"/>
      <c r="S1325" s="21"/>
      <c r="T1325" s="21"/>
      <c r="AA1325"/>
      <c r="AH1325" t="str">
        <f t="shared" si="200"/>
        <v>k yet</v>
      </c>
    </row>
    <row r="1326" spans="1:39">
      <c r="A1326" s="42" t="s">
        <v>254</v>
      </c>
      <c r="B1326" s="1" t="s">
        <v>20</v>
      </c>
      <c r="C1326" s="40" t="str">
        <f t="shared" si="197"/>
        <v>09-&gt;</v>
      </c>
      <c r="D1326" s="40" t="str">
        <f t="shared" si="198"/>
        <v xml:space="preserve">No pick yet                                                 </v>
      </c>
      <c r="E1326" s="52">
        <f t="shared" si="199"/>
        <v>0</v>
      </c>
      <c r="F1326" s="18"/>
      <c r="M1326" s="18"/>
      <c r="N1326" s="18"/>
      <c r="O1326" s="18"/>
      <c r="P1326" s="18"/>
      <c r="Q1326" s="22"/>
      <c r="R1326" s="21"/>
      <c r="S1326" s="21"/>
      <c r="T1326" s="21"/>
      <c r="AA1326"/>
      <c r="AH1326" t="str">
        <f t="shared" si="200"/>
        <v>k yet</v>
      </c>
    </row>
    <row r="1327" spans="1:39">
      <c r="A1327" s="42" t="s">
        <v>255</v>
      </c>
      <c r="B1327" s="1" t="s">
        <v>20</v>
      </c>
      <c r="C1327" s="40" t="str">
        <f t="shared" si="197"/>
        <v>10-&gt;</v>
      </c>
      <c r="D1327" s="40" t="str">
        <f t="shared" si="198"/>
        <v xml:space="preserve">No pick yet                                                 </v>
      </c>
      <c r="E1327" s="52">
        <f t="shared" si="199"/>
        <v>0</v>
      </c>
      <c r="F1327" s="22"/>
      <c r="M1327" s="18"/>
      <c r="N1327" s="18"/>
      <c r="O1327" s="18"/>
      <c r="P1327" s="18"/>
      <c r="Q1327" s="22"/>
      <c r="R1327" s="21"/>
      <c r="S1327" s="21"/>
      <c r="T1327" s="21"/>
      <c r="AA1327"/>
      <c r="AH1327" t="str">
        <f t="shared" si="200"/>
        <v>k yet</v>
      </c>
    </row>
    <row r="1328" spans="1:39">
      <c r="A1328" s="42" t="s">
        <v>256</v>
      </c>
      <c r="B1328" s="1" t="s">
        <v>20</v>
      </c>
      <c r="C1328" s="40" t="str">
        <f t="shared" si="197"/>
        <v>11-&gt;</v>
      </c>
      <c r="D1328" s="40" t="str">
        <f t="shared" si="198"/>
        <v xml:space="preserve">No pick yet                                                 </v>
      </c>
      <c r="E1328" s="52">
        <f t="shared" si="199"/>
        <v>0</v>
      </c>
      <c r="M1328" s="18"/>
      <c r="N1328" s="18"/>
      <c r="O1328" s="18"/>
      <c r="P1328" s="18"/>
      <c r="Q1328" s="22"/>
      <c r="R1328" s="21"/>
      <c r="S1328" s="21"/>
      <c r="T1328" s="21"/>
      <c r="AA1328"/>
      <c r="AH1328" t="str">
        <f t="shared" si="200"/>
        <v>k yet</v>
      </c>
    </row>
    <row r="1329" spans="1:39">
      <c r="A1329" s="42" t="s">
        <v>257</v>
      </c>
      <c r="B1329" s="1" t="s">
        <v>20</v>
      </c>
      <c r="C1329" s="40" t="str">
        <f t="shared" si="197"/>
        <v>12-&gt;</v>
      </c>
      <c r="D1329" s="40" t="str">
        <f t="shared" si="198"/>
        <v xml:space="preserve">No pick yet                                                 </v>
      </c>
      <c r="E1329" s="52">
        <f t="shared" si="199"/>
        <v>0</v>
      </c>
      <c r="M1329" s="18"/>
      <c r="N1329" s="18"/>
      <c r="O1329" s="18"/>
      <c r="P1329" s="18"/>
      <c r="Q1329" s="22"/>
      <c r="R1329" s="21"/>
      <c r="S1329" s="21"/>
      <c r="T1329" s="21"/>
      <c r="AA1329"/>
      <c r="AH1329" t="str">
        <f t="shared" si="200"/>
        <v>k yet</v>
      </c>
    </row>
    <row r="1330" spans="1:39">
      <c r="A1330" s="42" t="s">
        <v>258</v>
      </c>
      <c r="B1330" s="1" t="s">
        <v>20</v>
      </c>
      <c r="C1330" s="40" t="str">
        <f t="shared" si="197"/>
        <v>13-&gt;</v>
      </c>
      <c r="D1330" s="40" t="str">
        <f t="shared" si="198"/>
        <v xml:space="preserve">No pick yet                                                 </v>
      </c>
      <c r="E1330" s="52">
        <f t="shared" si="199"/>
        <v>0</v>
      </c>
      <c r="M1330" s="18"/>
      <c r="N1330" s="18"/>
      <c r="O1330" s="18"/>
      <c r="P1330" s="18"/>
      <c r="Q1330" s="22"/>
      <c r="R1330" s="21"/>
      <c r="S1330" s="21"/>
      <c r="T1330" s="21"/>
      <c r="AA1330"/>
      <c r="AH1330" t="str">
        <f t="shared" si="200"/>
        <v>k yet</v>
      </c>
    </row>
    <row r="1331" spans="1:39">
      <c r="A1331" s="42" t="s">
        <v>259</v>
      </c>
      <c r="B1331" s="1" t="s">
        <v>20</v>
      </c>
      <c r="C1331" s="40" t="str">
        <f t="shared" si="197"/>
        <v>14-&gt;</v>
      </c>
      <c r="D1331" s="40" t="str">
        <f t="shared" si="198"/>
        <v xml:space="preserve">No pick yet                                                 </v>
      </c>
      <c r="E1331" s="52">
        <f t="shared" si="199"/>
        <v>0</v>
      </c>
      <c r="M1331" s="18"/>
      <c r="N1331" s="18"/>
      <c r="O1331" s="18"/>
      <c r="P1331" s="18"/>
      <c r="Q1331" s="22"/>
      <c r="R1331" s="21"/>
      <c r="S1331" s="21"/>
      <c r="T1331" s="21"/>
      <c r="AA1331"/>
      <c r="AH1331" t="str">
        <f t="shared" si="200"/>
        <v>k yet</v>
      </c>
    </row>
    <row r="1332" spans="1:39">
      <c r="A1332" s="42" t="s">
        <v>260</v>
      </c>
      <c r="B1332" s="1" t="s">
        <v>20</v>
      </c>
      <c r="C1332" s="40" t="str">
        <f t="shared" si="197"/>
        <v>15-&gt;</v>
      </c>
      <c r="D1332" s="40" t="str">
        <f t="shared" si="198"/>
        <v xml:space="preserve">No pick yet                                                 </v>
      </c>
      <c r="E1332" s="52">
        <f t="shared" si="199"/>
        <v>0</v>
      </c>
      <c r="M1332" s="18"/>
      <c r="N1332" s="18"/>
      <c r="O1332" s="18"/>
      <c r="P1332" s="18"/>
      <c r="Q1332" s="22"/>
      <c r="R1332" s="21"/>
      <c r="S1332" s="21"/>
      <c r="T1332" s="21"/>
      <c r="AA1332"/>
      <c r="AH1332" t="str">
        <f t="shared" si="200"/>
        <v>k yet</v>
      </c>
    </row>
    <row r="1333" spans="1:39">
      <c r="A1333" s="42" t="s">
        <v>261</v>
      </c>
      <c r="B1333" s="1" t="s">
        <v>20</v>
      </c>
      <c r="C1333" s="40" t="str">
        <f t="shared" si="197"/>
        <v>16-&gt;</v>
      </c>
      <c r="D1333" s="40" t="str">
        <f t="shared" si="198"/>
        <v xml:space="preserve">No pick yet                                                 </v>
      </c>
      <c r="E1333" s="52">
        <f t="shared" si="199"/>
        <v>0</v>
      </c>
      <c r="M1333" s="18"/>
      <c r="N1333" s="18"/>
      <c r="O1333" s="18"/>
      <c r="P1333" s="18"/>
      <c r="Q1333" s="22"/>
      <c r="R1333" s="21"/>
      <c r="S1333" s="21"/>
      <c r="T1333" s="21"/>
      <c r="AA1333"/>
      <c r="AH1333" t="str">
        <f t="shared" si="200"/>
        <v>k yet</v>
      </c>
    </row>
    <row r="1334" spans="1:39">
      <c r="A1334" s="42" t="s">
        <v>262</v>
      </c>
      <c r="B1334" s="1" t="s">
        <v>20</v>
      </c>
      <c r="C1334" s="40" t="str">
        <f t="shared" si="197"/>
        <v>17-&gt;</v>
      </c>
      <c r="D1334" s="40" t="str">
        <f t="shared" si="198"/>
        <v xml:space="preserve">No pick yet                                                 </v>
      </c>
      <c r="E1334" s="52">
        <f t="shared" si="199"/>
        <v>0</v>
      </c>
      <c r="K1334" s="22"/>
      <c r="N1334" s="22"/>
      <c r="O1334" s="22"/>
      <c r="P1334" s="22"/>
      <c r="Q1334" s="22"/>
      <c r="R1334" s="22"/>
      <c r="S1334" s="22"/>
      <c r="Z1334" s="53"/>
      <c r="AA1334"/>
      <c r="AH1334" t="str">
        <f t="shared" si="200"/>
        <v>k yet</v>
      </c>
    </row>
    <row r="1335" spans="1:39">
      <c r="A1335" s="42" t="s">
        <v>263</v>
      </c>
      <c r="B1335" s="1" t="s">
        <v>20</v>
      </c>
      <c r="C1335" s="40" t="str">
        <f t="shared" si="197"/>
        <v>18-&gt;</v>
      </c>
      <c r="D1335" s="40" t="str">
        <f t="shared" si="198"/>
        <v xml:space="preserve">No pick yet                                                 </v>
      </c>
      <c r="E1335" s="52">
        <f t="shared" si="199"/>
        <v>0</v>
      </c>
      <c r="F1335" s="18"/>
      <c r="L1335" s="21"/>
      <c r="N1335" s="22"/>
      <c r="O1335" s="22"/>
      <c r="P1335" s="18"/>
      <c r="Q1335" s="22"/>
      <c r="R1335" s="22"/>
      <c r="S1335" s="22"/>
      <c r="Z1335" s="53"/>
      <c r="AA1335"/>
      <c r="AH1335" t="str">
        <f t="shared" si="200"/>
        <v>k yet</v>
      </c>
    </row>
    <row r="1336" spans="1:39">
      <c r="A1336" s="42" t="s">
        <v>264</v>
      </c>
      <c r="B1336" s="1" t="s">
        <v>20</v>
      </c>
      <c r="C1336" s="40" t="str">
        <f t="shared" si="197"/>
        <v>19-&gt;</v>
      </c>
      <c r="D1336" s="40" t="str">
        <f t="shared" si="198"/>
        <v xml:space="preserve">No pick yet                                                 </v>
      </c>
      <c r="E1336" s="52">
        <f t="shared" si="199"/>
        <v>0</v>
      </c>
      <c r="F1336" s="18"/>
      <c r="M1336" s="18"/>
      <c r="N1336" s="18"/>
      <c r="O1336" s="18"/>
      <c r="P1336" s="18"/>
      <c r="Q1336" s="22"/>
      <c r="R1336" s="21"/>
      <c r="S1336" s="21"/>
      <c r="T1336" s="21"/>
      <c r="AA1336"/>
      <c r="AH1336" t="str">
        <f t="shared" si="200"/>
        <v>k yet</v>
      </c>
    </row>
    <row r="1337" spans="1:39">
      <c r="A1337" s="42" t="s">
        <v>265</v>
      </c>
      <c r="B1337" s="1" t="s">
        <v>20</v>
      </c>
      <c r="C1337" s="40" t="str">
        <f t="shared" si="197"/>
        <v>20-&gt;</v>
      </c>
      <c r="D1337" s="40" t="str">
        <f t="shared" si="198"/>
        <v xml:space="preserve">No pick yet                                                 </v>
      </c>
      <c r="E1337" s="52">
        <f t="shared" si="199"/>
        <v>0</v>
      </c>
      <c r="F1337" s="18"/>
      <c r="M1337" s="18"/>
      <c r="N1337" s="18"/>
      <c r="O1337" s="18"/>
      <c r="P1337" s="18"/>
      <c r="Q1337" s="22"/>
      <c r="R1337" s="21"/>
      <c r="S1337" s="21"/>
      <c r="T1337" s="21"/>
      <c r="AA1337"/>
      <c r="AH1337" t="str">
        <f t="shared" si="200"/>
        <v>k yet</v>
      </c>
    </row>
    <row r="1338" spans="1:39">
      <c r="A1338" s="42" t="s">
        <v>266</v>
      </c>
      <c r="B1338" s="1" t="s">
        <v>20</v>
      </c>
      <c r="C1338" s="40" t="str">
        <f t="shared" si="197"/>
        <v>21-&gt;</v>
      </c>
      <c r="D1338" s="40" t="str">
        <f t="shared" si="198"/>
        <v xml:space="preserve">No pick yet                                                 </v>
      </c>
      <c r="E1338" s="52">
        <f t="shared" si="199"/>
        <v>0</v>
      </c>
      <c r="F1338" s="18"/>
      <c r="M1338" s="18"/>
      <c r="N1338" s="18"/>
      <c r="O1338" s="18"/>
      <c r="P1338" s="18"/>
      <c r="Q1338" s="22"/>
      <c r="R1338" s="21"/>
      <c r="S1338" s="21"/>
      <c r="T1338" s="21"/>
      <c r="AA1338"/>
      <c r="AH1338" t="str">
        <f t="shared" si="200"/>
        <v>k yet</v>
      </c>
    </row>
    <row r="1339" spans="1:39">
      <c r="A1339" s="42" t="s">
        <v>267</v>
      </c>
      <c r="B1339" s="1" t="s">
        <v>20</v>
      </c>
      <c r="C1339" s="40" t="str">
        <f t="shared" si="197"/>
        <v>22-&gt;</v>
      </c>
      <c r="D1339" s="40" t="str">
        <f t="shared" si="198"/>
        <v xml:space="preserve">No pick yet                                                 </v>
      </c>
      <c r="E1339" s="52">
        <f t="shared" si="199"/>
        <v>0</v>
      </c>
      <c r="F1339" s="18"/>
      <c r="M1339" s="18"/>
      <c r="N1339" s="18"/>
      <c r="O1339" s="18"/>
      <c r="P1339" s="18"/>
      <c r="Q1339" s="22"/>
      <c r="R1339" s="21"/>
      <c r="S1339" s="21"/>
      <c r="T1339" s="21"/>
      <c r="AA1339"/>
      <c r="AH1339" t="str">
        <f t="shared" si="200"/>
        <v>k yet</v>
      </c>
    </row>
    <row r="1340" spans="1:39">
      <c r="A1340" s="42" t="s">
        <v>268</v>
      </c>
      <c r="B1340" s="1" t="s">
        <v>20</v>
      </c>
      <c r="C1340" s="40" t="str">
        <f t="shared" si="197"/>
        <v>23-&gt;</v>
      </c>
      <c r="D1340" s="40" t="str">
        <f t="shared" si="198"/>
        <v xml:space="preserve">No pick yet                                                 </v>
      </c>
      <c r="E1340" s="52">
        <f t="shared" si="199"/>
        <v>0</v>
      </c>
      <c r="F1340" s="18"/>
      <c r="M1340" s="18"/>
      <c r="N1340" s="18"/>
      <c r="O1340" s="18"/>
      <c r="P1340" s="18"/>
      <c r="Q1340" s="22"/>
      <c r="R1340" s="21"/>
      <c r="S1340" s="21"/>
      <c r="T1340" s="21"/>
      <c r="AA1340"/>
      <c r="AH1340" t="str">
        <f t="shared" si="200"/>
        <v>k yet</v>
      </c>
    </row>
    <row r="1341" spans="1:39">
      <c r="A1341" s="42" t="s">
        <v>269</v>
      </c>
      <c r="B1341" s="1" t="s">
        <v>20</v>
      </c>
      <c r="C1341" s="40" t="str">
        <f t="shared" si="197"/>
        <v>24-&gt;</v>
      </c>
      <c r="D1341" s="40" t="str">
        <f t="shared" si="198"/>
        <v xml:space="preserve">No pick yet                                                 </v>
      </c>
      <c r="E1341" s="52">
        <f t="shared" si="199"/>
        <v>0</v>
      </c>
      <c r="F1341" s="18"/>
      <c r="M1341" s="18"/>
      <c r="N1341" s="18"/>
      <c r="O1341" s="18"/>
      <c r="P1341" s="18"/>
      <c r="Q1341" s="22"/>
      <c r="R1341" s="21"/>
      <c r="S1341" s="21"/>
      <c r="T1341" s="21"/>
      <c r="AA1341"/>
      <c r="AH1341" t="str">
        <f t="shared" si="200"/>
        <v>k yet</v>
      </c>
    </row>
    <row r="1342" spans="1:39">
      <c r="A1342" s="42" t="s">
        <v>270</v>
      </c>
      <c r="B1342" s="1" t="s">
        <v>20</v>
      </c>
      <c r="C1342" s="40" t="str">
        <f t="shared" si="197"/>
        <v>25-&gt;</v>
      </c>
      <c r="D1342" s="40" t="str">
        <f t="shared" si="198"/>
        <v xml:space="preserve">No pick yet                                                 </v>
      </c>
      <c r="E1342" s="52">
        <f t="shared" si="199"/>
        <v>0</v>
      </c>
      <c r="F1342" s="18"/>
      <c r="M1342" s="18"/>
      <c r="N1342" s="18"/>
      <c r="O1342" s="18"/>
      <c r="P1342" s="18"/>
      <c r="Q1342" s="22"/>
      <c r="R1342" s="21"/>
      <c r="S1342" s="21"/>
      <c r="T1342" s="21"/>
      <c r="AA1342"/>
      <c r="AH1342" t="str">
        <f t="shared" si="200"/>
        <v>k yet</v>
      </c>
    </row>
    <row r="1343" spans="1:39">
      <c r="A1343" s="42" t="s">
        <v>271</v>
      </c>
      <c r="B1343" s="1" t="s">
        <v>20</v>
      </c>
      <c r="C1343" s="40" t="str">
        <f t="shared" si="197"/>
        <v>26-&gt;</v>
      </c>
      <c r="D1343" s="40" t="str">
        <f t="shared" si="198"/>
        <v xml:space="preserve">No pick yet                                                 </v>
      </c>
      <c r="E1343" s="52">
        <f t="shared" si="199"/>
        <v>0</v>
      </c>
      <c r="F1343" s="18"/>
      <c r="M1343" s="18"/>
      <c r="N1343" s="18"/>
      <c r="O1343" s="18"/>
      <c r="P1343" s="18"/>
      <c r="Q1343" s="22"/>
      <c r="R1343" s="21"/>
      <c r="S1343" s="21"/>
      <c r="T1343" s="21"/>
      <c r="AA1343"/>
      <c r="AH1343" t="str">
        <f t="shared" si="200"/>
        <v>k yet</v>
      </c>
    </row>
    <row r="1344" spans="1:39">
      <c r="A1344" s="38"/>
      <c r="B1344" s="40"/>
      <c r="C1344" s="40"/>
      <c r="D1344" s="49"/>
      <c r="E1344" s="41" t="s">
        <v>69</v>
      </c>
      <c r="F1344" s="18"/>
      <c r="K1344" s="22" t="s">
        <v>73</v>
      </c>
      <c r="L1344" s="18" t="s">
        <v>74</v>
      </c>
      <c r="M1344" s="22" t="s">
        <v>78</v>
      </c>
      <c r="N1344" s="22" t="s">
        <v>79</v>
      </c>
      <c r="O1344" s="22" t="s">
        <v>80</v>
      </c>
      <c r="P1344" s="22" t="s">
        <v>81</v>
      </c>
      <c r="Q1344" s="22" t="s">
        <v>82</v>
      </c>
      <c r="R1344" s="22" t="s">
        <v>83</v>
      </c>
      <c r="S1344" s="22" t="s">
        <v>84</v>
      </c>
      <c r="T1344" s="18" t="s">
        <v>85</v>
      </c>
      <c r="U1344" s="18" t="s">
        <v>86</v>
      </c>
      <c r="V1344" s="18" t="s">
        <v>87</v>
      </c>
      <c r="W1344" s="18" t="s">
        <v>88</v>
      </c>
      <c r="X1344" s="18" t="s">
        <v>89</v>
      </c>
      <c r="Y1344" s="18" t="s">
        <v>90</v>
      </c>
      <c r="Z1344" s="18" t="s">
        <v>91</v>
      </c>
      <c r="AA1344" s="18" t="s">
        <v>92</v>
      </c>
      <c r="AB1344" s="18" t="s">
        <v>93</v>
      </c>
      <c r="AC1344" s="18" t="s">
        <v>94</v>
      </c>
      <c r="AD1344" s="18" t="s">
        <v>235</v>
      </c>
      <c r="AE1344" s="18" t="s">
        <v>236</v>
      </c>
      <c r="AF1344" s="18" t="s">
        <v>237</v>
      </c>
      <c r="AG1344" s="18" t="s">
        <v>238</v>
      </c>
      <c r="AH1344" s="18" t="s">
        <v>239</v>
      </c>
      <c r="AI1344" s="18" t="s">
        <v>240</v>
      </c>
      <c r="AJ1344" s="18" t="s">
        <v>241</v>
      </c>
      <c r="AK1344" s="18" t="s">
        <v>242</v>
      </c>
      <c r="AL1344" s="18" t="s">
        <v>243</v>
      </c>
      <c r="AM1344" s="50" t="s">
        <v>244</v>
      </c>
    </row>
    <row r="1345" spans="1:39">
      <c r="A1345" s="40" t="s">
        <v>245</v>
      </c>
      <c r="B1345" s="51" t="str">
        <f>D47</f>
        <v/>
      </c>
      <c r="C1345" s="40" t="str">
        <f t="shared" ref="C1345:C1371" si="201">A1345</f>
        <v>#</v>
      </c>
      <c r="D1345" s="40" t="str">
        <f>"   "&amp;B1345&amp;REPT(" ",$AH$70-LEN(B1345)-3)</f>
        <v xml:space="preserve">                                                            </v>
      </c>
      <c r="E1345" s="38" t="str">
        <f>SUM(E1346:E1371)&amp;" pts[/b]"</f>
        <v>0 pts[/b]</v>
      </c>
      <c r="F1345" s="21">
        <f>SUM(E1346:E1371)</f>
        <v>0</v>
      </c>
      <c r="K1345" s="18">
        <f>COUNTIF(E1346:E1371,"&gt;0")</f>
        <v>0</v>
      </c>
      <c r="L1345" s="21">
        <f>AM1345-K1345</f>
        <v>0</v>
      </c>
      <c r="M1345" s="22">
        <f>MAX(E1346:E1371)</f>
        <v>0</v>
      </c>
      <c r="N1345" s="22">
        <f>LARGE(E1346:E1371,2)</f>
        <v>0</v>
      </c>
      <c r="O1345" s="22">
        <f>LARGE(E1346:E1371,3)</f>
        <v>0</v>
      </c>
      <c r="P1345" s="18">
        <f>LARGE(E1346:E1371,4)</f>
        <v>0</v>
      </c>
      <c r="Q1345" s="22">
        <f>LARGE(E1346:E1371,5)</f>
        <v>0</v>
      </c>
      <c r="R1345" s="22">
        <f>LARGE(E1346:E1371,6)</f>
        <v>0</v>
      </c>
      <c r="S1345" s="22">
        <f>LARGE(E1346:E1371,7)</f>
        <v>0</v>
      </c>
      <c r="T1345" s="18">
        <f>LARGE(E1346:E1371,8)</f>
        <v>0</v>
      </c>
      <c r="U1345" s="18">
        <f>LARGE(E1346:E1371,9)</f>
        <v>0</v>
      </c>
      <c r="V1345" s="18">
        <f>LARGE(E1346:E1371,10)</f>
        <v>0</v>
      </c>
      <c r="W1345" s="18">
        <f>LARGE(E1346:E1371,11)</f>
        <v>0</v>
      </c>
      <c r="X1345" s="18">
        <f>LARGE(E1346:E1371,12)</f>
        <v>0</v>
      </c>
      <c r="Y1345" s="18">
        <f>LARGE(E1346:E1371,13)</f>
        <v>0</v>
      </c>
      <c r="Z1345" s="18">
        <f>LARGE(E1346:E1371,14)</f>
        <v>0</v>
      </c>
      <c r="AA1345" s="18">
        <f>LARGE(E1346:E1371,15)</f>
        <v>0</v>
      </c>
      <c r="AB1345" s="18">
        <f>LARGE(E1346:E1371,16)</f>
        <v>0</v>
      </c>
      <c r="AC1345" s="18">
        <f>LARGE(E1346:E1371,17)</f>
        <v>0</v>
      </c>
      <c r="AD1345" s="18">
        <f>LARGE(E1346:E1372,13)</f>
        <v>0</v>
      </c>
      <c r="AE1345" s="18">
        <f>LARGE(E1346:E1371,19)</f>
        <v>0</v>
      </c>
      <c r="AF1345" s="18">
        <f>LARGE(E1346:E1371,20)</f>
        <v>0</v>
      </c>
      <c r="AG1345" s="18">
        <f>LARGE(E1346:E1371,21)</f>
        <v>0</v>
      </c>
      <c r="AH1345" s="18">
        <f>LARGE(E1346:E1371,22)</f>
        <v>0</v>
      </c>
      <c r="AI1345" s="18">
        <f>LARGE(E1346:E1371,23)</f>
        <v>0</v>
      </c>
      <c r="AJ1345" s="18">
        <f>LARGE(E1346:E1371,24)</f>
        <v>0</v>
      </c>
      <c r="AK1345" s="18">
        <f>LARGE(E1346:E1371,25)</f>
        <v>0</v>
      </c>
      <c r="AL1345" s="18">
        <f>LARGE(E1346:E1371,26)</f>
        <v>0</v>
      </c>
      <c r="AM1345" s="50">
        <f>COUNTIF(AH1346:AH1371,"&lt;&gt;"&amp;AH76)-(26-COUNTIF(E1346:E1371,"&gt;=0"))</f>
        <v>0</v>
      </c>
    </row>
    <row r="1346" spans="1:39">
      <c r="A1346" s="42" t="s">
        <v>246</v>
      </c>
      <c r="B1346" s="1" t="s">
        <v>20</v>
      </c>
      <c r="C1346" s="40" t="str">
        <f t="shared" si="201"/>
        <v>01-&gt;</v>
      </c>
      <c r="D1346" s="40" t="str">
        <f t="shared" ref="D1346:D1371" si="202">B1346&amp;REPT(" ",$AH$70-LEN(B1346))</f>
        <v xml:space="preserve">No pick yet                                                 </v>
      </c>
      <c r="E1346" s="52">
        <f t="shared" ref="E1346:E1371" si="203">VLOOKUP(RIGHT(B1346,LEN(B1346)-$AH$66),$H$138:$I$420,2,0)</f>
        <v>0</v>
      </c>
      <c r="F1346" s="18"/>
      <c r="M1346" s="18"/>
      <c r="N1346" s="18"/>
      <c r="O1346" s="18"/>
      <c r="P1346" s="18"/>
      <c r="Q1346" s="22"/>
      <c r="R1346" s="21"/>
      <c r="S1346" s="21"/>
      <c r="T1346" s="21"/>
      <c r="AA1346"/>
      <c r="AH1346" t="str">
        <f t="shared" ref="AH1346:AH1371" si="204">RIGHT(B1346,LEN(B1346)-$AH$66)</f>
        <v>k yet</v>
      </c>
    </row>
    <row r="1347" spans="1:39">
      <c r="A1347" s="42" t="s">
        <v>247</v>
      </c>
      <c r="B1347" s="1" t="s">
        <v>20</v>
      </c>
      <c r="C1347" s="40" t="str">
        <f t="shared" si="201"/>
        <v>02-&gt;</v>
      </c>
      <c r="D1347" s="40" t="str">
        <f t="shared" si="202"/>
        <v xml:space="preserve">No pick yet                                                 </v>
      </c>
      <c r="E1347" s="52">
        <f t="shared" si="203"/>
        <v>0</v>
      </c>
      <c r="F1347" s="18"/>
      <c r="K1347" s="22"/>
      <c r="N1347" s="22"/>
      <c r="O1347" s="22"/>
      <c r="P1347" s="22"/>
      <c r="Q1347" s="22"/>
      <c r="R1347" s="22"/>
      <c r="S1347" s="22"/>
      <c r="Z1347" s="53"/>
      <c r="AA1347"/>
      <c r="AH1347" t="str">
        <f t="shared" si="204"/>
        <v>k yet</v>
      </c>
    </row>
    <row r="1348" spans="1:39">
      <c r="A1348" s="42" t="s">
        <v>248</v>
      </c>
      <c r="B1348" s="1" t="s">
        <v>20</v>
      </c>
      <c r="C1348" s="40" t="str">
        <f t="shared" si="201"/>
        <v>03-&gt;</v>
      </c>
      <c r="D1348" s="40" t="str">
        <f t="shared" si="202"/>
        <v xml:space="preserve">No pick yet                                                 </v>
      </c>
      <c r="E1348" s="52">
        <f t="shared" si="203"/>
        <v>0</v>
      </c>
      <c r="F1348" s="18"/>
      <c r="L1348" s="21"/>
      <c r="N1348" s="22"/>
      <c r="O1348" s="22"/>
      <c r="P1348" s="18"/>
      <c r="Q1348" s="22"/>
      <c r="R1348" s="22"/>
      <c r="S1348" s="22"/>
      <c r="Z1348" s="53"/>
      <c r="AA1348"/>
      <c r="AH1348" t="str">
        <f t="shared" si="204"/>
        <v>k yet</v>
      </c>
    </row>
    <row r="1349" spans="1:39">
      <c r="A1349" s="42" t="s">
        <v>249</v>
      </c>
      <c r="B1349" s="1" t="s">
        <v>20</v>
      </c>
      <c r="C1349" s="40" t="str">
        <f t="shared" si="201"/>
        <v>04-&gt;</v>
      </c>
      <c r="D1349" s="40" t="str">
        <f t="shared" si="202"/>
        <v xml:space="preserve">No pick yet                                                 </v>
      </c>
      <c r="E1349" s="52">
        <f t="shared" si="203"/>
        <v>0</v>
      </c>
      <c r="F1349" s="18"/>
      <c r="M1349" s="18"/>
      <c r="N1349" s="18"/>
      <c r="O1349" s="18"/>
      <c r="P1349" s="18"/>
      <c r="Q1349" s="22"/>
      <c r="R1349" s="21"/>
      <c r="S1349" s="21"/>
      <c r="T1349" s="21"/>
      <c r="AA1349"/>
      <c r="AH1349" t="str">
        <f t="shared" si="204"/>
        <v>k yet</v>
      </c>
    </row>
    <row r="1350" spans="1:39">
      <c r="A1350" s="42" t="s">
        <v>250</v>
      </c>
      <c r="B1350" s="1" t="s">
        <v>20</v>
      </c>
      <c r="C1350" s="40" t="str">
        <f t="shared" si="201"/>
        <v>05-&gt;</v>
      </c>
      <c r="D1350" s="40" t="str">
        <f t="shared" si="202"/>
        <v xml:space="preserve">No pick yet                                                 </v>
      </c>
      <c r="E1350" s="52">
        <f t="shared" si="203"/>
        <v>0</v>
      </c>
      <c r="F1350" s="18"/>
      <c r="M1350" s="18"/>
      <c r="N1350" s="18"/>
      <c r="O1350" s="18"/>
      <c r="P1350" s="18"/>
      <c r="Q1350" s="22"/>
      <c r="R1350" s="21"/>
      <c r="S1350" s="21"/>
      <c r="T1350" s="21"/>
      <c r="AA1350"/>
      <c r="AH1350" t="str">
        <f t="shared" si="204"/>
        <v>k yet</v>
      </c>
    </row>
    <row r="1351" spans="1:39">
      <c r="A1351" s="42" t="s">
        <v>251</v>
      </c>
      <c r="B1351" s="1" t="s">
        <v>20</v>
      </c>
      <c r="C1351" s="40" t="str">
        <f t="shared" si="201"/>
        <v>06-&gt;</v>
      </c>
      <c r="D1351" s="40" t="str">
        <f t="shared" si="202"/>
        <v xml:space="preserve">No pick yet                                                 </v>
      </c>
      <c r="E1351" s="52">
        <f t="shared" si="203"/>
        <v>0</v>
      </c>
      <c r="F1351" s="18"/>
      <c r="M1351" s="18"/>
      <c r="N1351" s="18"/>
      <c r="O1351" s="18"/>
      <c r="P1351" s="18"/>
      <c r="Q1351" s="22"/>
      <c r="R1351" s="21"/>
      <c r="S1351" s="21"/>
      <c r="T1351" s="21"/>
      <c r="AA1351"/>
      <c r="AH1351" t="str">
        <f t="shared" si="204"/>
        <v>k yet</v>
      </c>
    </row>
    <row r="1352" spans="1:39">
      <c r="A1352" s="42" t="s">
        <v>252</v>
      </c>
      <c r="B1352" s="1" t="s">
        <v>20</v>
      </c>
      <c r="C1352" s="40" t="str">
        <f t="shared" si="201"/>
        <v>07-&gt;</v>
      </c>
      <c r="D1352" s="40" t="str">
        <f t="shared" si="202"/>
        <v xml:space="preserve">No pick yet                                                 </v>
      </c>
      <c r="E1352" s="52">
        <f t="shared" si="203"/>
        <v>0</v>
      </c>
      <c r="F1352" s="18"/>
      <c r="M1352" s="18"/>
      <c r="N1352" s="18"/>
      <c r="O1352" s="18"/>
      <c r="P1352" s="18"/>
      <c r="Q1352" s="22"/>
      <c r="R1352" s="21"/>
      <c r="S1352" s="21"/>
      <c r="T1352" s="21"/>
      <c r="AA1352"/>
      <c r="AH1352" t="str">
        <f t="shared" si="204"/>
        <v>k yet</v>
      </c>
    </row>
    <row r="1353" spans="1:39">
      <c r="A1353" s="42" t="s">
        <v>253</v>
      </c>
      <c r="B1353" s="1" t="s">
        <v>20</v>
      </c>
      <c r="C1353" s="40" t="str">
        <f t="shared" si="201"/>
        <v>08-&gt;</v>
      </c>
      <c r="D1353" s="40" t="str">
        <f t="shared" si="202"/>
        <v xml:space="preserve">No pick yet                                                 </v>
      </c>
      <c r="E1353" s="52">
        <f t="shared" si="203"/>
        <v>0</v>
      </c>
      <c r="F1353" s="18"/>
      <c r="M1353" s="18"/>
      <c r="N1353" s="18"/>
      <c r="O1353" s="18"/>
      <c r="P1353" s="18"/>
      <c r="Q1353" s="22"/>
      <c r="R1353" s="21"/>
      <c r="S1353" s="21"/>
      <c r="T1353" s="21"/>
      <c r="AA1353"/>
      <c r="AH1353" t="str">
        <f t="shared" si="204"/>
        <v>k yet</v>
      </c>
    </row>
    <row r="1354" spans="1:39">
      <c r="A1354" s="42" t="s">
        <v>254</v>
      </c>
      <c r="B1354" s="1" t="s">
        <v>20</v>
      </c>
      <c r="C1354" s="40" t="str">
        <f t="shared" si="201"/>
        <v>09-&gt;</v>
      </c>
      <c r="D1354" s="40" t="str">
        <f t="shared" si="202"/>
        <v xml:space="preserve">No pick yet                                                 </v>
      </c>
      <c r="E1354" s="52">
        <f t="shared" si="203"/>
        <v>0</v>
      </c>
      <c r="F1354" s="18"/>
      <c r="M1354" s="18"/>
      <c r="N1354" s="18"/>
      <c r="O1354" s="18"/>
      <c r="P1354" s="18"/>
      <c r="Q1354" s="22"/>
      <c r="R1354" s="21"/>
      <c r="S1354" s="21"/>
      <c r="T1354" s="21"/>
      <c r="AA1354"/>
      <c r="AH1354" t="str">
        <f t="shared" si="204"/>
        <v>k yet</v>
      </c>
    </row>
    <row r="1355" spans="1:39">
      <c r="A1355" s="42" t="s">
        <v>255</v>
      </c>
      <c r="B1355" s="1" t="s">
        <v>20</v>
      </c>
      <c r="C1355" s="40" t="str">
        <f t="shared" si="201"/>
        <v>10-&gt;</v>
      </c>
      <c r="D1355" s="40" t="str">
        <f t="shared" si="202"/>
        <v xml:space="preserve">No pick yet                                                 </v>
      </c>
      <c r="E1355" s="52">
        <f t="shared" si="203"/>
        <v>0</v>
      </c>
      <c r="F1355" s="22"/>
      <c r="M1355" s="18"/>
      <c r="N1355" s="18"/>
      <c r="O1355" s="18"/>
      <c r="P1355" s="18"/>
      <c r="Q1355" s="22"/>
      <c r="R1355" s="21"/>
      <c r="S1355" s="21"/>
      <c r="T1355" s="21"/>
      <c r="AA1355"/>
      <c r="AH1355" t="str">
        <f t="shared" si="204"/>
        <v>k yet</v>
      </c>
    </row>
    <row r="1356" spans="1:39">
      <c r="A1356" s="42" t="s">
        <v>256</v>
      </c>
      <c r="B1356" s="1" t="s">
        <v>20</v>
      </c>
      <c r="C1356" s="40" t="str">
        <f t="shared" si="201"/>
        <v>11-&gt;</v>
      </c>
      <c r="D1356" s="40" t="str">
        <f t="shared" si="202"/>
        <v xml:space="preserve">No pick yet                                                 </v>
      </c>
      <c r="E1356" s="52">
        <f t="shared" si="203"/>
        <v>0</v>
      </c>
      <c r="M1356" s="18"/>
      <c r="N1356" s="18"/>
      <c r="O1356" s="18"/>
      <c r="P1356" s="18"/>
      <c r="Q1356" s="22"/>
      <c r="R1356" s="21"/>
      <c r="S1356" s="21"/>
      <c r="T1356" s="21"/>
      <c r="AA1356"/>
      <c r="AH1356" t="str">
        <f t="shared" si="204"/>
        <v>k yet</v>
      </c>
    </row>
    <row r="1357" spans="1:39">
      <c r="A1357" s="42" t="s">
        <v>257</v>
      </c>
      <c r="B1357" s="1" t="s">
        <v>20</v>
      </c>
      <c r="C1357" s="40" t="str">
        <f t="shared" si="201"/>
        <v>12-&gt;</v>
      </c>
      <c r="D1357" s="40" t="str">
        <f t="shared" si="202"/>
        <v xml:space="preserve">No pick yet                                                 </v>
      </c>
      <c r="E1357" s="52">
        <f t="shared" si="203"/>
        <v>0</v>
      </c>
      <c r="M1357" s="18"/>
      <c r="N1357" s="18"/>
      <c r="O1357" s="18"/>
      <c r="P1357" s="18"/>
      <c r="Q1357" s="22"/>
      <c r="R1357" s="21"/>
      <c r="S1357" s="21"/>
      <c r="T1357" s="21"/>
      <c r="AA1357"/>
      <c r="AH1357" t="str">
        <f t="shared" si="204"/>
        <v>k yet</v>
      </c>
    </row>
    <row r="1358" spans="1:39">
      <c r="A1358" s="42" t="s">
        <v>258</v>
      </c>
      <c r="B1358" s="1" t="s">
        <v>20</v>
      </c>
      <c r="C1358" s="40" t="str">
        <f t="shared" si="201"/>
        <v>13-&gt;</v>
      </c>
      <c r="D1358" s="40" t="str">
        <f t="shared" si="202"/>
        <v xml:space="preserve">No pick yet                                                 </v>
      </c>
      <c r="E1358" s="52">
        <f t="shared" si="203"/>
        <v>0</v>
      </c>
      <c r="M1358" s="18"/>
      <c r="N1358" s="18"/>
      <c r="O1358" s="18"/>
      <c r="P1358" s="18"/>
      <c r="Q1358" s="22"/>
      <c r="R1358" s="21"/>
      <c r="S1358" s="21"/>
      <c r="T1358" s="21"/>
      <c r="AA1358"/>
      <c r="AH1358" t="str">
        <f t="shared" si="204"/>
        <v>k yet</v>
      </c>
    </row>
    <row r="1359" spans="1:39">
      <c r="A1359" s="42" t="s">
        <v>259</v>
      </c>
      <c r="B1359" s="1" t="s">
        <v>20</v>
      </c>
      <c r="C1359" s="40" t="str">
        <f t="shared" si="201"/>
        <v>14-&gt;</v>
      </c>
      <c r="D1359" s="40" t="str">
        <f t="shared" si="202"/>
        <v xml:space="preserve">No pick yet                                                 </v>
      </c>
      <c r="E1359" s="52">
        <f t="shared" si="203"/>
        <v>0</v>
      </c>
      <c r="M1359" s="18"/>
      <c r="N1359" s="18"/>
      <c r="O1359" s="18"/>
      <c r="P1359" s="18"/>
      <c r="Q1359" s="22"/>
      <c r="R1359" s="21"/>
      <c r="S1359" s="21"/>
      <c r="T1359" s="21"/>
      <c r="AA1359"/>
      <c r="AH1359" t="str">
        <f t="shared" si="204"/>
        <v>k yet</v>
      </c>
    </row>
    <row r="1360" spans="1:39">
      <c r="A1360" s="42" t="s">
        <v>260</v>
      </c>
      <c r="B1360" s="1" t="s">
        <v>20</v>
      </c>
      <c r="C1360" s="40" t="str">
        <f t="shared" si="201"/>
        <v>15-&gt;</v>
      </c>
      <c r="D1360" s="40" t="str">
        <f t="shared" si="202"/>
        <v xml:space="preserve">No pick yet                                                 </v>
      </c>
      <c r="E1360" s="52">
        <f t="shared" si="203"/>
        <v>0</v>
      </c>
      <c r="M1360" s="18"/>
      <c r="N1360" s="18"/>
      <c r="O1360" s="18"/>
      <c r="P1360" s="18"/>
      <c r="Q1360" s="22"/>
      <c r="R1360" s="21"/>
      <c r="S1360" s="21"/>
      <c r="T1360" s="21"/>
      <c r="AA1360"/>
      <c r="AH1360" t="str">
        <f t="shared" si="204"/>
        <v>k yet</v>
      </c>
    </row>
    <row r="1361" spans="1:39">
      <c r="A1361" s="42" t="s">
        <v>261</v>
      </c>
      <c r="B1361" s="1" t="s">
        <v>20</v>
      </c>
      <c r="C1361" s="40" t="str">
        <f t="shared" si="201"/>
        <v>16-&gt;</v>
      </c>
      <c r="D1361" s="40" t="str">
        <f t="shared" si="202"/>
        <v xml:space="preserve">No pick yet                                                 </v>
      </c>
      <c r="E1361" s="52">
        <f t="shared" si="203"/>
        <v>0</v>
      </c>
      <c r="M1361" s="18"/>
      <c r="N1361" s="18"/>
      <c r="O1361" s="18"/>
      <c r="P1361" s="18"/>
      <c r="Q1361" s="22"/>
      <c r="R1361" s="21"/>
      <c r="S1361" s="21"/>
      <c r="T1361" s="21"/>
      <c r="AA1361"/>
      <c r="AH1361" t="str">
        <f t="shared" si="204"/>
        <v>k yet</v>
      </c>
    </row>
    <row r="1362" spans="1:39">
      <c r="A1362" s="42" t="s">
        <v>262</v>
      </c>
      <c r="B1362" s="1" t="s">
        <v>20</v>
      </c>
      <c r="C1362" s="40" t="str">
        <f t="shared" si="201"/>
        <v>17-&gt;</v>
      </c>
      <c r="D1362" s="40" t="str">
        <f t="shared" si="202"/>
        <v xml:space="preserve">No pick yet                                                 </v>
      </c>
      <c r="E1362" s="52">
        <f t="shared" si="203"/>
        <v>0</v>
      </c>
      <c r="K1362" s="22"/>
      <c r="N1362" s="22"/>
      <c r="O1362" s="22"/>
      <c r="P1362" s="22"/>
      <c r="Q1362" s="22"/>
      <c r="R1362" s="22"/>
      <c r="S1362" s="22"/>
      <c r="Z1362" s="53"/>
      <c r="AA1362"/>
      <c r="AH1362" t="str">
        <f t="shared" si="204"/>
        <v>k yet</v>
      </c>
    </row>
    <row r="1363" spans="1:39">
      <c r="A1363" s="42" t="s">
        <v>263</v>
      </c>
      <c r="B1363" s="1" t="s">
        <v>20</v>
      </c>
      <c r="C1363" s="40" t="str">
        <f t="shared" si="201"/>
        <v>18-&gt;</v>
      </c>
      <c r="D1363" s="40" t="str">
        <f t="shared" si="202"/>
        <v xml:space="preserve">No pick yet                                                 </v>
      </c>
      <c r="E1363" s="52">
        <f t="shared" si="203"/>
        <v>0</v>
      </c>
      <c r="F1363" s="18"/>
      <c r="L1363" s="21"/>
      <c r="N1363" s="22"/>
      <c r="O1363" s="22"/>
      <c r="P1363" s="18"/>
      <c r="Q1363" s="22"/>
      <c r="R1363" s="22"/>
      <c r="S1363" s="22"/>
      <c r="Z1363" s="53"/>
      <c r="AA1363"/>
      <c r="AH1363" t="str">
        <f t="shared" si="204"/>
        <v>k yet</v>
      </c>
    </row>
    <row r="1364" spans="1:39">
      <c r="A1364" s="42" t="s">
        <v>264</v>
      </c>
      <c r="B1364" s="1" t="s">
        <v>20</v>
      </c>
      <c r="C1364" s="40" t="str">
        <f t="shared" si="201"/>
        <v>19-&gt;</v>
      </c>
      <c r="D1364" s="40" t="str">
        <f t="shared" si="202"/>
        <v xml:space="preserve">No pick yet                                                 </v>
      </c>
      <c r="E1364" s="52">
        <f t="shared" si="203"/>
        <v>0</v>
      </c>
      <c r="F1364" s="18"/>
      <c r="M1364" s="18"/>
      <c r="N1364" s="18"/>
      <c r="O1364" s="18"/>
      <c r="P1364" s="18"/>
      <c r="Q1364" s="22"/>
      <c r="R1364" s="21"/>
      <c r="S1364" s="21"/>
      <c r="T1364" s="21"/>
      <c r="AA1364"/>
      <c r="AH1364" t="str">
        <f t="shared" si="204"/>
        <v>k yet</v>
      </c>
    </row>
    <row r="1365" spans="1:39">
      <c r="A1365" s="42" t="s">
        <v>265</v>
      </c>
      <c r="B1365" s="1" t="s">
        <v>20</v>
      </c>
      <c r="C1365" s="40" t="str">
        <f t="shared" si="201"/>
        <v>20-&gt;</v>
      </c>
      <c r="D1365" s="40" t="str">
        <f t="shared" si="202"/>
        <v xml:space="preserve">No pick yet                                                 </v>
      </c>
      <c r="E1365" s="52">
        <f t="shared" si="203"/>
        <v>0</v>
      </c>
      <c r="F1365" s="18"/>
      <c r="M1365" s="18"/>
      <c r="N1365" s="18"/>
      <c r="O1365" s="18"/>
      <c r="P1365" s="18"/>
      <c r="Q1365" s="22"/>
      <c r="R1365" s="21"/>
      <c r="S1365" s="21"/>
      <c r="T1365" s="21"/>
      <c r="AA1365"/>
      <c r="AH1365" t="str">
        <f t="shared" si="204"/>
        <v>k yet</v>
      </c>
    </row>
    <row r="1366" spans="1:39">
      <c r="A1366" s="42" t="s">
        <v>266</v>
      </c>
      <c r="B1366" s="1" t="s">
        <v>20</v>
      </c>
      <c r="C1366" s="40" t="str">
        <f t="shared" si="201"/>
        <v>21-&gt;</v>
      </c>
      <c r="D1366" s="40" t="str">
        <f t="shared" si="202"/>
        <v xml:space="preserve">No pick yet                                                 </v>
      </c>
      <c r="E1366" s="52">
        <f t="shared" si="203"/>
        <v>0</v>
      </c>
      <c r="F1366" s="18"/>
      <c r="M1366" s="18"/>
      <c r="N1366" s="18"/>
      <c r="O1366" s="18"/>
      <c r="P1366" s="18"/>
      <c r="Q1366" s="22"/>
      <c r="R1366" s="21"/>
      <c r="S1366" s="21"/>
      <c r="T1366" s="21"/>
      <c r="AA1366"/>
      <c r="AH1366" t="str">
        <f t="shared" si="204"/>
        <v>k yet</v>
      </c>
    </row>
    <row r="1367" spans="1:39">
      <c r="A1367" s="42" t="s">
        <v>267</v>
      </c>
      <c r="B1367" s="1" t="s">
        <v>20</v>
      </c>
      <c r="C1367" s="40" t="str">
        <f t="shared" si="201"/>
        <v>22-&gt;</v>
      </c>
      <c r="D1367" s="40" t="str">
        <f t="shared" si="202"/>
        <v xml:space="preserve">No pick yet                                                 </v>
      </c>
      <c r="E1367" s="52">
        <f t="shared" si="203"/>
        <v>0</v>
      </c>
      <c r="F1367" s="18"/>
      <c r="M1367" s="18"/>
      <c r="N1367" s="18"/>
      <c r="O1367" s="18"/>
      <c r="P1367" s="18"/>
      <c r="Q1367" s="22"/>
      <c r="R1367" s="21"/>
      <c r="S1367" s="21"/>
      <c r="T1367" s="21"/>
      <c r="AA1367"/>
      <c r="AH1367" t="str">
        <f t="shared" si="204"/>
        <v>k yet</v>
      </c>
    </row>
    <row r="1368" spans="1:39">
      <c r="A1368" s="42" t="s">
        <v>268</v>
      </c>
      <c r="B1368" s="1" t="s">
        <v>20</v>
      </c>
      <c r="C1368" s="40" t="str">
        <f t="shared" si="201"/>
        <v>23-&gt;</v>
      </c>
      <c r="D1368" s="40" t="str">
        <f t="shared" si="202"/>
        <v xml:space="preserve">No pick yet                                                 </v>
      </c>
      <c r="E1368" s="52">
        <f t="shared" si="203"/>
        <v>0</v>
      </c>
      <c r="F1368" s="18"/>
      <c r="M1368" s="18"/>
      <c r="N1368" s="18"/>
      <c r="O1368" s="18"/>
      <c r="P1368" s="18"/>
      <c r="Q1368" s="22"/>
      <c r="R1368" s="21"/>
      <c r="S1368" s="21"/>
      <c r="T1368" s="21"/>
      <c r="AA1368"/>
      <c r="AH1368" t="str">
        <f t="shared" si="204"/>
        <v>k yet</v>
      </c>
    </row>
    <row r="1369" spans="1:39">
      <c r="A1369" s="42" t="s">
        <v>269</v>
      </c>
      <c r="B1369" s="1" t="s">
        <v>20</v>
      </c>
      <c r="C1369" s="40" t="str">
        <f t="shared" si="201"/>
        <v>24-&gt;</v>
      </c>
      <c r="D1369" s="40" t="str">
        <f t="shared" si="202"/>
        <v xml:space="preserve">No pick yet                                                 </v>
      </c>
      <c r="E1369" s="52">
        <f t="shared" si="203"/>
        <v>0</v>
      </c>
      <c r="F1369" s="18"/>
      <c r="M1369" s="18"/>
      <c r="N1369" s="18"/>
      <c r="O1369" s="18"/>
      <c r="P1369" s="18"/>
      <c r="Q1369" s="22"/>
      <c r="R1369" s="21"/>
      <c r="S1369" s="21"/>
      <c r="T1369" s="21"/>
      <c r="AA1369"/>
      <c r="AH1369" t="str">
        <f t="shared" si="204"/>
        <v>k yet</v>
      </c>
    </row>
    <row r="1370" spans="1:39">
      <c r="A1370" s="42" t="s">
        <v>270</v>
      </c>
      <c r="B1370" s="1" t="s">
        <v>20</v>
      </c>
      <c r="C1370" s="40" t="str">
        <f t="shared" si="201"/>
        <v>25-&gt;</v>
      </c>
      <c r="D1370" s="40" t="str">
        <f t="shared" si="202"/>
        <v xml:space="preserve">No pick yet                                                 </v>
      </c>
      <c r="E1370" s="52">
        <f t="shared" si="203"/>
        <v>0</v>
      </c>
      <c r="F1370" s="18"/>
      <c r="M1370" s="18"/>
      <c r="N1370" s="18"/>
      <c r="O1370" s="18"/>
      <c r="P1370" s="18"/>
      <c r="Q1370" s="22"/>
      <c r="R1370" s="21"/>
      <c r="S1370" s="21"/>
      <c r="T1370" s="21"/>
      <c r="AA1370"/>
      <c r="AH1370" t="str">
        <f t="shared" si="204"/>
        <v>k yet</v>
      </c>
    </row>
    <row r="1371" spans="1:39">
      <c r="A1371" s="42" t="s">
        <v>271</v>
      </c>
      <c r="B1371" s="1" t="s">
        <v>20</v>
      </c>
      <c r="C1371" s="40" t="str">
        <f t="shared" si="201"/>
        <v>26-&gt;</v>
      </c>
      <c r="D1371" s="40" t="str">
        <f t="shared" si="202"/>
        <v xml:space="preserve">No pick yet                                                 </v>
      </c>
      <c r="E1371" s="52">
        <f t="shared" si="203"/>
        <v>0</v>
      </c>
      <c r="F1371" s="18"/>
      <c r="M1371" s="18"/>
      <c r="N1371" s="18"/>
      <c r="O1371" s="18"/>
      <c r="P1371" s="18"/>
      <c r="Q1371" s="22"/>
      <c r="R1371" s="21"/>
      <c r="S1371" s="21"/>
      <c r="T1371" s="21"/>
      <c r="AA1371"/>
      <c r="AH1371" t="str">
        <f t="shared" si="204"/>
        <v>k yet</v>
      </c>
    </row>
    <row r="1372" spans="1:39">
      <c r="A1372" s="38"/>
      <c r="B1372" s="40"/>
      <c r="C1372" s="40"/>
      <c r="D1372" s="49"/>
      <c r="E1372" s="41" t="s">
        <v>69</v>
      </c>
      <c r="F1372" s="18"/>
      <c r="K1372" s="22" t="s">
        <v>73</v>
      </c>
      <c r="L1372" s="18" t="s">
        <v>74</v>
      </c>
      <c r="M1372" s="22" t="s">
        <v>78</v>
      </c>
      <c r="N1372" s="22" t="s">
        <v>79</v>
      </c>
      <c r="O1372" s="22" t="s">
        <v>80</v>
      </c>
      <c r="P1372" s="22" t="s">
        <v>81</v>
      </c>
      <c r="Q1372" s="22" t="s">
        <v>82</v>
      </c>
      <c r="R1372" s="22" t="s">
        <v>83</v>
      </c>
      <c r="S1372" s="22" t="s">
        <v>84</v>
      </c>
      <c r="T1372" s="18" t="s">
        <v>85</v>
      </c>
      <c r="U1372" s="18" t="s">
        <v>86</v>
      </c>
      <c r="V1372" s="18" t="s">
        <v>87</v>
      </c>
      <c r="W1372" s="18" t="s">
        <v>88</v>
      </c>
      <c r="X1372" s="18" t="s">
        <v>89</v>
      </c>
      <c r="Y1372" s="18" t="s">
        <v>90</v>
      </c>
      <c r="Z1372" s="18" t="s">
        <v>91</v>
      </c>
      <c r="AA1372" s="18" t="s">
        <v>92</v>
      </c>
      <c r="AB1372" s="18" t="s">
        <v>93</v>
      </c>
      <c r="AC1372" s="18" t="s">
        <v>94</v>
      </c>
      <c r="AD1372" s="18" t="s">
        <v>235</v>
      </c>
      <c r="AE1372" s="18" t="s">
        <v>236</v>
      </c>
      <c r="AF1372" s="18" t="s">
        <v>237</v>
      </c>
      <c r="AG1372" s="18" t="s">
        <v>238</v>
      </c>
      <c r="AH1372" s="18" t="s">
        <v>239</v>
      </c>
      <c r="AI1372" s="18" t="s">
        <v>240</v>
      </c>
      <c r="AJ1372" s="18" t="s">
        <v>241</v>
      </c>
      <c r="AK1372" s="18" t="s">
        <v>242</v>
      </c>
      <c r="AL1372" s="18" t="s">
        <v>243</v>
      </c>
      <c r="AM1372" s="50" t="s">
        <v>244</v>
      </c>
    </row>
    <row r="1373" spans="1:39">
      <c r="A1373" s="40" t="s">
        <v>245</v>
      </c>
      <c r="B1373" s="51" t="str">
        <f>D48</f>
        <v/>
      </c>
      <c r="C1373" s="40" t="str">
        <f t="shared" ref="C1373:C1399" si="205">A1373</f>
        <v>#</v>
      </c>
      <c r="D1373" s="40" t="str">
        <f>"   "&amp;B1373&amp;REPT(" ",$AH$70-LEN(B1373)-3)</f>
        <v xml:space="preserve">                                                            </v>
      </c>
      <c r="E1373" s="38" t="str">
        <f>SUM(E1374:E1399)&amp;" pts[/b]"</f>
        <v>0 pts[/b]</v>
      </c>
      <c r="F1373" s="21">
        <f>SUM(E1374:E1399)</f>
        <v>0</v>
      </c>
      <c r="K1373" s="18">
        <f>COUNTIF(E1374:E1399,"&gt;0")</f>
        <v>0</v>
      </c>
      <c r="L1373" s="21">
        <f>AM1373-K1373</f>
        <v>0</v>
      </c>
      <c r="M1373" s="22">
        <f>MAX(E1374:E1399)</f>
        <v>0</v>
      </c>
      <c r="N1373" s="22">
        <f>LARGE(E1374:E1399,2)</f>
        <v>0</v>
      </c>
      <c r="O1373" s="22">
        <f>LARGE(E1374:E1399,3)</f>
        <v>0</v>
      </c>
      <c r="P1373" s="18">
        <f>LARGE(E1374:E1399,4)</f>
        <v>0</v>
      </c>
      <c r="Q1373" s="22">
        <f>LARGE(E1374:E1399,5)</f>
        <v>0</v>
      </c>
      <c r="R1373" s="22">
        <f>LARGE(E1374:E1399,6)</f>
        <v>0</v>
      </c>
      <c r="S1373" s="22">
        <f>LARGE(E1374:E1399,7)</f>
        <v>0</v>
      </c>
      <c r="T1373" s="18">
        <f>LARGE(E1374:E1399,8)</f>
        <v>0</v>
      </c>
      <c r="U1373" s="18">
        <f>LARGE(E1374:E1399,9)</f>
        <v>0</v>
      </c>
      <c r="V1373" s="18">
        <f>LARGE(E1374:E1399,10)</f>
        <v>0</v>
      </c>
      <c r="W1373" s="18">
        <f>LARGE(E1374:E1399,11)</f>
        <v>0</v>
      </c>
      <c r="X1373" s="18">
        <f>LARGE(E1374:E1399,12)</f>
        <v>0</v>
      </c>
      <c r="Y1373" s="18">
        <f>LARGE(E1374:E1399,13)</f>
        <v>0</v>
      </c>
      <c r="Z1373" s="18">
        <f>LARGE(E1374:E1399,14)</f>
        <v>0</v>
      </c>
      <c r="AA1373" s="18">
        <f>LARGE(E1374:E1399,15)</f>
        <v>0</v>
      </c>
      <c r="AB1373" s="18">
        <f>LARGE(E1374:E1399,16)</f>
        <v>0</v>
      </c>
      <c r="AC1373" s="18">
        <f>LARGE(E1374:E1399,17)</f>
        <v>0</v>
      </c>
      <c r="AD1373" s="18">
        <f>LARGE(E1374:E1400,13)</f>
        <v>0</v>
      </c>
      <c r="AE1373" s="18">
        <f>LARGE(E1374:E1399,19)</f>
        <v>0</v>
      </c>
      <c r="AF1373" s="18">
        <f>LARGE(E1374:E1399,20)</f>
        <v>0</v>
      </c>
      <c r="AG1373" s="18">
        <f>LARGE(E1374:E1399,21)</f>
        <v>0</v>
      </c>
      <c r="AH1373" s="18">
        <f>LARGE(E1374:E1399,22)</f>
        <v>0</v>
      </c>
      <c r="AI1373" s="18">
        <f>LARGE(E1374:E1399,23)</f>
        <v>0</v>
      </c>
      <c r="AJ1373" s="18">
        <f>LARGE(E1374:E1399,24)</f>
        <v>0</v>
      </c>
      <c r="AK1373" s="18">
        <f>LARGE(E1374:E1399,25)</f>
        <v>0</v>
      </c>
      <c r="AL1373" s="18">
        <f>LARGE(E1374:E1399,26)</f>
        <v>0</v>
      </c>
      <c r="AM1373" s="50">
        <f>COUNTIF(AH1374:AH1399,"&lt;&gt;"&amp;AH76)-(26-COUNTIF(E1374:E1399,"&gt;=0"))</f>
        <v>0</v>
      </c>
    </row>
    <row r="1374" spans="1:39">
      <c r="A1374" s="42" t="s">
        <v>246</v>
      </c>
      <c r="B1374" s="1" t="s">
        <v>20</v>
      </c>
      <c r="C1374" s="40" t="str">
        <f t="shared" si="205"/>
        <v>01-&gt;</v>
      </c>
      <c r="D1374" s="40" t="str">
        <f t="shared" ref="D1374:D1399" si="206">B1374&amp;REPT(" ",$AH$70-LEN(B1374))</f>
        <v xml:space="preserve">No pick yet                                                 </v>
      </c>
      <c r="E1374" s="52">
        <f t="shared" ref="E1374:E1399" si="207">VLOOKUP(RIGHT(B1374,LEN(B1374)-$AH$66),$H$138:$I$420,2,0)</f>
        <v>0</v>
      </c>
      <c r="F1374" s="18"/>
      <c r="M1374" s="18"/>
      <c r="N1374" s="18"/>
      <c r="O1374" s="18"/>
      <c r="P1374" s="18"/>
      <c r="Q1374" s="22"/>
      <c r="R1374" s="21"/>
      <c r="S1374" s="21"/>
      <c r="T1374" s="21"/>
      <c r="AA1374"/>
      <c r="AH1374" t="str">
        <f t="shared" ref="AH1374:AH1399" si="208">RIGHT(B1374,LEN(B1374)-$AH$66)</f>
        <v>k yet</v>
      </c>
    </row>
    <row r="1375" spans="1:39">
      <c r="A1375" s="42" t="s">
        <v>247</v>
      </c>
      <c r="B1375" s="1" t="s">
        <v>20</v>
      </c>
      <c r="C1375" s="40" t="str">
        <f t="shared" si="205"/>
        <v>02-&gt;</v>
      </c>
      <c r="D1375" s="40" t="str">
        <f t="shared" si="206"/>
        <v xml:space="preserve">No pick yet                                                 </v>
      </c>
      <c r="E1375" s="52">
        <f t="shared" si="207"/>
        <v>0</v>
      </c>
      <c r="F1375" s="18"/>
      <c r="K1375" s="22"/>
      <c r="N1375" s="22"/>
      <c r="O1375" s="22"/>
      <c r="P1375" s="22"/>
      <c r="Q1375" s="22"/>
      <c r="R1375" s="22"/>
      <c r="S1375" s="22"/>
      <c r="Z1375" s="53"/>
      <c r="AA1375"/>
      <c r="AH1375" t="str">
        <f t="shared" si="208"/>
        <v>k yet</v>
      </c>
    </row>
    <row r="1376" spans="1:39">
      <c r="A1376" s="42" t="s">
        <v>248</v>
      </c>
      <c r="B1376" s="1" t="s">
        <v>20</v>
      </c>
      <c r="C1376" s="40" t="str">
        <f t="shared" si="205"/>
        <v>03-&gt;</v>
      </c>
      <c r="D1376" s="40" t="str">
        <f t="shared" si="206"/>
        <v xml:space="preserve">No pick yet                                                 </v>
      </c>
      <c r="E1376" s="52">
        <f t="shared" si="207"/>
        <v>0</v>
      </c>
      <c r="F1376" s="18"/>
      <c r="L1376" s="21"/>
      <c r="N1376" s="22"/>
      <c r="O1376" s="22"/>
      <c r="P1376" s="18"/>
      <c r="Q1376" s="22"/>
      <c r="R1376" s="22"/>
      <c r="S1376" s="22"/>
      <c r="Z1376" s="53"/>
      <c r="AA1376"/>
      <c r="AH1376" t="str">
        <f t="shared" si="208"/>
        <v>k yet</v>
      </c>
    </row>
    <row r="1377" spans="1:34">
      <c r="A1377" s="42" t="s">
        <v>249</v>
      </c>
      <c r="B1377" s="1" t="s">
        <v>20</v>
      </c>
      <c r="C1377" s="40" t="str">
        <f t="shared" si="205"/>
        <v>04-&gt;</v>
      </c>
      <c r="D1377" s="40" t="str">
        <f t="shared" si="206"/>
        <v xml:space="preserve">No pick yet                                                 </v>
      </c>
      <c r="E1377" s="52">
        <f t="shared" si="207"/>
        <v>0</v>
      </c>
      <c r="F1377" s="18"/>
      <c r="M1377" s="18"/>
      <c r="N1377" s="18"/>
      <c r="O1377" s="18"/>
      <c r="P1377" s="18"/>
      <c r="Q1377" s="22"/>
      <c r="R1377" s="21"/>
      <c r="S1377" s="21"/>
      <c r="T1377" s="21"/>
      <c r="AA1377"/>
      <c r="AH1377" t="str">
        <f t="shared" si="208"/>
        <v>k yet</v>
      </c>
    </row>
    <row r="1378" spans="1:34">
      <c r="A1378" s="42" t="s">
        <v>250</v>
      </c>
      <c r="B1378" s="1" t="s">
        <v>20</v>
      </c>
      <c r="C1378" s="40" t="str">
        <f t="shared" si="205"/>
        <v>05-&gt;</v>
      </c>
      <c r="D1378" s="40" t="str">
        <f t="shared" si="206"/>
        <v xml:space="preserve">No pick yet                                                 </v>
      </c>
      <c r="E1378" s="52">
        <f t="shared" si="207"/>
        <v>0</v>
      </c>
      <c r="F1378" s="18"/>
      <c r="M1378" s="18"/>
      <c r="N1378" s="18"/>
      <c r="O1378" s="18"/>
      <c r="P1378" s="18"/>
      <c r="Q1378" s="22"/>
      <c r="R1378" s="21"/>
      <c r="S1378" s="21"/>
      <c r="T1378" s="21"/>
      <c r="AA1378"/>
      <c r="AH1378" t="str">
        <f t="shared" si="208"/>
        <v>k yet</v>
      </c>
    </row>
    <row r="1379" spans="1:34">
      <c r="A1379" s="42" t="s">
        <v>251</v>
      </c>
      <c r="B1379" s="1" t="s">
        <v>20</v>
      </c>
      <c r="C1379" s="40" t="str">
        <f t="shared" si="205"/>
        <v>06-&gt;</v>
      </c>
      <c r="D1379" s="40" t="str">
        <f t="shared" si="206"/>
        <v xml:space="preserve">No pick yet                                                 </v>
      </c>
      <c r="E1379" s="52">
        <f t="shared" si="207"/>
        <v>0</v>
      </c>
      <c r="F1379" s="18"/>
      <c r="M1379" s="18"/>
      <c r="N1379" s="18"/>
      <c r="O1379" s="18"/>
      <c r="P1379" s="18"/>
      <c r="Q1379" s="22"/>
      <c r="R1379" s="21"/>
      <c r="S1379" s="21"/>
      <c r="T1379" s="21"/>
      <c r="AA1379"/>
      <c r="AH1379" t="str">
        <f t="shared" si="208"/>
        <v>k yet</v>
      </c>
    </row>
    <row r="1380" spans="1:34">
      <c r="A1380" s="42" t="s">
        <v>252</v>
      </c>
      <c r="B1380" s="1" t="s">
        <v>20</v>
      </c>
      <c r="C1380" s="40" t="str">
        <f t="shared" si="205"/>
        <v>07-&gt;</v>
      </c>
      <c r="D1380" s="40" t="str">
        <f t="shared" si="206"/>
        <v xml:space="preserve">No pick yet                                                 </v>
      </c>
      <c r="E1380" s="52">
        <f t="shared" si="207"/>
        <v>0</v>
      </c>
      <c r="F1380" s="18"/>
      <c r="M1380" s="18"/>
      <c r="N1380" s="18"/>
      <c r="O1380" s="18"/>
      <c r="P1380" s="18"/>
      <c r="Q1380" s="22"/>
      <c r="R1380" s="21"/>
      <c r="S1380" s="21"/>
      <c r="T1380" s="21"/>
      <c r="AA1380"/>
      <c r="AH1380" t="str">
        <f t="shared" si="208"/>
        <v>k yet</v>
      </c>
    </row>
    <row r="1381" spans="1:34">
      <c r="A1381" s="42" t="s">
        <v>253</v>
      </c>
      <c r="B1381" s="1" t="s">
        <v>20</v>
      </c>
      <c r="C1381" s="40" t="str">
        <f t="shared" si="205"/>
        <v>08-&gt;</v>
      </c>
      <c r="D1381" s="40" t="str">
        <f t="shared" si="206"/>
        <v xml:space="preserve">No pick yet                                                 </v>
      </c>
      <c r="E1381" s="52">
        <f t="shared" si="207"/>
        <v>0</v>
      </c>
      <c r="F1381" s="18"/>
      <c r="M1381" s="18"/>
      <c r="N1381" s="18"/>
      <c r="O1381" s="18"/>
      <c r="P1381" s="18"/>
      <c r="Q1381" s="22"/>
      <c r="R1381" s="21"/>
      <c r="S1381" s="21"/>
      <c r="T1381" s="21"/>
      <c r="AA1381"/>
      <c r="AH1381" t="str">
        <f t="shared" si="208"/>
        <v>k yet</v>
      </c>
    </row>
    <row r="1382" spans="1:34">
      <c r="A1382" s="42" t="s">
        <v>254</v>
      </c>
      <c r="B1382" s="1" t="s">
        <v>20</v>
      </c>
      <c r="C1382" s="40" t="str">
        <f t="shared" si="205"/>
        <v>09-&gt;</v>
      </c>
      <c r="D1382" s="40" t="str">
        <f t="shared" si="206"/>
        <v xml:space="preserve">No pick yet                                                 </v>
      </c>
      <c r="E1382" s="52">
        <f t="shared" si="207"/>
        <v>0</v>
      </c>
      <c r="F1382" s="18"/>
      <c r="M1382" s="18"/>
      <c r="N1382" s="18"/>
      <c r="O1382" s="18"/>
      <c r="P1382" s="18"/>
      <c r="Q1382" s="22"/>
      <c r="R1382" s="21"/>
      <c r="S1382" s="21"/>
      <c r="T1382" s="21"/>
      <c r="AA1382"/>
      <c r="AH1382" t="str">
        <f t="shared" si="208"/>
        <v>k yet</v>
      </c>
    </row>
    <row r="1383" spans="1:34">
      <c r="A1383" s="42" t="s">
        <v>255</v>
      </c>
      <c r="B1383" s="1" t="s">
        <v>20</v>
      </c>
      <c r="C1383" s="40" t="str">
        <f t="shared" si="205"/>
        <v>10-&gt;</v>
      </c>
      <c r="D1383" s="40" t="str">
        <f t="shared" si="206"/>
        <v xml:space="preserve">No pick yet                                                 </v>
      </c>
      <c r="E1383" s="52">
        <f t="shared" si="207"/>
        <v>0</v>
      </c>
      <c r="F1383" s="22"/>
      <c r="M1383" s="18"/>
      <c r="N1383" s="18"/>
      <c r="O1383" s="18"/>
      <c r="P1383" s="18"/>
      <c r="Q1383" s="22"/>
      <c r="R1383" s="21"/>
      <c r="S1383" s="21"/>
      <c r="T1383" s="21"/>
      <c r="AA1383"/>
      <c r="AH1383" t="str">
        <f t="shared" si="208"/>
        <v>k yet</v>
      </c>
    </row>
    <row r="1384" spans="1:34">
      <c r="A1384" s="42" t="s">
        <v>256</v>
      </c>
      <c r="B1384" s="1" t="s">
        <v>20</v>
      </c>
      <c r="C1384" s="40" t="str">
        <f t="shared" si="205"/>
        <v>11-&gt;</v>
      </c>
      <c r="D1384" s="40" t="str">
        <f t="shared" si="206"/>
        <v xml:space="preserve">No pick yet                                                 </v>
      </c>
      <c r="E1384" s="52">
        <f t="shared" si="207"/>
        <v>0</v>
      </c>
      <c r="M1384" s="18"/>
      <c r="N1384" s="18"/>
      <c r="O1384" s="18"/>
      <c r="P1384" s="18"/>
      <c r="Q1384" s="22"/>
      <c r="R1384" s="21"/>
      <c r="S1384" s="21"/>
      <c r="T1384" s="21"/>
      <c r="AA1384"/>
      <c r="AH1384" t="str">
        <f t="shared" si="208"/>
        <v>k yet</v>
      </c>
    </row>
    <row r="1385" spans="1:34">
      <c r="A1385" s="42" t="s">
        <v>257</v>
      </c>
      <c r="B1385" s="1" t="s">
        <v>20</v>
      </c>
      <c r="C1385" s="40" t="str">
        <f t="shared" si="205"/>
        <v>12-&gt;</v>
      </c>
      <c r="D1385" s="40" t="str">
        <f t="shared" si="206"/>
        <v xml:space="preserve">No pick yet                                                 </v>
      </c>
      <c r="E1385" s="52">
        <f t="shared" si="207"/>
        <v>0</v>
      </c>
      <c r="M1385" s="18"/>
      <c r="N1385" s="18"/>
      <c r="O1385" s="18"/>
      <c r="P1385" s="18"/>
      <c r="Q1385" s="22"/>
      <c r="R1385" s="21"/>
      <c r="S1385" s="21"/>
      <c r="T1385" s="21"/>
      <c r="AA1385"/>
      <c r="AH1385" t="str">
        <f t="shared" si="208"/>
        <v>k yet</v>
      </c>
    </row>
    <row r="1386" spans="1:34">
      <c r="A1386" s="42" t="s">
        <v>258</v>
      </c>
      <c r="B1386" s="1" t="s">
        <v>20</v>
      </c>
      <c r="C1386" s="40" t="str">
        <f t="shared" si="205"/>
        <v>13-&gt;</v>
      </c>
      <c r="D1386" s="40" t="str">
        <f t="shared" si="206"/>
        <v xml:space="preserve">No pick yet                                                 </v>
      </c>
      <c r="E1386" s="52">
        <f t="shared" si="207"/>
        <v>0</v>
      </c>
      <c r="M1386" s="18"/>
      <c r="N1386" s="18"/>
      <c r="O1386" s="18"/>
      <c r="P1386" s="18"/>
      <c r="Q1386" s="22"/>
      <c r="R1386" s="21"/>
      <c r="S1386" s="21"/>
      <c r="T1386" s="21"/>
      <c r="AA1386"/>
      <c r="AH1386" t="str">
        <f t="shared" si="208"/>
        <v>k yet</v>
      </c>
    </row>
    <row r="1387" spans="1:34">
      <c r="A1387" s="42" t="s">
        <v>259</v>
      </c>
      <c r="B1387" s="1" t="s">
        <v>20</v>
      </c>
      <c r="C1387" s="40" t="str">
        <f t="shared" si="205"/>
        <v>14-&gt;</v>
      </c>
      <c r="D1387" s="40" t="str">
        <f t="shared" si="206"/>
        <v xml:space="preserve">No pick yet                                                 </v>
      </c>
      <c r="E1387" s="52">
        <f t="shared" si="207"/>
        <v>0</v>
      </c>
      <c r="M1387" s="18"/>
      <c r="N1387" s="18"/>
      <c r="O1387" s="18"/>
      <c r="P1387" s="18"/>
      <c r="Q1387" s="22"/>
      <c r="R1387" s="21"/>
      <c r="S1387" s="21"/>
      <c r="T1387" s="21"/>
      <c r="AA1387"/>
      <c r="AH1387" t="str">
        <f t="shared" si="208"/>
        <v>k yet</v>
      </c>
    </row>
    <row r="1388" spans="1:34">
      <c r="A1388" s="42" t="s">
        <v>260</v>
      </c>
      <c r="B1388" s="1" t="s">
        <v>20</v>
      </c>
      <c r="C1388" s="40" t="str">
        <f t="shared" si="205"/>
        <v>15-&gt;</v>
      </c>
      <c r="D1388" s="40" t="str">
        <f t="shared" si="206"/>
        <v xml:space="preserve">No pick yet                                                 </v>
      </c>
      <c r="E1388" s="52">
        <f t="shared" si="207"/>
        <v>0</v>
      </c>
      <c r="M1388" s="18"/>
      <c r="N1388" s="18"/>
      <c r="O1388" s="18"/>
      <c r="P1388" s="18"/>
      <c r="Q1388" s="22"/>
      <c r="R1388" s="21"/>
      <c r="S1388" s="21"/>
      <c r="T1388" s="21"/>
      <c r="AA1388"/>
      <c r="AH1388" t="str">
        <f t="shared" si="208"/>
        <v>k yet</v>
      </c>
    </row>
    <row r="1389" spans="1:34">
      <c r="A1389" s="42" t="s">
        <v>261</v>
      </c>
      <c r="B1389" s="1" t="s">
        <v>20</v>
      </c>
      <c r="C1389" s="40" t="str">
        <f t="shared" si="205"/>
        <v>16-&gt;</v>
      </c>
      <c r="D1389" s="40" t="str">
        <f t="shared" si="206"/>
        <v xml:space="preserve">No pick yet                                                 </v>
      </c>
      <c r="E1389" s="52">
        <f t="shared" si="207"/>
        <v>0</v>
      </c>
      <c r="M1389" s="18"/>
      <c r="N1389" s="18"/>
      <c r="O1389" s="18"/>
      <c r="P1389" s="18"/>
      <c r="Q1389" s="22"/>
      <c r="R1389" s="21"/>
      <c r="S1389" s="21"/>
      <c r="T1389" s="21"/>
      <c r="AA1389"/>
      <c r="AH1389" t="str">
        <f t="shared" si="208"/>
        <v>k yet</v>
      </c>
    </row>
    <row r="1390" spans="1:34">
      <c r="A1390" s="42" t="s">
        <v>262</v>
      </c>
      <c r="B1390" s="1" t="s">
        <v>20</v>
      </c>
      <c r="C1390" s="40" t="str">
        <f t="shared" si="205"/>
        <v>17-&gt;</v>
      </c>
      <c r="D1390" s="40" t="str">
        <f t="shared" si="206"/>
        <v xml:space="preserve">No pick yet                                                 </v>
      </c>
      <c r="E1390" s="52">
        <f t="shared" si="207"/>
        <v>0</v>
      </c>
      <c r="K1390" s="22"/>
      <c r="N1390" s="22"/>
      <c r="O1390" s="22"/>
      <c r="P1390" s="22"/>
      <c r="Q1390" s="22"/>
      <c r="R1390" s="22"/>
      <c r="S1390" s="22"/>
      <c r="Z1390" s="53"/>
      <c r="AA1390"/>
      <c r="AH1390" t="str">
        <f t="shared" si="208"/>
        <v>k yet</v>
      </c>
    </row>
    <row r="1391" spans="1:34">
      <c r="A1391" s="42" t="s">
        <v>263</v>
      </c>
      <c r="B1391" s="1" t="s">
        <v>20</v>
      </c>
      <c r="C1391" s="40" t="str">
        <f t="shared" si="205"/>
        <v>18-&gt;</v>
      </c>
      <c r="D1391" s="40" t="str">
        <f t="shared" si="206"/>
        <v xml:space="preserve">No pick yet                                                 </v>
      </c>
      <c r="E1391" s="52">
        <f t="shared" si="207"/>
        <v>0</v>
      </c>
      <c r="F1391" s="18"/>
      <c r="L1391" s="21"/>
      <c r="N1391" s="22"/>
      <c r="O1391" s="22"/>
      <c r="P1391" s="18"/>
      <c r="Q1391" s="22"/>
      <c r="R1391" s="22"/>
      <c r="S1391" s="22"/>
      <c r="Z1391" s="53"/>
      <c r="AA1391"/>
      <c r="AH1391" t="str">
        <f t="shared" si="208"/>
        <v>k yet</v>
      </c>
    </row>
    <row r="1392" spans="1:34">
      <c r="A1392" s="42" t="s">
        <v>264</v>
      </c>
      <c r="B1392" s="1" t="s">
        <v>20</v>
      </c>
      <c r="C1392" s="40" t="str">
        <f t="shared" si="205"/>
        <v>19-&gt;</v>
      </c>
      <c r="D1392" s="40" t="str">
        <f t="shared" si="206"/>
        <v xml:space="preserve">No pick yet                                                 </v>
      </c>
      <c r="E1392" s="52">
        <f t="shared" si="207"/>
        <v>0</v>
      </c>
      <c r="F1392" s="18"/>
      <c r="M1392" s="18"/>
      <c r="N1392" s="18"/>
      <c r="O1392" s="18"/>
      <c r="P1392" s="18"/>
      <c r="Q1392" s="22"/>
      <c r="R1392" s="21"/>
      <c r="S1392" s="21"/>
      <c r="T1392" s="21"/>
      <c r="AA1392"/>
      <c r="AH1392" t="str">
        <f t="shared" si="208"/>
        <v>k yet</v>
      </c>
    </row>
    <row r="1393" spans="1:39">
      <c r="A1393" s="42" t="s">
        <v>265</v>
      </c>
      <c r="B1393" s="1" t="s">
        <v>20</v>
      </c>
      <c r="C1393" s="40" t="str">
        <f t="shared" si="205"/>
        <v>20-&gt;</v>
      </c>
      <c r="D1393" s="40" t="str">
        <f t="shared" si="206"/>
        <v xml:space="preserve">No pick yet                                                 </v>
      </c>
      <c r="E1393" s="52">
        <f t="shared" si="207"/>
        <v>0</v>
      </c>
      <c r="F1393" s="18"/>
      <c r="M1393" s="18"/>
      <c r="N1393" s="18"/>
      <c r="O1393" s="18"/>
      <c r="P1393" s="18"/>
      <c r="Q1393" s="22"/>
      <c r="R1393" s="21"/>
      <c r="S1393" s="21"/>
      <c r="T1393" s="21"/>
      <c r="AA1393"/>
      <c r="AH1393" t="str">
        <f t="shared" si="208"/>
        <v>k yet</v>
      </c>
    </row>
    <row r="1394" spans="1:39">
      <c r="A1394" s="42" t="s">
        <v>266</v>
      </c>
      <c r="B1394" s="1" t="s">
        <v>20</v>
      </c>
      <c r="C1394" s="40" t="str">
        <f t="shared" si="205"/>
        <v>21-&gt;</v>
      </c>
      <c r="D1394" s="40" t="str">
        <f t="shared" si="206"/>
        <v xml:space="preserve">No pick yet                                                 </v>
      </c>
      <c r="E1394" s="52">
        <f t="shared" si="207"/>
        <v>0</v>
      </c>
      <c r="F1394" s="18"/>
      <c r="M1394" s="18"/>
      <c r="N1394" s="18"/>
      <c r="O1394" s="18"/>
      <c r="P1394" s="18"/>
      <c r="Q1394" s="22"/>
      <c r="R1394" s="21"/>
      <c r="S1394" s="21"/>
      <c r="T1394" s="21"/>
      <c r="AA1394"/>
      <c r="AH1394" t="str">
        <f t="shared" si="208"/>
        <v>k yet</v>
      </c>
    </row>
    <row r="1395" spans="1:39">
      <c r="A1395" s="42" t="s">
        <v>267</v>
      </c>
      <c r="B1395" s="1" t="s">
        <v>20</v>
      </c>
      <c r="C1395" s="40" t="str">
        <f t="shared" si="205"/>
        <v>22-&gt;</v>
      </c>
      <c r="D1395" s="40" t="str">
        <f t="shared" si="206"/>
        <v xml:space="preserve">No pick yet                                                 </v>
      </c>
      <c r="E1395" s="52">
        <f t="shared" si="207"/>
        <v>0</v>
      </c>
      <c r="F1395" s="18"/>
      <c r="M1395" s="18"/>
      <c r="N1395" s="18"/>
      <c r="O1395" s="18"/>
      <c r="P1395" s="18"/>
      <c r="Q1395" s="22"/>
      <c r="R1395" s="21"/>
      <c r="S1395" s="21"/>
      <c r="T1395" s="21"/>
      <c r="AA1395"/>
      <c r="AH1395" t="str">
        <f t="shared" si="208"/>
        <v>k yet</v>
      </c>
    </row>
    <row r="1396" spans="1:39">
      <c r="A1396" s="42" t="s">
        <v>268</v>
      </c>
      <c r="B1396" s="1" t="s">
        <v>20</v>
      </c>
      <c r="C1396" s="40" t="str">
        <f t="shared" si="205"/>
        <v>23-&gt;</v>
      </c>
      <c r="D1396" s="40" t="str">
        <f t="shared" si="206"/>
        <v xml:space="preserve">No pick yet                                                 </v>
      </c>
      <c r="E1396" s="52">
        <f t="shared" si="207"/>
        <v>0</v>
      </c>
      <c r="F1396" s="18"/>
      <c r="M1396" s="18"/>
      <c r="N1396" s="18"/>
      <c r="O1396" s="18"/>
      <c r="P1396" s="18"/>
      <c r="Q1396" s="22"/>
      <c r="R1396" s="21"/>
      <c r="S1396" s="21"/>
      <c r="T1396" s="21"/>
      <c r="AA1396"/>
      <c r="AH1396" t="str">
        <f t="shared" si="208"/>
        <v>k yet</v>
      </c>
    </row>
    <row r="1397" spans="1:39">
      <c r="A1397" s="42" t="s">
        <v>269</v>
      </c>
      <c r="B1397" s="1" t="s">
        <v>20</v>
      </c>
      <c r="C1397" s="40" t="str">
        <f t="shared" si="205"/>
        <v>24-&gt;</v>
      </c>
      <c r="D1397" s="40" t="str">
        <f t="shared" si="206"/>
        <v xml:space="preserve">No pick yet                                                 </v>
      </c>
      <c r="E1397" s="52">
        <f t="shared" si="207"/>
        <v>0</v>
      </c>
      <c r="F1397" s="18"/>
      <c r="M1397" s="18"/>
      <c r="N1397" s="18"/>
      <c r="O1397" s="18"/>
      <c r="P1397" s="18"/>
      <c r="Q1397" s="22"/>
      <c r="R1397" s="21"/>
      <c r="S1397" s="21"/>
      <c r="T1397" s="21"/>
      <c r="AA1397"/>
      <c r="AH1397" t="str">
        <f t="shared" si="208"/>
        <v>k yet</v>
      </c>
    </row>
    <row r="1398" spans="1:39">
      <c r="A1398" s="42" t="s">
        <v>270</v>
      </c>
      <c r="B1398" s="1" t="s">
        <v>20</v>
      </c>
      <c r="C1398" s="40" t="str">
        <f t="shared" si="205"/>
        <v>25-&gt;</v>
      </c>
      <c r="D1398" s="40" t="str">
        <f t="shared" si="206"/>
        <v xml:space="preserve">No pick yet                                                 </v>
      </c>
      <c r="E1398" s="52">
        <f t="shared" si="207"/>
        <v>0</v>
      </c>
      <c r="F1398" s="18"/>
      <c r="M1398" s="18"/>
      <c r="N1398" s="18"/>
      <c r="O1398" s="18"/>
      <c r="P1398" s="18"/>
      <c r="Q1398" s="22"/>
      <c r="R1398" s="21"/>
      <c r="S1398" s="21"/>
      <c r="T1398" s="21"/>
      <c r="AA1398"/>
      <c r="AH1398" t="str">
        <f t="shared" si="208"/>
        <v>k yet</v>
      </c>
    </row>
    <row r="1399" spans="1:39">
      <c r="A1399" s="42" t="s">
        <v>271</v>
      </c>
      <c r="B1399" s="1" t="s">
        <v>20</v>
      </c>
      <c r="C1399" s="40" t="str">
        <f t="shared" si="205"/>
        <v>26-&gt;</v>
      </c>
      <c r="D1399" s="40" t="str">
        <f t="shared" si="206"/>
        <v xml:space="preserve">No pick yet                                                 </v>
      </c>
      <c r="E1399" s="52">
        <f t="shared" si="207"/>
        <v>0</v>
      </c>
      <c r="F1399" s="18"/>
      <c r="M1399" s="18"/>
      <c r="N1399" s="18"/>
      <c r="O1399" s="18"/>
      <c r="P1399" s="18"/>
      <c r="Q1399" s="22"/>
      <c r="R1399" s="21"/>
      <c r="S1399" s="21"/>
      <c r="T1399" s="21"/>
      <c r="AA1399"/>
      <c r="AH1399" t="str">
        <f t="shared" si="208"/>
        <v>k yet</v>
      </c>
    </row>
    <row r="1400" spans="1:39">
      <c r="A1400" s="38"/>
      <c r="B1400" s="40"/>
      <c r="C1400" s="40"/>
      <c r="D1400" s="49"/>
      <c r="E1400" s="41" t="s">
        <v>69</v>
      </c>
      <c r="F1400" s="18"/>
      <c r="K1400" s="22" t="s">
        <v>73</v>
      </c>
      <c r="L1400" s="18" t="s">
        <v>74</v>
      </c>
      <c r="M1400" s="22" t="s">
        <v>78</v>
      </c>
      <c r="N1400" s="22" t="s">
        <v>79</v>
      </c>
      <c r="O1400" s="22" t="s">
        <v>80</v>
      </c>
      <c r="P1400" s="22" t="s">
        <v>81</v>
      </c>
      <c r="Q1400" s="22" t="s">
        <v>82</v>
      </c>
      <c r="R1400" s="22" t="s">
        <v>83</v>
      </c>
      <c r="S1400" s="22" t="s">
        <v>84</v>
      </c>
      <c r="T1400" s="18" t="s">
        <v>85</v>
      </c>
      <c r="U1400" s="18" t="s">
        <v>86</v>
      </c>
      <c r="V1400" s="18" t="s">
        <v>87</v>
      </c>
      <c r="W1400" s="18" t="s">
        <v>88</v>
      </c>
      <c r="X1400" s="18" t="s">
        <v>89</v>
      </c>
      <c r="Y1400" s="18" t="s">
        <v>90</v>
      </c>
      <c r="Z1400" s="18" t="s">
        <v>91</v>
      </c>
      <c r="AA1400" s="18" t="s">
        <v>92</v>
      </c>
      <c r="AB1400" s="18" t="s">
        <v>93</v>
      </c>
      <c r="AC1400" s="18" t="s">
        <v>94</v>
      </c>
      <c r="AD1400" s="18" t="s">
        <v>235</v>
      </c>
      <c r="AE1400" s="18" t="s">
        <v>236</v>
      </c>
      <c r="AF1400" s="18" t="s">
        <v>237</v>
      </c>
      <c r="AG1400" s="18" t="s">
        <v>238</v>
      </c>
      <c r="AH1400" s="18" t="s">
        <v>239</v>
      </c>
      <c r="AI1400" s="18" t="s">
        <v>240</v>
      </c>
      <c r="AJ1400" s="18" t="s">
        <v>241</v>
      </c>
      <c r="AK1400" s="18" t="s">
        <v>242</v>
      </c>
      <c r="AL1400" s="18" t="s">
        <v>243</v>
      </c>
      <c r="AM1400" s="50" t="s">
        <v>244</v>
      </c>
    </row>
    <row r="1401" spans="1:39">
      <c r="A1401" s="40" t="s">
        <v>245</v>
      </c>
      <c r="B1401" s="51" t="str">
        <f>D49</f>
        <v/>
      </c>
      <c r="C1401" s="40" t="str">
        <f t="shared" ref="C1401:C1427" si="209">A1401</f>
        <v>#</v>
      </c>
      <c r="D1401" s="40" t="str">
        <f>"   "&amp;B1401&amp;REPT(" ",$AH$70-LEN(B1401)-3)</f>
        <v xml:space="preserve">                                                            </v>
      </c>
      <c r="E1401" s="38" t="str">
        <f>SUM(E1402:E1427)&amp;" pts[/b]"</f>
        <v>0 pts[/b]</v>
      </c>
      <c r="F1401" s="21">
        <f>SUM(E1402:E1427)</f>
        <v>0</v>
      </c>
      <c r="K1401" s="18">
        <f>COUNTIF(E1402:E1427,"&gt;0")</f>
        <v>0</v>
      </c>
      <c r="L1401" s="21">
        <f>AM1401-K1401</f>
        <v>0</v>
      </c>
      <c r="M1401" s="22">
        <f>MAX(E1402:E1427)</f>
        <v>0</v>
      </c>
      <c r="N1401" s="22">
        <f>LARGE(E1402:E1427,2)</f>
        <v>0</v>
      </c>
      <c r="O1401" s="22">
        <f>LARGE(E1402:E1427,3)</f>
        <v>0</v>
      </c>
      <c r="P1401" s="18">
        <f>LARGE(E1402:E1427,4)</f>
        <v>0</v>
      </c>
      <c r="Q1401" s="22">
        <f>LARGE(E1402:E1427,5)</f>
        <v>0</v>
      </c>
      <c r="R1401" s="22">
        <f>LARGE(E1402:E1427,6)</f>
        <v>0</v>
      </c>
      <c r="S1401" s="22">
        <f>LARGE(E1402:E1427,7)</f>
        <v>0</v>
      </c>
      <c r="T1401" s="18">
        <f>LARGE(E1402:E1427,8)</f>
        <v>0</v>
      </c>
      <c r="U1401" s="18">
        <f>LARGE(E1402:E1427,9)</f>
        <v>0</v>
      </c>
      <c r="V1401" s="18">
        <f>LARGE(E1402:E1427,10)</f>
        <v>0</v>
      </c>
      <c r="W1401" s="18">
        <f>LARGE(E1402:E1427,11)</f>
        <v>0</v>
      </c>
      <c r="X1401" s="18">
        <f>LARGE(E1402:E1427,12)</f>
        <v>0</v>
      </c>
      <c r="Y1401" s="18">
        <f>LARGE(E1402:E1427,13)</f>
        <v>0</v>
      </c>
      <c r="Z1401" s="18">
        <f>LARGE(E1402:E1427,14)</f>
        <v>0</v>
      </c>
      <c r="AA1401" s="18">
        <f>LARGE(E1402:E1427,15)</f>
        <v>0</v>
      </c>
      <c r="AB1401" s="18">
        <f>LARGE(E1402:E1427,16)</f>
        <v>0</v>
      </c>
      <c r="AC1401" s="18">
        <f>LARGE(E1402:E1427,17)</f>
        <v>0</v>
      </c>
      <c r="AD1401" s="18">
        <f>LARGE(E1402:E1428,13)</f>
        <v>0</v>
      </c>
      <c r="AE1401" s="18">
        <f>LARGE(E1402:E1427,19)</f>
        <v>0</v>
      </c>
      <c r="AF1401" s="18">
        <f>LARGE(E1402:E1427,20)</f>
        <v>0</v>
      </c>
      <c r="AG1401" s="18">
        <f>LARGE(E1402:E1427,21)</f>
        <v>0</v>
      </c>
      <c r="AH1401" s="18">
        <f>LARGE(E1402:E1427,22)</f>
        <v>0</v>
      </c>
      <c r="AI1401" s="18">
        <f>LARGE(E1402:E1427,23)</f>
        <v>0</v>
      </c>
      <c r="AJ1401" s="18">
        <f>LARGE(E1402:E1427,24)</f>
        <v>0</v>
      </c>
      <c r="AK1401" s="18">
        <f>LARGE(E1402:E1427,25)</f>
        <v>0</v>
      </c>
      <c r="AL1401" s="18">
        <f>LARGE(E1402:E1427,26)</f>
        <v>0</v>
      </c>
      <c r="AM1401" s="50">
        <f>COUNTIF(AH1402:AH1427,"&lt;&gt;"&amp;AH76)-(26-COUNTIF(E1402:E1427,"&gt;=0"))</f>
        <v>0</v>
      </c>
    </row>
    <row r="1402" spans="1:39">
      <c r="A1402" s="42" t="s">
        <v>246</v>
      </c>
      <c r="B1402" s="1" t="s">
        <v>20</v>
      </c>
      <c r="C1402" s="40" t="str">
        <f t="shared" si="209"/>
        <v>01-&gt;</v>
      </c>
      <c r="D1402" s="40" t="str">
        <f>B1402&amp;REPT(" ",$AH$70-LEN(B1402))</f>
        <v xml:space="preserve">No pick yet                                                 </v>
      </c>
      <c r="E1402" s="52">
        <f t="shared" ref="E1402:E1427" si="210">VLOOKUP(RIGHT(B1402,LEN(B1402)-$AH$66),$H$138:$I$420,2,0)</f>
        <v>0</v>
      </c>
      <c r="F1402" s="18"/>
      <c r="M1402" s="18"/>
      <c r="N1402" s="18"/>
      <c r="O1402" s="18"/>
      <c r="P1402" s="18"/>
      <c r="Q1402" s="22"/>
      <c r="R1402" s="21"/>
      <c r="S1402" s="21"/>
      <c r="T1402" s="21"/>
      <c r="AA1402"/>
      <c r="AH1402" t="str">
        <f t="shared" ref="AH1402:AH1427" si="211">RIGHT(B1402,LEN(B1402)-$AH$66)</f>
        <v>k yet</v>
      </c>
    </row>
    <row r="1403" spans="1:39">
      <c r="A1403" s="42" t="s">
        <v>247</v>
      </c>
      <c r="B1403" s="1" t="s">
        <v>20</v>
      </c>
      <c r="C1403" s="40" t="str">
        <f t="shared" si="209"/>
        <v>02-&gt;</v>
      </c>
      <c r="D1403" s="40" t="str">
        <f t="shared" ref="D1403:D1427" si="212">B1403&amp;REPT(" ",$AH$70-LEN(B1403))</f>
        <v xml:space="preserve">No pick yet                                                 </v>
      </c>
      <c r="E1403" s="52">
        <f t="shared" si="210"/>
        <v>0</v>
      </c>
      <c r="F1403" s="18"/>
      <c r="K1403" s="22"/>
      <c r="N1403" s="22"/>
      <c r="O1403" s="22"/>
      <c r="P1403" s="22"/>
      <c r="Q1403" s="22"/>
      <c r="R1403" s="22"/>
      <c r="S1403" s="22"/>
      <c r="Z1403" s="53"/>
      <c r="AA1403"/>
      <c r="AH1403" t="str">
        <f t="shared" si="211"/>
        <v>k yet</v>
      </c>
    </row>
    <row r="1404" spans="1:39">
      <c r="A1404" s="42" t="s">
        <v>248</v>
      </c>
      <c r="B1404" s="1" t="s">
        <v>20</v>
      </c>
      <c r="C1404" s="40" t="str">
        <f t="shared" si="209"/>
        <v>03-&gt;</v>
      </c>
      <c r="D1404" s="40" t="str">
        <f t="shared" si="212"/>
        <v xml:space="preserve">No pick yet                                                 </v>
      </c>
      <c r="E1404" s="52">
        <f t="shared" si="210"/>
        <v>0</v>
      </c>
      <c r="F1404" s="18"/>
      <c r="L1404" s="21"/>
      <c r="N1404" s="22"/>
      <c r="O1404" s="22"/>
      <c r="P1404" s="18"/>
      <c r="Q1404" s="22"/>
      <c r="R1404" s="22"/>
      <c r="S1404" s="22"/>
      <c r="Z1404" s="53"/>
      <c r="AA1404"/>
      <c r="AH1404" t="str">
        <f t="shared" si="211"/>
        <v>k yet</v>
      </c>
    </row>
    <row r="1405" spans="1:39">
      <c r="A1405" s="42" t="s">
        <v>249</v>
      </c>
      <c r="B1405" s="1" t="s">
        <v>20</v>
      </c>
      <c r="C1405" s="40" t="str">
        <f t="shared" si="209"/>
        <v>04-&gt;</v>
      </c>
      <c r="D1405" s="40" t="str">
        <f t="shared" si="212"/>
        <v xml:space="preserve">No pick yet                                                 </v>
      </c>
      <c r="E1405" s="52">
        <f t="shared" si="210"/>
        <v>0</v>
      </c>
      <c r="F1405" s="18"/>
      <c r="M1405" s="18"/>
      <c r="N1405" s="18"/>
      <c r="O1405" s="18"/>
      <c r="P1405" s="18"/>
      <c r="Q1405" s="22"/>
      <c r="R1405" s="21"/>
      <c r="S1405" s="21"/>
      <c r="T1405" s="21"/>
      <c r="AA1405"/>
      <c r="AH1405" t="str">
        <f t="shared" si="211"/>
        <v>k yet</v>
      </c>
    </row>
    <row r="1406" spans="1:39">
      <c r="A1406" s="42" t="s">
        <v>250</v>
      </c>
      <c r="B1406" s="1" t="s">
        <v>20</v>
      </c>
      <c r="C1406" s="40" t="str">
        <f t="shared" si="209"/>
        <v>05-&gt;</v>
      </c>
      <c r="D1406" s="40" t="str">
        <f t="shared" si="212"/>
        <v xml:space="preserve">No pick yet                                                 </v>
      </c>
      <c r="E1406" s="52">
        <f t="shared" si="210"/>
        <v>0</v>
      </c>
      <c r="F1406" s="18"/>
      <c r="M1406" s="18"/>
      <c r="N1406" s="18"/>
      <c r="O1406" s="18"/>
      <c r="P1406" s="18"/>
      <c r="Q1406" s="22"/>
      <c r="R1406" s="21"/>
      <c r="S1406" s="21"/>
      <c r="T1406" s="21"/>
      <c r="AA1406"/>
      <c r="AH1406" t="str">
        <f t="shared" si="211"/>
        <v>k yet</v>
      </c>
    </row>
    <row r="1407" spans="1:39">
      <c r="A1407" s="42" t="s">
        <v>251</v>
      </c>
      <c r="B1407" s="1" t="s">
        <v>20</v>
      </c>
      <c r="C1407" s="40" t="str">
        <f t="shared" si="209"/>
        <v>06-&gt;</v>
      </c>
      <c r="D1407" s="40" t="str">
        <f t="shared" si="212"/>
        <v xml:space="preserve">No pick yet                                                 </v>
      </c>
      <c r="E1407" s="52">
        <f t="shared" si="210"/>
        <v>0</v>
      </c>
      <c r="F1407" s="18"/>
      <c r="M1407" s="18"/>
      <c r="N1407" s="18"/>
      <c r="O1407" s="18"/>
      <c r="P1407" s="18"/>
      <c r="Q1407" s="22"/>
      <c r="R1407" s="21"/>
      <c r="S1407" s="21"/>
      <c r="T1407" s="21"/>
      <c r="AA1407"/>
      <c r="AH1407" t="str">
        <f t="shared" si="211"/>
        <v>k yet</v>
      </c>
    </row>
    <row r="1408" spans="1:39">
      <c r="A1408" s="42" t="s">
        <v>252</v>
      </c>
      <c r="B1408" s="1" t="s">
        <v>20</v>
      </c>
      <c r="C1408" s="40" t="str">
        <f t="shared" si="209"/>
        <v>07-&gt;</v>
      </c>
      <c r="D1408" s="40" t="str">
        <f t="shared" si="212"/>
        <v xml:space="preserve">No pick yet                                                 </v>
      </c>
      <c r="E1408" s="52">
        <f t="shared" si="210"/>
        <v>0</v>
      </c>
      <c r="F1408" s="18"/>
      <c r="M1408" s="18"/>
      <c r="N1408" s="18"/>
      <c r="O1408" s="18"/>
      <c r="P1408" s="18"/>
      <c r="Q1408" s="22"/>
      <c r="R1408" s="21"/>
      <c r="S1408" s="21"/>
      <c r="T1408" s="21"/>
      <c r="AA1408"/>
      <c r="AH1408" t="str">
        <f t="shared" si="211"/>
        <v>k yet</v>
      </c>
    </row>
    <row r="1409" spans="1:34">
      <c r="A1409" s="42" t="s">
        <v>253</v>
      </c>
      <c r="B1409" s="1" t="s">
        <v>20</v>
      </c>
      <c r="C1409" s="40" t="str">
        <f t="shared" si="209"/>
        <v>08-&gt;</v>
      </c>
      <c r="D1409" s="40" t="str">
        <f t="shared" si="212"/>
        <v xml:space="preserve">No pick yet                                                 </v>
      </c>
      <c r="E1409" s="52">
        <f t="shared" si="210"/>
        <v>0</v>
      </c>
      <c r="F1409" s="18"/>
      <c r="M1409" s="18"/>
      <c r="N1409" s="18"/>
      <c r="O1409" s="18"/>
      <c r="P1409" s="18"/>
      <c r="Q1409" s="22"/>
      <c r="R1409" s="21"/>
      <c r="S1409" s="21"/>
      <c r="T1409" s="21"/>
      <c r="AA1409"/>
      <c r="AH1409" t="str">
        <f t="shared" si="211"/>
        <v>k yet</v>
      </c>
    </row>
    <row r="1410" spans="1:34">
      <c r="A1410" s="42" t="s">
        <v>254</v>
      </c>
      <c r="B1410" s="1" t="s">
        <v>20</v>
      </c>
      <c r="C1410" s="40" t="str">
        <f t="shared" si="209"/>
        <v>09-&gt;</v>
      </c>
      <c r="D1410" s="40" t="str">
        <f t="shared" si="212"/>
        <v xml:space="preserve">No pick yet                                                 </v>
      </c>
      <c r="E1410" s="52">
        <f t="shared" si="210"/>
        <v>0</v>
      </c>
      <c r="F1410" s="18"/>
      <c r="M1410" s="18"/>
      <c r="N1410" s="18"/>
      <c r="O1410" s="18"/>
      <c r="P1410" s="18"/>
      <c r="Q1410" s="22"/>
      <c r="R1410" s="21"/>
      <c r="S1410" s="21"/>
      <c r="T1410" s="21"/>
      <c r="AA1410"/>
      <c r="AH1410" t="str">
        <f t="shared" si="211"/>
        <v>k yet</v>
      </c>
    </row>
    <row r="1411" spans="1:34">
      <c r="A1411" s="42" t="s">
        <v>255</v>
      </c>
      <c r="B1411" s="1" t="s">
        <v>20</v>
      </c>
      <c r="C1411" s="40" t="str">
        <f t="shared" si="209"/>
        <v>10-&gt;</v>
      </c>
      <c r="D1411" s="40" t="str">
        <f t="shared" si="212"/>
        <v xml:space="preserve">No pick yet                                                 </v>
      </c>
      <c r="E1411" s="52">
        <f t="shared" si="210"/>
        <v>0</v>
      </c>
      <c r="F1411" s="22"/>
      <c r="M1411" s="18"/>
      <c r="N1411" s="18"/>
      <c r="O1411" s="18"/>
      <c r="P1411" s="18"/>
      <c r="Q1411" s="22"/>
      <c r="R1411" s="21"/>
      <c r="S1411" s="21"/>
      <c r="T1411" s="21"/>
      <c r="AA1411"/>
      <c r="AH1411" t="str">
        <f t="shared" si="211"/>
        <v>k yet</v>
      </c>
    </row>
    <row r="1412" spans="1:34">
      <c r="A1412" s="42" t="s">
        <v>256</v>
      </c>
      <c r="B1412" s="1" t="s">
        <v>20</v>
      </c>
      <c r="C1412" s="40" t="str">
        <f t="shared" si="209"/>
        <v>11-&gt;</v>
      </c>
      <c r="D1412" s="40" t="str">
        <f t="shared" si="212"/>
        <v xml:space="preserve">No pick yet                                                 </v>
      </c>
      <c r="E1412" s="52">
        <f t="shared" si="210"/>
        <v>0</v>
      </c>
      <c r="M1412" s="18"/>
      <c r="N1412" s="18"/>
      <c r="O1412" s="18"/>
      <c r="P1412" s="18"/>
      <c r="Q1412" s="22"/>
      <c r="R1412" s="21"/>
      <c r="S1412" s="21"/>
      <c r="T1412" s="21"/>
      <c r="AA1412"/>
      <c r="AH1412" t="str">
        <f t="shared" si="211"/>
        <v>k yet</v>
      </c>
    </row>
    <row r="1413" spans="1:34">
      <c r="A1413" s="42" t="s">
        <v>257</v>
      </c>
      <c r="B1413" s="1" t="s">
        <v>20</v>
      </c>
      <c r="C1413" s="40" t="str">
        <f t="shared" si="209"/>
        <v>12-&gt;</v>
      </c>
      <c r="D1413" s="40" t="str">
        <f t="shared" si="212"/>
        <v xml:space="preserve">No pick yet                                                 </v>
      </c>
      <c r="E1413" s="52">
        <f t="shared" si="210"/>
        <v>0</v>
      </c>
      <c r="M1413" s="18"/>
      <c r="N1413" s="18"/>
      <c r="O1413" s="18"/>
      <c r="P1413" s="18"/>
      <c r="Q1413" s="22"/>
      <c r="R1413" s="21"/>
      <c r="S1413" s="21"/>
      <c r="T1413" s="21"/>
      <c r="AA1413"/>
      <c r="AH1413" t="str">
        <f t="shared" si="211"/>
        <v>k yet</v>
      </c>
    </row>
    <row r="1414" spans="1:34">
      <c r="A1414" s="42" t="s">
        <v>258</v>
      </c>
      <c r="B1414" s="1" t="s">
        <v>20</v>
      </c>
      <c r="C1414" s="40" t="str">
        <f t="shared" si="209"/>
        <v>13-&gt;</v>
      </c>
      <c r="D1414" s="40" t="str">
        <f t="shared" si="212"/>
        <v xml:space="preserve">No pick yet                                                 </v>
      </c>
      <c r="E1414" s="52">
        <f t="shared" si="210"/>
        <v>0</v>
      </c>
      <c r="M1414" s="18"/>
      <c r="N1414" s="18"/>
      <c r="O1414" s="18"/>
      <c r="P1414" s="18"/>
      <c r="Q1414" s="22"/>
      <c r="R1414" s="21"/>
      <c r="S1414" s="21"/>
      <c r="T1414" s="21"/>
      <c r="AA1414"/>
      <c r="AH1414" t="str">
        <f t="shared" si="211"/>
        <v>k yet</v>
      </c>
    </row>
    <row r="1415" spans="1:34">
      <c r="A1415" s="42" t="s">
        <v>259</v>
      </c>
      <c r="B1415" s="1" t="s">
        <v>20</v>
      </c>
      <c r="C1415" s="40" t="str">
        <f t="shared" si="209"/>
        <v>14-&gt;</v>
      </c>
      <c r="D1415" s="40" t="str">
        <f t="shared" si="212"/>
        <v xml:space="preserve">No pick yet                                                 </v>
      </c>
      <c r="E1415" s="52">
        <f t="shared" si="210"/>
        <v>0</v>
      </c>
      <c r="M1415" s="18"/>
      <c r="N1415" s="18"/>
      <c r="O1415" s="18"/>
      <c r="P1415" s="18"/>
      <c r="Q1415" s="22"/>
      <c r="R1415" s="21"/>
      <c r="S1415" s="21"/>
      <c r="T1415" s="21"/>
      <c r="AA1415"/>
      <c r="AH1415" t="str">
        <f t="shared" si="211"/>
        <v>k yet</v>
      </c>
    </row>
    <row r="1416" spans="1:34">
      <c r="A1416" s="42" t="s">
        <v>260</v>
      </c>
      <c r="B1416" s="1" t="s">
        <v>20</v>
      </c>
      <c r="C1416" s="40" t="str">
        <f t="shared" si="209"/>
        <v>15-&gt;</v>
      </c>
      <c r="D1416" s="40" t="str">
        <f t="shared" si="212"/>
        <v xml:space="preserve">No pick yet                                                 </v>
      </c>
      <c r="E1416" s="52">
        <f t="shared" si="210"/>
        <v>0</v>
      </c>
      <c r="M1416" s="18"/>
      <c r="N1416" s="18"/>
      <c r="O1416" s="18"/>
      <c r="P1416" s="18"/>
      <c r="Q1416" s="22"/>
      <c r="R1416" s="21"/>
      <c r="S1416" s="21"/>
      <c r="T1416" s="21"/>
      <c r="AA1416"/>
      <c r="AH1416" t="str">
        <f t="shared" si="211"/>
        <v>k yet</v>
      </c>
    </row>
    <row r="1417" spans="1:34">
      <c r="A1417" s="42" t="s">
        <v>261</v>
      </c>
      <c r="B1417" s="1" t="s">
        <v>20</v>
      </c>
      <c r="C1417" s="40" t="str">
        <f t="shared" si="209"/>
        <v>16-&gt;</v>
      </c>
      <c r="D1417" s="40" t="str">
        <f t="shared" si="212"/>
        <v xml:space="preserve">No pick yet                                                 </v>
      </c>
      <c r="E1417" s="52">
        <f t="shared" si="210"/>
        <v>0</v>
      </c>
      <c r="M1417" s="18"/>
      <c r="N1417" s="18"/>
      <c r="O1417" s="18"/>
      <c r="P1417" s="18"/>
      <c r="Q1417" s="22"/>
      <c r="R1417" s="21"/>
      <c r="S1417" s="21"/>
      <c r="T1417" s="21"/>
      <c r="AA1417"/>
      <c r="AH1417" t="str">
        <f t="shared" si="211"/>
        <v>k yet</v>
      </c>
    </row>
    <row r="1418" spans="1:34">
      <c r="A1418" s="42" t="s">
        <v>262</v>
      </c>
      <c r="B1418" s="1" t="s">
        <v>20</v>
      </c>
      <c r="C1418" s="40" t="str">
        <f t="shared" si="209"/>
        <v>17-&gt;</v>
      </c>
      <c r="D1418" s="40" t="str">
        <f t="shared" si="212"/>
        <v xml:space="preserve">No pick yet                                                 </v>
      </c>
      <c r="E1418" s="52">
        <f t="shared" si="210"/>
        <v>0</v>
      </c>
      <c r="K1418" s="22"/>
      <c r="N1418" s="22"/>
      <c r="O1418" s="22"/>
      <c r="P1418" s="22"/>
      <c r="Q1418" s="22"/>
      <c r="R1418" s="22"/>
      <c r="S1418" s="22"/>
      <c r="Z1418" s="53"/>
      <c r="AA1418"/>
      <c r="AH1418" t="str">
        <f t="shared" si="211"/>
        <v>k yet</v>
      </c>
    </row>
    <row r="1419" spans="1:34">
      <c r="A1419" s="42" t="s">
        <v>263</v>
      </c>
      <c r="B1419" s="1" t="s">
        <v>20</v>
      </c>
      <c r="C1419" s="40" t="str">
        <f t="shared" si="209"/>
        <v>18-&gt;</v>
      </c>
      <c r="D1419" s="40" t="str">
        <f t="shared" si="212"/>
        <v xml:space="preserve">No pick yet                                                 </v>
      </c>
      <c r="E1419" s="52">
        <f t="shared" si="210"/>
        <v>0</v>
      </c>
      <c r="F1419" s="18"/>
      <c r="L1419" s="21"/>
      <c r="N1419" s="22"/>
      <c r="O1419" s="22"/>
      <c r="P1419" s="18"/>
      <c r="Q1419" s="22"/>
      <c r="R1419" s="22"/>
      <c r="S1419" s="22"/>
      <c r="Z1419" s="53"/>
      <c r="AA1419"/>
      <c r="AH1419" t="str">
        <f t="shared" si="211"/>
        <v>k yet</v>
      </c>
    </row>
    <row r="1420" spans="1:34">
      <c r="A1420" s="42" t="s">
        <v>264</v>
      </c>
      <c r="B1420" s="1" t="s">
        <v>20</v>
      </c>
      <c r="C1420" s="40" t="str">
        <f t="shared" si="209"/>
        <v>19-&gt;</v>
      </c>
      <c r="D1420" s="40" t="str">
        <f t="shared" si="212"/>
        <v xml:space="preserve">No pick yet                                                 </v>
      </c>
      <c r="E1420" s="52">
        <f t="shared" si="210"/>
        <v>0</v>
      </c>
      <c r="F1420" s="18"/>
      <c r="M1420" s="18"/>
      <c r="N1420" s="18"/>
      <c r="O1420" s="18"/>
      <c r="P1420" s="18"/>
      <c r="Q1420" s="22"/>
      <c r="R1420" s="21"/>
      <c r="S1420" s="21"/>
      <c r="T1420" s="21"/>
      <c r="AA1420"/>
      <c r="AH1420" t="str">
        <f t="shared" si="211"/>
        <v>k yet</v>
      </c>
    </row>
    <row r="1421" spans="1:34">
      <c r="A1421" s="42" t="s">
        <v>265</v>
      </c>
      <c r="B1421" s="1" t="s">
        <v>20</v>
      </c>
      <c r="C1421" s="40" t="str">
        <f t="shared" si="209"/>
        <v>20-&gt;</v>
      </c>
      <c r="D1421" s="40" t="str">
        <f t="shared" si="212"/>
        <v xml:space="preserve">No pick yet                                                 </v>
      </c>
      <c r="E1421" s="52">
        <f t="shared" si="210"/>
        <v>0</v>
      </c>
      <c r="F1421" s="18"/>
      <c r="M1421" s="18"/>
      <c r="N1421" s="18"/>
      <c r="O1421" s="18"/>
      <c r="P1421" s="18"/>
      <c r="Q1421" s="22"/>
      <c r="R1421" s="21"/>
      <c r="S1421" s="21"/>
      <c r="T1421" s="21"/>
      <c r="AA1421"/>
      <c r="AH1421" t="str">
        <f t="shared" si="211"/>
        <v>k yet</v>
      </c>
    </row>
    <row r="1422" spans="1:34">
      <c r="A1422" s="42" t="s">
        <v>266</v>
      </c>
      <c r="B1422" s="1" t="s">
        <v>20</v>
      </c>
      <c r="C1422" s="40" t="str">
        <f t="shared" si="209"/>
        <v>21-&gt;</v>
      </c>
      <c r="D1422" s="40" t="str">
        <f t="shared" si="212"/>
        <v xml:space="preserve">No pick yet                                                 </v>
      </c>
      <c r="E1422" s="52">
        <f t="shared" si="210"/>
        <v>0</v>
      </c>
      <c r="F1422" s="18"/>
      <c r="M1422" s="18"/>
      <c r="N1422" s="18"/>
      <c r="O1422" s="18"/>
      <c r="P1422" s="18"/>
      <c r="Q1422" s="22"/>
      <c r="R1422" s="21"/>
      <c r="S1422" s="21"/>
      <c r="T1422" s="21"/>
      <c r="AA1422"/>
      <c r="AH1422" t="str">
        <f t="shared" si="211"/>
        <v>k yet</v>
      </c>
    </row>
    <row r="1423" spans="1:34">
      <c r="A1423" s="42" t="s">
        <v>267</v>
      </c>
      <c r="B1423" s="1" t="s">
        <v>20</v>
      </c>
      <c r="C1423" s="40" t="str">
        <f t="shared" si="209"/>
        <v>22-&gt;</v>
      </c>
      <c r="D1423" s="40" t="str">
        <f t="shared" si="212"/>
        <v xml:space="preserve">No pick yet                                                 </v>
      </c>
      <c r="E1423" s="52">
        <f t="shared" si="210"/>
        <v>0</v>
      </c>
      <c r="F1423" s="18"/>
      <c r="M1423" s="18"/>
      <c r="N1423" s="18"/>
      <c r="O1423" s="18"/>
      <c r="P1423" s="18"/>
      <c r="Q1423" s="22"/>
      <c r="R1423" s="21"/>
      <c r="S1423" s="21"/>
      <c r="T1423" s="21"/>
      <c r="AA1423"/>
      <c r="AH1423" t="str">
        <f t="shared" si="211"/>
        <v>k yet</v>
      </c>
    </row>
    <row r="1424" spans="1:34">
      <c r="A1424" s="42" t="s">
        <v>268</v>
      </c>
      <c r="B1424" s="1" t="s">
        <v>20</v>
      </c>
      <c r="C1424" s="40" t="str">
        <f t="shared" si="209"/>
        <v>23-&gt;</v>
      </c>
      <c r="D1424" s="40" t="str">
        <f t="shared" si="212"/>
        <v xml:space="preserve">No pick yet                                                 </v>
      </c>
      <c r="E1424" s="52">
        <f t="shared" si="210"/>
        <v>0</v>
      </c>
      <c r="F1424" s="18"/>
      <c r="M1424" s="18"/>
      <c r="N1424" s="18"/>
      <c r="O1424" s="18"/>
      <c r="P1424" s="18"/>
      <c r="Q1424" s="22"/>
      <c r="R1424" s="21"/>
      <c r="S1424" s="21"/>
      <c r="T1424" s="21"/>
      <c r="AA1424"/>
      <c r="AH1424" t="str">
        <f t="shared" si="211"/>
        <v>k yet</v>
      </c>
    </row>
    <row r="1425" spans="1:39">
      <c r="A1425" s="42" t="s">
        <v>269</v>
      </c>
      <c r="B1425" s="1" t="s">
        <v>20</v>
      </c>
      <c r="C1425" s="40" t="str">
        <f t="shared" si="209"/>
        <v>24-&gt;</v>
      </c>
      <c r="D1425" s="40" t="str">
        <f t="shared" si="212"/>
        <v xml:space="preserve">No pick yet                                                 </v>
      </c>
      <c r="E1425" s="52">
        <f t="shared" si="210"/>
        <v>0</v>
      </c>
      <c r="F1425" s="18"/>
      <c r="M1425" s="18"/>
      <c r="N1425" s="18"/>
      <c r="O1425" s="18"/>
      <c r="P1425" s="18"/>
      <c r="Q1425" s="22"/>
      <c r="R1425" s="21"/>
      <c r="S1425" s="21"/>
      <c r="T1425" s="21"/>
      <c r="AA1425"/>
      <c r="AH1425" t="str">
        <f t="shared" si="211"/>
        <v>k yet</v>
      </c>
    </row>
    <row r="1426" spans="1:39">
      <c r="A1426" s="42" t="s">
        <v>270</v>
      </c>
      <c r="B1426" s="1" t="s">
        <v>20</v>
      </c>
      <c r="C1426" s="40" t="str">
        <f t="shared" si="209"/>
        <v>25-&gt;</v>
      </c>
      <c r="D1426" s="40" t="str">
        <f t="shared" si="212"/>
        <v xml:space="preserve">No pick yet                                                 </v>
      </c>
      <c r="E1426" s="52">
        <f t="shared" si="210"/>
        <v>0</v>
      </c>
      <c r="F1426" s="18"/>
      <c r="M1426" s="18"/>
      <c r="N1426" s="18"/>
      <c r="O1426" s="18"/>
      <c r="P1426" s="18"/>
      <c r="Q1426" s="22"/>
      <c r="R1426" s="21"/>
      <c r="S1426" s="21"/>
      <c r="T1426" s="21"/>
      <c r="AA1426"/>
      <c r="AH1426" t="str">
        <f t="shared" si="211"/>
        <v>k yet</v>
      </c>
    </row>
    <row r="1427" spans="1:39">
      <c r="A1427" s="42" t="s">
        <v>271</v>
      </c>
      <c r="B1427" s="1" t="s">
        <v>20</v>
      </c>
      <c r="C1427" s="40" t="str">
        <f t="shared" si="209"/>
        <v>26-&gt;</v>
      </c>
      <c r="D1427" s="40" t="str">
        <f t="shared" si="212"/>
        <v xml:space="preserve">No pick yet                                                 </v>
      </c>
      <c r="E1427" s="52">
        <f t="shared" si="210"/>
        <v>0</v>
      </c>
      <c r="F1427" s="18"/>
      <c r="M1427" s="18"/>
      <c r="N1427" s="18"/>
      <c r="O1427" s="18"/>
      <c r="P1427" s="18"/>
      <c r="Q1427" s="22"/>
      <c r="R1427" s="21"/>
      <c r="S1427" s="21"/>
      <c r="T1427" s="21"/>
      <c r="AA1427"/>
      <c r="AH1427" t="str">
        <f t="shared" si="211"/>
        <v>k yet</v>
      </c>
    </row>
    <row r="1428" spans="1:39">
      <c r="A1428" s="38"/>
      <c r="B1428" s="40"/>
      <c r="C1428" s="40"/>
      <c r="D1428" s="49"/>
      <c r="E1428" s="41" t="s">
        <v>69</v>
      </c>
      <c r="F1428" s="18"/>
      <c r="K1428" s="22" t="s">
        <v>73</v>
      </c>
      <c r="L1428" s="18" t="s">
        <v>74</v>
      </c>
      <c r="M1428" s="22" t="s">
        <v>78</v>
      </c>
      <c r="N1428" s="22" t="s">
        <v>79</v>
      </c>
      <c r="O1428" s="22" t="s">
        <v>80</v>
      </c>
      <c r="P1428" s="22" t="s">
        <v>81</v>
      </c>
      <c r="Q1428" s="22" t="s">
        <v>82</v>
      </c>
      <c r="R1428" s="22" t="s">
        <v>83</v>
      </c>
      <c r="S1428" s="22" t="s">
        <v>84</v>
      </c>
      <c r="T1428" s="18" t="s">
        <v>85</v>
      </c>
      <c r="U1428" s="18" t="s">
        <v>86</v>
      </c>
      <c r="V1428" s="18" t="s">
        <v>87</v>
      </c>
      <c r="W1428" s="18" t="s">
        <v>88</v>
      </c>
      <c r="X1428" s="18" t="s">
        <v>89</v>
      </c>
      <c r="Y1428" s="18" t="s">
        <v>90</v>
      </c>
      <c r="Z1428" s="18" t="s">
        <v>91</v>
      </c>
      <c r="AA1428" s="18" t="s">
        <v>92</v>
      </c>
      <c r="AB1428" s="18" t="s">
        <v>93</v>
      </c>
      <c r="AC1428" s="18" t="s">
        <v>94</v>
      </c>
      <c r="AD1428" s="18" t="s">
        <v>235</v>
      </c>
      <c r="AE1428" s="18" t="s">
        <v>236</v>
      </c>
      <c r="AF1428" s="18" t="s">
        <v>237</v>
      </c>
      <c r="AG1428" s="18" t="s">
        <v>238</v>
      </c>
      <c r="AH1428" s="18" t="s">
        <v>239</v>
      </c>
      <c r="AI1428" s="18" t="s">
        <v>240</v>
      </c>
      <c r="AJ1428" s="18" t="s">
        <v>241</v>
      </c>
      <c r="AK1428" s="18" t="s">
        <v>242</v>
      </c>
      <c r="AL1428" s="18" t="s">
        <v>243</v>
      </c>
      <c r="AM1428" s="50" t="s">
        <v>244</v>
      </c>
    </row>
    <row r="1429" spans="1:39">
      <c r="A1429" s="40" t="s">
        <v>245</v>
      </c>
      <c r="B1429" s="51" t="str">
        <f>D50</f>
        <v/>
      </c>
      <c r="C1429" s="40" t="str">
        <f t="shared" ref="C1429:C1455" si="213">A1429</f>
        <v>#</v>
      </c>
      <c r="D1429" s="40" t="str">
        <f>"   "&amp;B1429&amp;REPT(" ",$AH$70-LEN(B1429)-3)</f>
        <v xml:space="preserve">                                                            </v>
      </c>
      <c r="E1429" s="38" t="str">
        <f>SUM(E1430:E1455)&amp;" pts[/b]"</f>
        <v>0 pts[/b]</v>
      </c>
      <c r="F1429" s="21">
        <f>SUM(E1430:E1455)</f>
        <v>0</v>
      </c>
      <c r="K1429" s="18">
        <f>COUNTIF(E1430:E1455,"&gt;0")</f>
        <v>0</v>
      </c>
      <c r="L1429" s="21">
        <f>AM1429-K1429</f>
        <v>0</v>
      </c>
      <c r="M1429" s="22">
        <f>MAX(E1430:E1455)</f>
        <v>0</v>
      </c>
      <c r="N1429" s="22">
        <f>LARGE(E1430:E1455,2)</f>
        <v>0</v>
      </c>
      <c r="O1429" s="22">
        <f>LARGE(E1430:E1455,3)</f>
        <v>0</v>
      </c>
      <c r="P1429" s="18">
        <f>LARGE(E1430:E1455,4)</f>
        <v>0</v>
      </c>
      <c r="Q1429" s="22">
        <f>LARGE(E1430:E1455,5)</f>
        <v>0</v>
      </c>
      <c r="R1429" s="22">
        <f>LARGE(E1430:E1455,6)</f>
        <v>0</v>
      </c>
      <c r="S1429" s="22">
        <f>LARGE(E1430:E1455,7)</f>
        <v>0</v>
      </c>
      <c r="T1429" s="18">
        <f>LARGE(E1430:E1455,8)</f>
        <v>0</v>
      </c>
      <c r="U1429" s="18">
        <f>LARGE(E1430:E1455,9)</f>
        <v>0</v>
      </c>
      <c r="V1429" s="18">
        <f>LARGE(E1430:E1455,10)</f>
        <v>0</v>
      </c>
      <c r="W1429" s="18">
        <f>LARGE(E1430:E1455,11)</f>
        <v>0</v>
      </c>
      <c r="X1429" s="18">
        <f>LARGE(E1430:E1455,12)</f>
        <v>0</v>
      </c>
      <c r="Y1429" s="18">
        <f>LARGE(E1430:E1455,13)</f>
        <v>0</v>
      </c>
      <c r="Z1429" s="18">
        <f>LARGE(E1430:E1455,14)</f>
        <v>0</v>
      </c>
      <c r="AA1429" s="18">
        <f>LARGE(E1430:E1455,15)</f>
        <v>0</v>
      </c>
      <c r="AB1429" s="18">
        <f>LARGE(E1430:E1455,16)</f>
        <v>0</v>
      </c>
      <c r="AC1429" s="18">
        <f>LARGE(E1430:E1455,17)</f>
        <v>0</v>
      </c>
      <c r="AD1429" s="18">
        <f>LARGE(E1430:E1456,13)</f>
        <v>0</v>
      </c>
      <c r="AE1429" s="18">
        <f>LARGE(E1430:E1455,19)</f>
        <v>0</v>
      </c>
      <c r="AF1429" s="18">
        <f>LARGE(E1430:E1455,20)</f>
        <v>0</v>
      </c>
      <c r="AG1429" s="18">
        <f>LARGE(E1430:E1455,21)</f>
        <v>0</v>
      </c>
      <c r="AH1429" s="18">
        <f>LARGE(E1430:E1455,22)</f>
        <v>0</v>
      </c>
      <c r="AI1429" s="18">
        <f>LARGE(E1430:E1455,23)</f>
        <v>0</v>
      </c>
      <c r="AJ1429" s="18">
        <f>LARGE(E1430:E1455,24)</f>
        <v>0</v>
      </c>
      <c r="AK1429" s="18">
        <f>LARGE(E1430:E1455,25)</f>
        <v>0</v>
      </c>
      <c r="AL1429" s="18">
        <f>LARGE(E1430:E1455,26)</f>
        <v>0</v>
      </c>
      <c r="AM1429" s="50">
        <f>COUNTIF(AH1430:AH1455,"&lt;&gt;"&amp;AH76)-(26-COUNTIF(E1430:E1455,"&gt;=0"))</f>
        <v>0</v>
      </c>
    </row>
    <row r="1430" spans="1:39">
      <c r="A1430" s="42" t="s">
        <v>246</v>
      </c>
      <c r="B1430" s="1" t="s">
        <v>20</v>
      </c>
      <c r="C1430" s="40" t="str">
        <f t="shared" si="213"/>
        <v>01-&gt;</v>
      </c>
      <c r="D1430" s="40" t="str">
        <f t="shared" ref="D1430:D1455" si="214">B1430&amp;REPT(" ",$AH$70-LEN(B1430))</f>
        <v xml:space="preserve">No pick yet                                                 </v>
      </c>
      <c r="E1430" s="52">
        <f t="shared" ref="E1430:E1455" si="215">VLOOKUP(RIGHT(B1430,LEN(B1430)-$AH$66),$H$138:$I$420,2,0)</f>
        <v>0</v>
      </c>
      <c r="F1430" s="18"/>
      <c r="M1430" s="18"/>
      <c r="N1430" s="18"/>
      <c r="O1430" s="18"/>
      <c r="P1430" s="18"/>
      <c r="Q1430" s="22"/>
      <c r="R1430" s="21"/>
      <c r="S1430" s="21"/>
      <c r="T1430" s="21"/>
      <c r="AA1430"/>
      <c r="AH1430" t="str">
        <f t="shared" ref="AH1430:AH1455" si="216">RIGHT(B1430,LEN(B1430)-$AH$66)</f>
        <v>k yet</v>
      </c>
    </row>
    <row r="1431" spans="1:39">
      <c r="A1431" s="42" t="s">
        <v>247</v>
      </c>
      <c r="B1431" s="1" t="s">
        <v>20</v>
      </c>
      <c r="C1431" s="40" t="str">
        <f t="shared" si="213"/>
        <v>02-&gt;</v>
      </c>
      <c r="D1431" s="40" t="str">
        <f t="shared" si="214"/>
        <v xml:space="preserve">No pick yet                                                 </v>
      </c>
      <c r="E1431" s="52">
        <f t="shared" si="215"/>
        <v>0</v>
      </c>
      <c r="F1431" s="18"/>
      <c r="K1431" s="22"/>
      <c r="N1431" s="22"/>
      <c r="O1431" s="22"/>
      <c r="P1431" s="22"/>
      <c r="Q1431" s="22"/>
      <c r="R1431" s="22"/>
      <c r="S1431" s="22"/>
      <c r="Z1431" s="53"/>
      <c r="AA1431"/>
      <c r="AH1431" t="str">
        <f t="shared" si="216"/>
        <v>k yet</v>
      </c>
    </row>
    <row r="1432" spans="1:39">
      <c r="A1432" s="42" t="s">
        <v>248</v>
      </c>
      <c r="B1432" s="1" t="s">
        <v>20</v>
      </c>
      <c r="C1432" s="40" t="str">
        <f t="shared" si="213"/>
        <v>03-&gt;</v>
      </c>
      <c r="D1432" s="40" t="str">
        <f t="shared" si="214"/>
        <v xml:space="preserve">No pick yet                                                 </v>
      </c>
      <c r="E1432" s="52">
        <f t="shared" si="215"/>
        <v>0</v>
      </c>
      <c r="F1432" s="18"/>
      <c r="L1432" s="21"/>
      <c r="N1432" s="22"/>
      <c r="O1432" s="22"/>
      <c r="P1432" s="18"/>
      <c r="Q1432" s="22"/>
      <c r="R1432" s="22"/>
      <c r="S1432" s="22"/>
      <c r="Z1432" s="53"/>
      <c r="AA1432"/>
      <c r="AH1432" t="str">
        <f t="shared" si="216"/>
        <v>k yet</v>
      </c>
    </row>
    <row r="1433" spans="1:39">
      <c r="A1433" s="42" t="s">
        <v>249</v>
      </c>
      <c r="B1433" s="1" t="s">
        <v>20</v>
      </c>
      <c r="C1433" s="40" t="str">
        <f t="shared" si="213"/>
        <v>04-&gt;</v>
      </c>
      <c r="D1433" s="40" t="str">
        <f t="shared" si="214"/>
        <v xml:space="preserve">No pick yet                                                 </v>
      </c>
      <c r="E1433" s="52">
        <f t="shared" si="215"/>
        <v>0</v>
      </c>
      <c r="F1433" s="18"/>
      <c r="M1433" s="18"/>
      <c r="N1433" s="18"/>
      <c r="O1433" s="18"/>
      <c r="P1433" s="18"/>
      <c r="Q1433" s="22"/>
      <c r="R1433" s="21"/>
      <c r="S1433" s="21"/>
      <c r="T1433" s="21"/>
      <c r="AA1433"/>
      <c r="AH1433" t="str">
        <f t="shared" si="216"/>
        <v>k yet</v>
      </c>
    </row>
    <row r="1434" spans="1:39">
      <c r="A1434" s="42" t="s">
        <v>250</v>
      </c>
      <c r="B1434" s="1" t="s">
        <v>20</v>
      </c>
      <c r="C1434" s="40" t="str">
        <f t="shared" si="213"/>
        <v>05-&gt;</v>
      </c>
      <c r="D1434" s="40" t="str">
        <f t="shared" si="214"/>
        <v xml:space="preserve">No pick yet                                                 </v>
      </c>
      <c r="E1434" s="52">
        <f t="shared" si="215"/>
        <v>0</v>
      </c>
      <c r="F1434" s="18"/>
      <c r="M1434" s="18"/>
      <c r="N1434" s="18"/>
      <c r="O1434" s="18"/>
      <c r="P1434" s="18"/>
      <c r="Q1434" s="22"/>
      <c r="R1434" s="21"/>
      <c r="S1434" s="21"/>
      <c r="T1434" s="21"/>
      <c r="AA1434"/>
      <c r="AH1434" t="str">
        <f t="shared" si="216"/>
        <v>k yet</v>
      </c>
    </row>
    <row r="1435" spans="1:39">
      <c r="A1435" s="42" t="s">
        <v>251</v>
      </c>
      <c r="B1435" s="1" t="s">
        <v>20</v>
      </c>
      <c r="C1435" s="40" t="str">
        <f t="shared" si="213"/>
        <v>06-&gt;</v>
      </c>
      <c r="D1435" s="40" t="str">
        <f t="shared" si="214"/>
        <v xml:space="preserve">No pick yet                                                 </v>
      </c>
      <c r="E1435" s="52">
        <f t="shared" si="215"/>
        <v>0</v>
      </c>
      <c r="F1435" s="18"/>
      <c r="M1435" s="18"/>
      <c r="N1435" s="18"/>
      <c r="O1435" s="18"/>
      <c r="P1435" s="18"/>
      <c r="Q1435" s="22"/>
      <c r="R1435" s="21"/>
      <c r="S1435" s="21"/>
      <c r="T1435" s="21"/>
      <c r="AA1435"/>
      <c r="AH1435" t="str">
        <f t="shared" si="216"/>
        <v>k yet</v>
      </c>
    </row>
    <row r="1436" spans="1:39">
      <c r="A1436" s="42" t="s">
        <v>252</v>
      </c>
      <c r="B1436" s="1" t="s">
        <v>20</v>
      </c>
      <c r="C1436" s="40" t="str">
        <f t="shared" si="213"/>
        <v>07-&gt;</v>
      </c>
      <c r="D1436" s="40" t="str">
        <f t="shared" si="214"/>
        <v xml:space="preserve">No pick yet                                                 </v>
      </c>
      <c r="E1436" s="52">
        <f t="shared" si="215"/>
        <v>0</v>
      </c>
      <c r="F1436" s="18"/>
      <c r="M1436" s="18"/>
      <c r="N1436" s="18"/>
      <c r="O1436" s="18"/>
      <c r="P1436" s="18"/>
      <c r="Q1436" s="22"/>
      <c r="R1436" s="21"/>
      <c r="S1436" s="21"/>
      <c r="T1436" s="21"/>
      <c r="AA1436"/>
      <c r="AH1436" t="str">
        <f t="shared" si="216"/>
        <v>k yet</v>
      </c>
    </row>
    <row r="1437" spans="1:39">
      <c r="A1437" s="42" t="s">
        <v>253</v>
      </c>
      <c r="B1437" s="1" t="s">
        <v>20</v>
      </c>
      <c r="C1437" s="40" t="str">
        <f t="shared" si="213"/>
        <v>08-&gt;</v>
      </c>
      <c r="D1437" s="40" t="str">
        <f t="shared" si="214"/>
        <v xml:space="preserve">No pick yet                                                 </v>
      </c>
      <c r="E1437" s="52">
        <f t="shared" si="215"/>
        <v>0</v>
      </c>
      <c r="F1437" s="18"/>
      <c r="M1437" s="18"/>
      <c r="N1437" s="18"/>
      <c r="O1437" s="18"/>
      <c r="P1437" s="18"/>
      <c r="Q1437" s="22"/>
      <c r="R1437" s="21"/>
      <c r="S1437" s="21"/>
      <c r="T1437" s="21"/>
      <c r="AA1437"/>
      <c r="AH1437" t="str">
        <f t="shared" si="216"/>
        <v>k yet</v>
      </c>
    </row>
    <row r="1438" spans="1:39">
      <c r="A1438" s="42" t="s">
        <v>254</v>
      </c>
      <c r="B1438" s="1" t="s">
        <v>20</v>
      </c>
      <c r="C1438" s="40" t="str">
        <f t="shared" si="213"/>
        <v>09-&gt;</v>
      </c>
      <c r="D1438" s="40" t="str">
        <f t="shared" si="214"/>
        <v xml:space="preserve">No pick yet                                                 </v>
      </c>
      <c r="E1438" s="52">
        <f t="shared" si="215"/>
        <v>0</v>
      </c>
      <c r="F1438" s="18"/>
      <c r="M1438" s="18"/>
      <c r="N1438" s="18"/>
      <c r="O1438" s="18"/>
      <c r="P1438" s="18"/>
      <c r="Q1438" s="22"/>
      <c r="R1438" s="21"/>
      <c r="S1438" s="21"/>
      <c r="T1438" s="21"/>
      <c r="AA1438"/>
      <c r="AH1438" t="str">
        <f t="shared" si="216"/>
        <v>k yet</v>
      </c>
    </row>
    <row r="1439" spans="1:39">
      <c r="A1439" s="42" t="s">
        <v>255</v>
      </c>
      <c r="B1439" s="1" t="s">
        <v>20</v>
      </c>
      <c r="C1439" s="40" t="str">
        <f t="shared" si="213"/>
        <v>10-&gt;</v>
      </c>
      <c r="D1439" s="40" t="str">
        <f t="shared" si="214"/>
        <v xml:space="preserve">No pick yet                                                 </v>
      </c>
      <c r="E1439" s="52">
        <f t="shared" si="215"/>
        <v>0</v>
      </c>
      <c r="F1439" s="22"/>
      <c r="M1439" s="18"/>
      <c r="N1439" s="18"/>
      <c r="O1439" s="18"/>
      <c r="P1439" s="18"/>
      <c r="Q1439" s="22"/>
      <c r="R1439" s="21"/>
      <c r="S1439" s="21"/>
      <c r="T1439" s="21"/>
      <c r="AA1439"/>
      <c r="AH1439" t="str">
        <f t="shared" si="216"/>
        <v>k yet</v>
      </c>
    </row>
    <row r="1440" spans="1:39">
      <c r="A1440" s="42" t="s">
        <v>256</v>
      </c>
      <c r="B1440" s="1" t="s">
        <v>20</v>
      </c>
      <c r="C1440" s="40" t="str">
        <f t="shared" si="213"/>
        <v>11-&gt;</v>
      </c>
      <c r="D1440" s="40" t="str">
        <f t="shared" si="214"/>
        <v xml:space="preserve">No pick yet                                                 </v>
      </c>
      <c r="E1440" s="52">
        <f t="shared" si="215"/>
        <v>0</v>
      </c>
      <c r="M1440" s="18"/>
      <c r="N1440" s="18"/>
      <c r="O1440" s="18"/>
      <c r="P1440" s="18"/>
      <c r="Q1440" s="22"/>
      <c r="R1440" s="21"/>
      <c r="S1440" s="21"/>
      <c r="T1440" s="21"/>
      <c r="AA1440"/>
      <c r="AH1440" t="str">
        <f t="shared" si="216"/>
        <v>k yet</v>
      </c>
    </row>
    <row r="1441" spans="1:39">
      <c r="A1441" s="42" t="s">
        <v>257</v>
      </c>
      <c r="B1441" s="1" t="s">
        <v>20</v>
      </c>
      <c r="C1441" s="40" t="str">
        <f t="shared" si="213"/>
        <v>12-&gt;</v>
      </c>
      <c r="D1441" s="40" t="str">
        <f t="shared" si="214"/>
        <v xml:space="preserve">No pick yet                                                 </v>
      </c>
      <c r="E1441" s="52">
        <f t="shared" si="215"/>
        <v>0</v>
      </c>
      <c r="M1441" s="18"/>
      <c r="N1441" s="18"/>
      <c r="O1441" s="18"/>
      <c r="P1441" s="18"/>
      <c r="Q1441" s="22"/>
      <c r="R1441" s="21"/>
      <c r="S1441" s="21"/>
      <c r="T1441" s="21"/>
      <c r="AA1441"/>
      <c r="AH1441" t="str">
        <f t="shared" si="216"/>
        <v>k yet</v>
      </c>
    </row>
    <row r="1442" spans="1:39">
      <c r="A1442" s="42" t="s">
        <v>258</v>
      </c>
      <c r="B1442" s="1" t="s">
        <v>20</v>
      </c>
      <c r="C1442" s="40" t="str">
        <f t="shared" si="213"/>
        <v>13-&gt;</v>
      </c>
      <c r="D1442" s="40" t="str">
        <f t="shared" si="214"/>
        <v xml:space="preserve">No pick yet                                                 </v>
      </c>
      <c r="E1442" s="52">
        <f t="shared" si="215"/>
        <v>0</v>
      </c>
      <c r="M1442" s="18"/>
      <c r="N1442" s="18"/>
      <c r="O1442" s="18"/>
      <c r="P1442" s="18"/>
      <c r="Q1442" s="22"/>
      <c r="R1442" s="21"/>
      <c r="S1442" s="21"/>
      <c r="T1442" s="21"/>
      <c r="AA1442"/>
      <c r="AH1442" t="str">
        <f t="shared" si="216"/>
        <v>k yet</v>
      </c>
    </row>
    <row r="1443" spans="1:39">
      <c r="A1443" s="42" t="s">
        <v>259</v>
      </c>
      <c r="B1443" s="1" t="s">
        <v>20</v>
      </c>
      <c r="C1443" s="40" t="str">
        <f t="shared" si="213"/>
        <v>14-&gt;</v>
      </c>
      <c r="D1443" s="40" t="str">
        <f t="shared" si="214"/>
        <v xml:space="preserve">No pick yet                                                 </v>
      </c>
      <c r="E1443" s="52">
        <f t="shared" si="215"/>
        <v>0</v>
      </c>
      <c r="M1443" s="18"/>
      <c r="N1443" s="18"/>
      <c r="O1443" s="18"/>
      <c r="P1443" s="18"/>
      <c r="Q1443" s="22"/>
      <c r="R1443" s="21"/>
      <c r="S1443" s="21"/>
      <c r="T1443" s="21"/>
      <c r="AA1443"/>
      <c r="AH1443" t="str">
        <f t="shared" si="216"/>
        <v>k yet</v>
      </c>
    </row>
    <row r="1444" spans="1:39">
      <c r="A1444" s="42" t="s">
        <v>260</v>
      </c>
      <c r="B1444" s="1" t="s">
        <v>20</v>
      </c>
      <c r="C1444" s="40" t="str">
        <f t="shared" si="213"/>
        <v>15-&gt;</v>
      </c>
      <c r="D1444" s="40" t="str">
        <f t="shared" si="214"/>
        <v xml:space="preserve">No pick yet                                                 </v>
      </c>
      <c r="E1444" s="52">
        <f t="shared" si="215"/>
        <v>0</v>
      </c>
      <c r="M1444" s="18"/>
      <c r="N1444" s="18"/>
      <c r="O1444" s="18"/>
      <c r="P1444" s="18"/>
      <c r="Q1444" s="22"/>
      <c r="R1444" s="21"/>
      <c r="S1444" s="21"/>
      <c r="T1444" s="21"/>
      <c r="AA1444"/>
      <c r="AH1444" t="str">
        <f t="shared" si="216"/>
        <v>k yet</v>
      </c>
    </row>
    <row r="1445" spans="1:39">
      <c r="A1445" s="42" t="s">
        <v>261</v>
      </c>
      <c r="B1445" s="1" t="s">
        <v>20</v>
      </c>
      <c r="C1445" s="40" t="str">
        <f t="shared" si="213"/>
        <v>16-&gt;</v>
      </c>
      <c r="D1445" s="40" t="str">
        <f t="shared" si="214"/>
        <v xml:space="preserve">No pick yet                                                 </v>
      </c>
      <c r="E1445" s="52">
        <f t="shared" si="215"/>
        <v>0</v>
      </c>
      <c r="M1445" s="18"/>
      <c r="N1445" s="18"/>
      <c r="O1445" s="18"/>
      <c r="P1445" s="18"/>
      <c r="Q1445" s="22"/>
      <c r="R1445" s="21"/>
      <c r="S1445" s="21"/>
      <c r="T1445" s="21"/>
      <c r="AA1445"/>
      <c r="AH1445" t="str">
        <f t="shared" si="216"/>
        <v>k yet</v>
      </c>
    </row>
    <row r="1446" spans="1:39">
      <c r="A1446" s="42" t="s">
        <v>262</v>
      </c>
      <c r="B1446" s="1" t="s">
        <v>20</v>
      </c>
      <c r="C1446" s="40" t="str">
        <f t="shared" si="213"/>
        <v>17-&gt;</v>
      </c>
      <c r="D1446" s="40" t="str">
        <f t="shared" si="214"/>
        <v xml:space="preserve">No pick yet                                                 </v>
      </c>
      <c r="E1446" s="52">
        <f t="shared" si="215"/>
        <v>0</v>
      </c>
      <c r="K1446" s="22"/>
      <c r="N1446" s="22"/>
      <c r="O1446" s="22"/>
      <c r="P1446" s="22"/>
      <c r="Q1446" s="22"/>
      <c r="R1446" s="22"/>
      <c r="S1446" s="22"/>
      <c r="Z1446" s="53"/>
      <c r="AA1446"/>
      <c r="AH1446" t="str">
        <f t="shared" si="216"/>
        <v>k yet</v>
      </c>
    </row>
    <row r="1447" spans="1:39">
      <c r="A1447" s="42" t="s">
        <v>263</v>
      </c>
      <c r="B1447" s="1" t="s">
        <v>20</v>
      </c>
      <c r="C1447" s="40" t="str">
        <f t="shared" si="213"/>
        <v>18-&gt;</v>
      </c>
      <c r="D1447" s="40" t="str">
        <f t="shared" si="214"/>
        <v xml:space="preserve">No pick yet                                                 </v>
      </c>
      <c r="E1447" s="52">
        <f t="shared" si="215"/>
        <v>0</v>
      </c>
      <c r="F1447" s="18"/>
      <c r="L1447" s="21"/>
      <c r="N1447" s="22"/>
      <c r="O1447" s="22"/>
      <c r="P1447" s="18"/>
      <c r="Q1447" s="22"/>
      <c r="R1447" s="22"/>
      <c r="S1447" s="22"/>
      <c r="Z1447" s="53"/>
      <c r="AA1447"/>
      <c r="AH1447" t="str">
        <f t="shared" si="216"/>
        <v>k yet</v>
      </c>
    </row>
    <row r="1448" spans="1:39">
      <c r="A1448" s="42" t="s">
        <v>264</v>
      </c>
      <c r="B1448" s="1" t="s">
        <v>20</v>
      </c>
      <c r="C1448" s="40" t="str">
        <f t="shared" si="213"/>
        <v>19-&gt;</v>
      </c>
      <c r="D1448" s="40" t="str">
        <f t="shared" si="214"/>
        <v xml:space="preserve">No pick yet                                                 </v>
      </c>
      <c r="E1448" s="52">
        <f t="shared" si="215"/>
        <v>0</v>
      </c>
      <c r="F1448" s="18"/>
      <c r="M1448" s="18"/>
      <c r="N1448" s="18"/>
      <c r="O1448" s="18"/>
      <c r="P1448" s="18"/>
      <c r="Q1448" s="22"/>
      <c r="R1448" s="21"/>
      <c r="S1448" s="21"/>
      <c r="T1448" s="21"/>
      <c r="AA1448"/>
      <c r="AH1448" t="str">
        <f t="shared" si="216"/>
        <v>k yet</v>
      </c>
    </row>
    <row r="1449" spans="1:39">
      <c r="A1449" s="42" t="s">
        <v>265</v>
      </c>
      <c r="B1449" s="1" t="s">
        <v>20</v>
      </c>
      <c r="C1449" s="40" t="str">
        <f t="shared" si="213"/>
        <v>20-&gt;</v>
      </c>
      <c r="D1449" s="40" t="str">
        <f t="shared" si="214"/>
        <v xml:space="preserve">No pick yet                                                 </v>
      </c>
      <c r="E1449" s="52">
        <f t="shared" si="215"/>
        <v>0</v>
      </c>
      <c r="F1449" s="18"/>
      <c r="M1449" s="18"/>
      <c r="N1449" s="18"/>
      <c r="O1449" s="18"/>
      <c r="P1449" s="18"/>
      <c r="Q1449" s="22"/>
      <c r="R1449" s="21"/>
      <c r="S1449" s="21"/>
      <c r="T1449" s="21"/>
      <c r="AA1449"/>
      <c r="AH1449" t="str">
        <f t="shared" si="216"/>
        <v>k yet</v>
      </c>
    </row>
    <row r="1450" spans="1:39">
      <c r="A1450" s="42" t="s">
        <v>266</v>
      </c>
      <c r="B1450" s="1" t="s">
        <v>20</v>
      </c>
      <c r="C1450" s="40" t="str">
        <f t="shared" si="213"/>
        <v>21-&gt;</v>
      </c>
      <c r="D1450" s="40" t="str">
        <f t="shared" si="214"/>
        <v xml:space="preserve">No pick yet                                                 </v>
      </c>
      <c r="E1450" s="52">
        <f t="shared" si="215"/>
        <v>0</v>
      </c>
      <c r="F1450" s="18"/>
      <c r="M1450" s="18"/>
      <c r="N1450" s="18"/>
      <c r="O1450" s="18"/>
      <c r="P1450" s="18"/>
      <c r="Q1450" s="22"/>
      <c r="R1450" s="21"/>
      <c r="S1450" s="21"/>
      <c r="T1450" s="21"/>
      <c r="AA1450"/>
      <c r="AH1450" t="str">
        <f t="shared" si="216"/>
        <v>k yet</v>
      </c>
    </row>
    <row r="1451" spans="1:39">
      <c r="A1451" s="42" t="s">
        <v>267</v>
      </c>
      <c r="B1451" s="1" t="s">
        <v>20</v>
      </c>
      <c r="C1451" s="40" t="str">
        <f t="shared" si="213"/>
        <v>22-&gt;</v>
      </c>
      <c r="D1451" s="40" t="str">
        <f t="shared" si="214"/>
        <v xml:space="preserve">No pick yet                                                 </v>
      </c>
      <c r="E1451" s="52">
        <f t="shared" si="215"/>
        <v>0</v>
      </c>
      <c r="F1451" s="18"/>
      <c r="M1451" s="18"/>
      <c r="N1451" s="18"/>
      <c r="O1451" s="18"/>
      <c r="P1451" s="18"/>
      <c r="Q1451" s="22"/>
      <c r="R1451" s="21"/>
      <c r="S1451" s="21"/>
      <c r="T1451" s="21"/>
      <c r="AA1451"/>
      <c r="AH1451" t="str">
        <f t="shared" si="216"/>
        <v>k yet</v>
      </c>
    </row>
    <row r="1452" spans="1:39">
      <c r="A1452" s="42" t="s">
        <v>268</v>
      </c>
      <c r="B1452" s="1" t="s">
        <v>20</v>
      </c>
      <c r="C1452" s="40" t="str">
        <f t="shared" si="213"/>
        <v>23-&gt;</v>
      </c>
      <c r="D1452" s="40" t="str">
        <f t="shared" si="214"/>
        <v xml:space="preserve">No pick yet                                                 </v>
      </c>
      <c r="E1452" s="52">
        <f t="shared" si="215"/>
        <v>0</v>
      </c>
      <c r="F1452" s="18"/>
      <c r="M1452" s="18"/>
      <c r="N1452" s="18"/>
      <c r="O1452" s="18"/>
      <c r="P1452" s="18"/>
      <c r="Q1452" s="22"/>
      <c r="R1452" s="21"/>
      <c r="S1452" s="21"/>
      <c r="T1452" s="21"/>
      <c r="AA1452"/>
      <c r="AH1452" t="str">
        <f t="shared" si="216"/>
        <v>k yet</v>
      </c>
    </row>
    <row r="1453" spans="1:39">
      <c r="A1453" s="42" t="s">
        <v>269</v>
      </c>
      <c r="B1453" s="1" t="s">
        <v>20</v>
      </c>
      <c r="C1453" s="40" t="str">
        <f t="shared" si="213"/>
        <v>24-&gt;</v>
      </c>
      <c r="D1453" s="40" t="str">
        <f t="shared" si="214"/>
        <v xml:space="preserve">No pick yet                                                 </v>
      </c>
      <c r="E1453" s="52">
        <f t="shared" si="215"/>
        <v>0</v>
      </c>
      <c r="F1453" s="18"/>
      <c r="M1453" s="18"/>
      <c r="N1453" s="18"/>
      <c r="O1453" s="18"/>
      <c r="P1453" s="18"/>
      <c r="Q1453" s="22"/>
      <c r="R1453" s="21"/>
      <c r="S1453" s="21"/>
      <c r="T1453" s="21"/>
      <c r="AA1453"/>
      <c r="AH1453" t="str">
        <f t="shared" si="216"/>
        <v>k yet</v>
      </c>
    </row>
    <row r="1454" spans="1:39">
      <c r="A1454" s="42" t="s">
        <v>270</v>
      </c>
      <c r="B1454" s="1" t="s">
        <v>20</v>
      </c>
      <c r="C1454" s="40" t="str">
        <f t="shared" si="213"/>
        <v>25-&gt;</v>
      </c>
      <c r="D1454" s="40" t="str">
        <f t="shared" si="214"/>
        <v xml:space="preserve">No pick yet                                                 </v>
      </c>
      <c r="E1454" s="52">
        <f t="shared" si="215"/>
        <v>0</v>
      </c>
      <c r="F1454" s="18"/>
      <c r="M1454" s="18"/>
      <c r="N1454" s="18"/>
      <c r="O1454" s="18"/>
      <c r="P1454" s="18"/>
      <c r="Q1454" s="22"/>
      <c r="R1454" s="21"/>
      <c r="S1454" s="21"/>
      <c r="T1454" s="21"/>
      <c r="AA1454"/>
      <c r="AH1454" t="str">
        <f t="shared" si="216"/>
        <v>k yet</v>
      </c>
    </row>
    <row r="1455" spans="1:39">
      <c r="A1455" s="42" t="s">
        <v>271</v>
      </c>
      <c r="B1455" s="1" t="s">
        <v>20</v>
      </c>
      <c r="C1455" s="40" t="str">
        <f t="shared" si="213"/>
        <v>26-&gt;</v>
      </c>
      <c r="D1455" s="40" t="str">
        <f t="shared" si="214"/>
        <v xml:space="preserve">No pick yet                                                 </v>
      </c>
      <c r="E1455" s="52">
        <f t="shared" si="215"/>
        <v>0</v>
      </c>
      <c r="F1455" s="18"/>
      <c r="M1455" s="18"/>
      <c r="N1455" s="18"/>
      <c r="O1455" s="18"/>
      <c r="P1455" s="18"/>
      <c r="Q1455" s="22"/>
      <c r="R1455" s="21"/>
      <c r="S1455" s="21"/>
      <c r="T1455" s="21"/>
      <c r="AA1455"/>
      <c r="AH1455" t="str">
        <f t="shared" si="216"/>
        <v>k yet</v>
      </c>
    </row>
    <row r="1456" spans="1:39">
      <c r="A1456" s="38"/>
      <c r="B1456" s="40"/>
      <c r="C1456" s="40"/>
      <c r="D1456" s="49"/>
      <c r="E1456" s="41" t="s">
        <v>69</v>
      </c>
      <c r="F1456" s="18"/>
      <c r="K1456" s="22" t="s">
        <v>73</v>
      </c>
      <c r="L1456" s="18" t="s">
        <v>74</v>
      </c>
      <c r="M1456" s="22" t="s">
        <v>78</v>
      </c>
      <c r="N1456" s="22" t="s">
        <v>79</v>
      </c>
      <c r="O1456" s="22" t="s">
        <v>80</v>
      </c>
      <c r="P1456" s="22" t="s">
        <v>81</v>
      </c>
      <c r="Q1456" s="22" t="s">
        <v>82</v>
      </c>
      <c r="R1456" s="22" t="s">
        <v>83</v>
      </c>
      <c r="S1456" s="22" t="s">
        <v>84</v>
      </c>
      <c r="T1456" s="18" t="s">
        <v>85</v>
      </c>
      <c r="U1456" s="18" t="s">
        <v>86</v>
      </c>
      <c r="V1456" s="18" t="s">
        <v>87</v>
      </c>
      <c r="W1456" s="18" t="s">
        <v>88</v>
      </c>
      <c r="X1456" s="18" t="s">
        <v>89</v>
      </c>
      <c r="Y1456" s="18" t="s">
        <v>90</v>
      </c>
      <c r="Z1456" s="18" t="s">
        <v>91</v>
      </c>
      <c r="AA1456" s="18" t="s">
        <v>92</v>
      </c>
      <c r="AB1456" s="18" t="s">
        <v>93</v>
      </c>
      <c r="AC1456" s="18" t="s">
        <v>94</v>
      </c>
      <c r="AD1456" s="18" t="s">
        <v>235</v>
      </c>
      <c r="AE1456" s="18" t="s">
        <v>236</v>
      </c>
      <c r="AF1456" s="18" t="s">
        <v>237</v>
      </c>
      <c r="AG1456" s="18" t="s">
        <v>238</v>
      </c>
      <c r="AH1456" s="18" t="s">
        <v>239</v>
      </c>
      <c r="AI1456" s="18" t="s">
        <v>240</v>
      </c>
      <c r="AJ1456" s="18" t="s">
        <v>241</v>
      </c>
      <c r="AK1456" s="18" t="s">
        <v>242</v>
      </c>
      <c r="AL1456" s="18" t="s">
        <v>243</v>
      </c>
      <c r="AM1456" s="50" t="s">
        <v>244</v>
      </c>
    </row>
    <row r="1457" spans="1:39">
      <c r="A1457" s="40" t="s">
        <v>245</v>
      </c>
      <c r="B1457" s="51" t="str">
        <f>D51</f>
        <v/>
      </c>
      <c r="C1457" s="40" t="str">
        <f t="shared" ref="C1457:C1483" si="217">A1457</f>
        <v>#</v>
      </c>
      <c r="D1457" s="40" t="str">
        <f>"   "&amp;B1457&amp;REPT(" ",$AH$70-LEN(B1457)-3)</f>
        <v xml:space="preserve">                                                            </v>
      </c>
      <c r="E1457" s="38" t="str">
        <f>SUM(E1458:E1483)&amp;" pts[/b]"</f>
        <v>0 pts[/b]</v>
      </c>
      <c r="F1457" s="21">
        <f>SUM(E1458:E1483)</f>
        <v>0</v>
      </c>
      <c r="K1457" s="18">
        <f>COUNTIF(E1458:E1483,"&gt;0")</f>
        <v>0</v>
      </c>
      <c r="L1457" s="21">
        <f>AM1457-K1457</f>
        <v>0</v>
      </c>
      <c r="M1457" s="22">
        <f>MAX(E1458:E1483)</f>
        <v>0</v>
      </c>
      <c r="N1457" s="22">
        <f>LARGE(E1458:E1483,2)</f>
        <v>0</v>
      </c>
      <c r="O1457" s="22">
        <f>LARGE(E1458:E1483,3)</f>
        <v>0</v>
      </c>
      <c r="P1457" s="18">
        <f>LARGE(E1458:E1483,4)</f>
        <v>0</v>
      </c>
      <c r="Q1457" s="22">
        <f>LARGE(E1458:E1483,5)</f>
        <v>0</v>
      </c>
      <c r="R1457" s="22">
        <f>LARGE(E1458:E1483,6)</f>
        <v>0</v>
      </c>
      <c r="S1457" s="22">
        <f>LARGE(E1458:E1483,7)</f>
        <v>0</v>
      </c>
      <c r="T1457" s="18">
        <f>LARGE(E1458:E1483,8)</f>
        <v>0</v>
      </c>
      <c r="U1457" s="18">
        <f>LARGE(E1458:E1483,9)</f>
        <v>0</v>
      </c>
      <c r="V1457" s="18">
        <f>LARGE(E1458:E1483,10)</f>
        <v>0</v>
      </c>
      <c r="W1457" s="18">
        <f>LARGE(E1458:E1483,11)</f>
        <v>0</v>
      </c>
      <c r="X1457" s="18">
        <f>LARGE(E1458:E1483,12)</f>
        <v>0</v>
      </c>
      <c r="Y1457" s="18">
        <f>LARGE(E1458:E1483,13)</f>
        <v>0</v>
      </c>
      <c r="Z1457" s="18">
        <f>LARGE(E1458:E1483,14)</f>
        <v>0</v>
      </c>
      <c r="AA1457" s="18">
        <f>LARGE(E1458:E1483,15)</f>
        <v>0</v>
      </c>
      <c r="AB1457" s="18">
        <f>LARGE(E1458:E1483,16)</f>
        <v>0</v>
      </c>
      <c r="AC1457" s="18">
        <f>LARGE(E1458:E1483,17)</f>
        <v>0</v>
      </c>
      <c r="AD1457" s="18">
        <f>LARGE(E1458:E1484,13)</f>
        <v>0</v>
      </c>
      <c r="AE1457" s="18">
        <f>LARGE(E1458:E1483,19)</f>
        <v>0</v>
      </c>
      <c r="AF1457" s="18">
        <f>LARGE(E1458:E1483,20)</f>
        <v>0</v>
      </c>
      <c r="AG1457" s="18">
        <f>LARGE(E1458:E1483,21)</f>
        <v>0</v>
      </c>
      <c r="AH1457" s="18">
        <f>LARGE(E1458:E1483,22)</f>
        <v>0</v>
      </c>
      <c r="AI1457" s="18">
        <f>LARGE(E1458:E1483,23)</f>
        <v>0</v>
      </c>
      <c r="AJ1457" s="18">
        <f>LARGE(E1458:E1483,24)</f>
        <v>0</v>
      </c>
      <c r="AK1457" s="18">
        <f>LARGE(E1458:E1483,25)</f>
        <v>0</v>
      </c>
      <c r="AL1457" s="18">
        <f>LARGE(E1458:E1483,26)</f>
        <v>0</v>
      </c>
      <c r="AM1457" s="50">
        <f>COUNTIF(AH1458:AH1483,"&lt;&gt;"&amp;AH76)-(26-COUNTIF(E1458:E1483,"&gt;=0"))</f>
        <v>0</v>
      </c>
    </row>
    <row r="1458" spans="1:39">
      <c r="A1458" s="42" t="s">
        <v>246</v>
      </c>
      <c r="B1458" s="1" t="s">
        <v>20</v>
      </c>
      <c r="C1458" s="40" t="str">
        <f t="shared" si="217"/>
        <v>01-&gt;</v>
      </c>
      <c r="D1458" s="40" t="str">
        <f t="shared" ref="D1458:D1483" si="218">B1458&amp;REPT(" ",$AH$70-LEN(B1458))</f>
        <v xml:space="preserve">No pick yet                                                 </v>
      </c>
      <c r="E1458" s="52">
        <f t="shared" ref="E1458:E1483" si="219">VLOOKUP(RIGHT(B1458,LEN(B1458)-$AH$66),$H$138:$I$420,2,0)</f>
        <v>0</v>
      </c>
      <c r="F1458" s="18"/>
      <c r="M1458" s="18"/>
      <c r="N1458" s="18"/>
      <c r="O1458" s="18"/>
      <c r="P1458" s="18"/>
      <c r="Q1458" s="22"/>
      <c r="R1458" s="21"/>
      <c r="S1458" s="21"/>
      <c r="T1458" s="21"/>
      <c r="AA1458"/>
      <c r="AH1458" t="str">
        <f t="shared" ref="AH1458:AH1483" si="220">RIGHT(B1458,LEN(B1458)-$AH$66)</f>
        <v>k yet</v>
      </c>
    </row>
    <row r="1459" spans="1:39">
      <c r="A1459" s="42" t="s">
        <v>247</v>
      </c>
      <c r="B1459" s="1" t="s">
        <v>20</v>
      </c>
      <c r="C1459" s="40" t="str">
        <f t="shared" si="217"/>
        <v>02-&gt;</v>
      </c>
      <c r="D1459" s="40" t="str">
        <f t="shared" si="218"/>
        <v xml:space="preserve">No pick yet                                                 </v>
      </c>
      <c r="E1459" s="52">
        <f t="shared" si="219"/>
        <v>0</v>
      </c>
      <c r="F1459" s="18"/>
      <c r="K1459" s="22"/>
      <c r="N1459" s="22"/>
      <c r="O1459" s="22"/>
      <c r="P1459" s="22"/>
      <c r="Q1459" s="22"/>
      <c r="R1459" s="22"/>
      <c r="S1459" s="22"/>
      <c r="Z1459" s="53"/>
      <c r="AA1459"/>
      <c r="AH1459" t="str">
        <f t="shared" si="220"/>
        <v>k yet</v>
      </c>
    </row>
    <row r="1460" spans="1:39">
      <c r="A1460" s="42" t="s">
        <v>248</v>
      </c>
      <c r="B1460" s="1" t="s">
        <v>20</v>
      </c>
      <c r="C1460" s="40" t="str">
        <f t="shared" si="217"/>
        <v>03-&gt;</v>
      </c>
      <c r="D1460" s="40" t="str">
        <f t="shared" si="218"/>
        <v xml:space="preserve">No pick yet                                                 </v>
      </c>
      <c r="E1460" s="52">
        <f t="shared" si="219"/>
        <v>0</v>
      </c>
      <c r="F1460" s="18"/>
      <c r="L1460" s="21"/>
      <c r="N1460" s="22"/>
      <c r="O1460" s="22"/>
      <c r="P1460" s="18"/>
      <c r="Q1460" s="22"/>
      <c r="R1460" s="22"/>
      <c r="S1460" s="22"/>
      <c r="Z1460" s="53"/>
      <c r="AA1460"/>
      <c r="AH1460" t="str">
        <f t="shared" si="220"/>
        <v>k yet</v>
      </c>
    </row>
    <row r="1461" spans="1:39">
      <c r="A1461" s="42" t="s">
        <v>249</v>
      </c>
      <c r="B1461" s="1" t="s">
        <v>20</v>
      </c>
      <c r="C1461" s="40" t="str">
        <f t="shared" si="217"/>
        <v>04-&gt;</v>
      </c>
      <c r="D1461" s="40" t="str">
        <f t="shared" si="218"/>
        <v xml:space="preserve">No pick yet                                                 </v>
      </c>
      <c r="E1461" s="52">
        <f t="shared" si="219"/>
        <v>0</v>
      </c>
      <c r="F1461" s="18"/>
      <c r="M1461" s="18"/>
      <c r="N1461" s="18"/>
      <c r="O1461" s="18"/>
      <c r="P1461" s="18"/>
      <c r="Q1461" s="22"/>
      <c r="R1461" s="21"/>
      <c r="S1461" s="21"/>
      <c r="T1461" s="21"/>
      <c r="AA1461"/>
      <c r="AH1461" t="str">
        <f t="shared" si="220"/>
        <v>k yet</v>
      </c>
    </row>
    <row r="1462" spans="1:39">
      <c r="A1462" s="42" t="s">
        <v>250</v>
      </c>
      <c r="B1462" s="1" t="s">
        <v>20</v>
      </c>
      <c r="C1462" s="40" t="str">
        <f t="shared" si="217"/>
        <v>05-&gt;</v>
      </c>
      <c r="D1462" s="40" t="str">
        <f t="shared" si="218"/>
        <v xml:space="preserve">No pick yet                                                 </v>
      </c>
      <c r="E1462" s="52">
        <f t="shared" si="219"/>
        <v>0</v>
      </c>
      <c r="F1462" s="18"/>
      <c r="M1462" s="18"/>
      <c r="N1462" s="18"/>
      <c r="O1462" s="18"/>
      <c r="P1462" s="18"/>
      <c r="Q1462" s="22"/>
      <c r="R1462" s="21"/>
      <c r="S1462" s="21"/>
      <c r="T1462" s="21"/>
      <c r="AA1462"/>
      <c r="AH1462" t="str">
        <f t="shared" si="220"/>
        <v>k yet</v>
      </c>
    </row>
    <row r="1463" spans="1:39">
      <c r="A1463" s="42" t="s">
        <v>251</v>
      </c>
      <c r="B1463" s="1" t="s">
        <v>20</v>
      </c>
      <c r="C1463" s="40" t="str">
        <f t="shared" si="217"/>
        <v>06-&gt;</v>
      </c>
      <c r="D1463" s="40" t="str">
        <f t="shared" si="218"/>
        <v xml:space="preserve">No pick yet                                                 </v>
      </c>
      <c r="E1463" s="52">
        <f t="shared" si="219"/>
        <v>0</v>
      </c>
      <c r="F1463" s="18"/>
      <c r="M1463" s="18"/>
      <c r="N1463" s="18"/>
      <c r="O1463" s="18"/>
      <c r="P1463" s="18"/>
      <c r="Q1463" s="22"/>
      <c r="R1463" s="21"/>
      <c r="S1463" s="21"/>
      <c r="T1463" s="21"/>
      <c r="AA1463"/>
      <c r="AH1463" t="str">
        <f t="shared" si="220"/>
        <v>k yet</v>
      </c>
    </row>
    <row r="1464" spans="1:39">
      <c r="A1464" s="42" t="s">
        <v>252</v>
      </c>
      <c r="B1464" s="1" t="s">
        <v>20</v>
      </c>
      <c r="C1464" s="40" t="str">
        <f t="shared" si="217"/>
        <v>07-&gt;</v>
      </c>
      <c r="D1464" s="40" t="str">
        <f t="shared" si="218"/>
        <v xml:space="preserve">No pick yet                                                 </v>
      </c>
      <c r="E1464" s="52">
        <f t="shared" si="219"/>
        <v>0</v>
      </c>
      <c r="F1464" s="18"/>
      <c r="M1464" s="18"/>
      <c r="N1464" s="18"/>
      <c r="O1464" s="18"/>
      <c r="P1464" s="18"/>
      <c r="Q1464" s="22"/>
      <c r="R1464" s="21"/>
      <c r="S1464" s="21"/>
      <c r="T1464" s="21"/>
      <c r="AA1464"/>
      <c r="AH1464" t="str">
        <f t="shared" si="220"/>
        <v>k yet</v>
      </c>
    </row>
    <row r="1465" spans="1:39">
      <c r="A1465" s="42" t="s">
        <v>253</v>
      </c>
      <c r="B1465" s="1" t="s">
        <v>20</v>
      </c>
      <c r="C1465" s="40" t="str">
        <f t="shared" si="217"/>
        <v>08-&gt;</v>
      </c>
      <c r="D1465" s="40" t="str">
        <f t="shared" si="218"/>
        <v xml:space="preserve">No pick yet                                                 </v>
      </c>
      <c r="E1465" s="52">
        <f t="shared" si="219"/>
        <v>0</v>
      </c>
      <c r="F1465" s="18"/>
      <c r="M1465" s="18"/>
      <c r="N1465" s="18"/>
      <c r="O1465" s="18"/>
      <c r="P1465" s="18"/>
      <c r="Q1465" s="22"/>
      <c r="R1465" s="21"/>
      <c r="S1465" s="21"/>
      <c r="T1465" s="21"/>
      <c r="AA1465"/>
      <c r="AH1465" t="str">
        <f t="shared" si="220"/>
        <v>k yet</v>
      </c>
    </row>
    <row r="1466" spans="1:39">
      <c r="A1466" s="42" t="s">
        <v>254</v>
      </c>
      <c r="B1466" s="1" t="s">
        <v>20</v>
      </c>
      <c r="C1466" s="40" t="str">
        <f t="shared" si="217"/>
        <v>09-&gt;</v>
      </c>
      <c r="D1466" s="40" t="str">
        <f t="shared" si="218"/>
        <v xml:space="preserve">No pick yet                                                 </v>
      </c>
      <c r="E1466" s="52">
        <f t="shared" si="219"/>
        <v>0</v>
      </c>
      <c r="F1466" s="18"/>
      <c r="M1466" s="18"/>
      <c r="N1466" s="18"/>
      <c r="O1466" s="18"/>
      <c r="P1466" s="18"/>
      <c r="Q1466" s="22"/>
      <c r="R1466" s="21"/>
      <c r="S1466" s="21"/>
      <c r="T1466" s="21"/>
      <c r="AA1466"/>
      <c r="AH1466" t="str">
        <f t="shared" si="220"/>
        <v>k yet</v>
      </c>
    </row>
    <row r="1467" spans="1:39">
      <c r="A1467" s="42" t="s">
        <v>255</v>
      </c>
      <c r="B1467" s="1" t="s">
        <v>20</v>
      </c>
      <c r="C1467" s="40" t="str">
        <f t="shared" si="217"/>
        <v>10-&gt;</v>
      </c>
      <c r="D1467" s="40" t="str">
        <f t="shared" si="218"/>
        <v xml:space="preserve">No pick yet                                                 </v>
      </c>
      <c r="E1467" s="52">
        <f t="shared" si="219"/>
        <v>0</v>
      </c>
      <c r="F1467" s="22"/>
      <c r="M1467" s="18"/>
      <c r="N1467" s="18"/>
      <c r="O1467" s="18"/>
      <c r="P1467" s="18"/>
      <c r="Q1467" s="22"/>
      <c r="R1467" s="21"/>
      <c r="S1467" s="21"/>
      <c r="T1467" s="21"/>
      <c r="AA1467"/>
      <c r="AH1467" t="str">
        <f t="shared" si="220"/>
        <v>k yet</v>
      </c>
    </row>
    <row r="1468" spans="1:39">
      <c r="A1468" s="42" t="s">
        <v>256</v>
      </c>
      <c r="B1468" s="1" t="s">
        <v>20</v>
      </c>
      <c r="C1468" s="40" t="str">
        <f t="shared" si="217"/>
        <v>11-&gt;</v>
      </c>
      <c r="D1468" s="40" t="str">
        <f t="shared" si="218"/>
        <v xml:space="preserve">No pick yet                                                 </v>
      </c>
      <c r="E1468" s="52">
        <f t="shared" si="219"/>
        <v>0</v>
      </c>
      <c r="M1468" s="18"/>
      <c r="N1468" s="18"/>
      <c r="O1468" s="18"/>
      <c r="P1468" s="18"/>
      <c r="Q1468" s="22"/>
      <c r="R1468" s="21"/>
      <c r="S1468" s="21"/>
      <c r="T1468" s="21"/>
      <c r="AA1468"/>
      <c r="AH1468" t="str">
        <f t="shared" si="220"/>
        <v>k yet</v>
      </c>
    </row>
    <row r="1469" spans="1:39">
      <c r="A1469" s="42" t="s">
        <v>257</v>
      </c>
      <c r="B1469" s="1" t="s">
        <v>20</v>
      </c>
      <c r="C1469" s="40" t="str">
        <f t="shared" si="217"/>
        <v>12-&gt;</v>
      </c>
      <c r="D1469" s="40" t="str">
        <f t="shared" si="218"/>
        <v xml:space="preserve">No pick yet                                                 </v>
      </c>
      <c r="E1469" s="52">
        <f t="shared" si="219"/>
        <v>0</v>
      </c>
      <c r="M1469" s="18"/>
      <c r="N1469" s="18"/>
      <c r="O1469" s="18"/>
      <c r="P1469" s="18"/>
      <c r="Q1469" s="22"/>
      <c r="R1469" s="21"/>
      <c r="S1469" s="21"/>
      <c r="T1469" s="21"/>
      <c r="AA1469"/>
      <c r="AH1469" t="str">
        <f t="shared" si="220"/>
        <v>k yet</v>
      </c>
    </row>
    <row r="1470" spans="1:39">
      <c r="A1470" s="42" t="s">
        <v>258</v>
      </c>
      <c r="B1470" s="1" t="s">
        <v>20</v>
      </c>
      <c r="C1470" s="40" t="str">
        <f t="shared" si="217"/>
        <v>13-&gt;</v>
      </c>
      <c r="D1470" s="40" t="str">
        <f t="shared" si="218"/>
        <v xml:space="preserve">No pick yet                                                 </v>
      </c>
      <c r="E1470" s="52">
        <f t="shared" si="219"/>
        <v>0</v>
      </c>
      <c r="M1470" s="18"/>
      <c r="N1470" s="18"/>
      <c r="O1470" s="18"/>
      <c r="P1470" s="18"/>
      <c r="Q1470" s="22"/>
      <c r="R1470" s="21"/>
      <c r="S1470" s="21"/>
      <c r="T1470" s="21"/>
      <c r="AA1470"/>
      <c r="AH1470" t="str">
        <f t="shared" si="220"/>
        <v>k yet</v>
      </c>
    </row>
    <row r="1471" spans="1:39">
      <c r="A1471" s="42" t="s">
        <v>259</v>
      </c>
      <c r="B1471" s="1" t="s">
        <v>20</v>
      </c>
      <c r="C1471" s="40" t="str">
        <f t="shared" si="217"/>
        <v>14-&gt;</v>
      </c>
      <c r="D1471" s="40" t="str">
        <f t="shared" si="218"/>
        <v xml:space="preserve">No pick yet                                                 </v>
      </c>
      <c r="E1471" s="52">
        <f t="shared" si="219"/>
        <v>0</v>
      </c>
      <c r="M1471" s="18"/>
      <c r="N1471" s="18"/>
      <c r="O1471" s="18"/>
      <c r="P1471" s="18"/>
      <c r="Q1471" s="22"/>
      <c r="R1471" s="21"/>
      <c r="S1471" s="21"/>
      <c r="T1471" s="21"/>
      <c r="AA1471"/>
      <c r="AH1471" t="str">
        <f t="shared" si="220"/>
        <v>k yet</v>
      </c>
    </row>
    <row r="1472" spans="1:39">
      <c r="A1472" s="42" t="s">
        <v>260</v>
      </c>
      <c r="B1472" s="1" t="s">
        <v>20</v>
      </c>
      <c r="C1472" s="40" t="str">
        <f t="shared" si="217"/>
        <v>15-&gt;</v>
      </c>
      <c r="D1472" s="40" t="str">
        <f t="shared" si="218"/>
        <v xml:space="preserve">No pick yet                                                 </v>
      </c>
      <c r="E1472" s="52">
        <f t="shared" si="219"/>
        <v>0</v>
      </c>
      <c r="M1472" s="18"/>
      <c r="N1472" s="18"/>
      <c r="O1472" s="18"/>
      <c r="P1472" s="18"/>
      <c r="Q1472" s="22"/>
      <c r="R1472" s="21"/>
      <c r="S1472" s="21"/>
      <c r="T1472" s="21"/>
      <c r="AA1472"/>
      <c r="AH1472" t="str">
        <f t="shared" si="220"/>
        <v>k yet</v>
      </c>
    </row>
    <row r="1473" spans="1:39">
      <c r="A1473" s="42" t="s">
        <v>261</v>
      </c>
      <c r="B1473" s="1" t="s">
        <v>20</v>
      </c>
      <c r="C1473" s="40" t="str">
        <f t="shared" si="217"/>
        <v>16-&gt;</v>
      </c>
      <c r="D1473" s="40" t="str">
        <f t="shared" si="218"/>
        <v xml:space="preserve">No pick yet                                                 </v>
      </c>
      <c r="E1473" s="52">
        <f t="shared" si="219"/>
        <v>0</v>
      </c>
      <c r="M1473" s="18"/>
      <c r="N1473" s="18"/>
      <c r="O1473" s="18"/>
      <c r="P1473" s="18"/>
      <c r="Q1473" s="22"/>
      <c r="R1473" s="21"/>
      <c r="S1473" s="21"/>
      <c r="T1473" s="21"/>
      <c r="AA1473"/>
      <c r="AH1473" t="str">
        <f t="shared" si="220"/>
        <v>k yet</v>
      </c>
    </row>
    <row r="1474" spans="1:39">
      <c r="A1474" s="42" t="s">
        <v>262</v>
      </c>
      <c r="B1474" s="1" t="s">
        <v>20</v>
      </c>
      <c r="C1474" s="40" t="str">
        <f t="shared" si="217"/>
        <v>17-&gt;</v>
      </c>
      <c r="D1474" s="40" t="str">
        <f t="shared" si="218"/>
        <v xml:space="preserve">No pick yet                                                 </v>
      </c>
      <c r="E1474" s="52">
        <f t="shared" si="219"/>
        <v>0</v>
      </c>
      <c r="K1474" s="22"/>
      <c r="N1474" s="22"/>
      <c r="O1474" s="22"/>
      <c r="P1474" s="22"/>
      <c r="Q1474" s="22"/>
      <c r="R1474" s="22"/>
      <c r="S1474" s="22"/>
      <c r="Z1474" s="53"/>
      <c r="AA1474"/>
      <c r="AH1474" t="str">
        <f t="shared" si="220"/>
        <v>k yet</v>
      </c>
    </row>
    <row r="1475" spans="1:39">
      <c r="A1475" s="42" t="s">
        <v>263</v>
      </c>
      <c r="B1475" s="1" t="s">
        <v>20</v>
      </c>
      <c r="C1475" s="40" t="str">
        <f t="shared" si="217"/>
        <v>18-&gt;</v>
      </c>
      <c r="D1475" s="40" t="str">
        <f t="shared" si="218"/>
        <v xml:space="preserve">No pick yet                                                 </v>
      </c>
      <c r="E1475" s="52">
        <f t="shared" si="219"/>
        <v>0</v>
      </c>
      <c r="F1475" s="18"/>
      <c r="L1475" s="21"/>
      <c r="N1475" s="22"/>
      <c r="O1475" s="22"/>
      <c r="P1475" s="18"/>
      <c r="Q1475" s="22"/>
      <c r="R1475" s="22"/>
      <c r="S1475" s="22"/>
      <c r="Z1475" s="53"/>
      <c r="AA1475"/>
      <c r="AH1475" t="str">
        <f t="shared" si="220"/>
        <v>k yet</v>
      </c>
    </row>
    <row r="1476" spans="1:39">
      <c r="A1476" s="42" t="s">
        <v>264</v>
      </c>
      <c r="B1476" s="1" t="s">
        <v>20</v>
      </c>
      <c r="C1476" s="40" t="str">
        <f t="shared" si="217"/>
        <v>19-&gt;</v>
      </c>
      <c r="D1476" s="40" t="str">
        <f t="shared" si="218"/>
        <v xml:space="preserve">No pick yet                                                 </v>
      </c>
      <c r="E1476" s="52">
        <f t="shared" si="219"/>
        <v>0</v>
      </c>
      <c r="F1476" s="18"/>
      <c r="M1476" s="18"/>
      <c r="N1476" s="18"/>
      <c r="O1476" s="18"/>
      <c r="P1476" s="18"/>
      <c r="Q1476" s="22"/>
      <c r="R1476" s="21"/>
      <c r="S1476" s="21"/>
      <c r="T1476" s="21"/>
      <c r="AA1476"/>
      <c r="AH1476" t="str">
        <f t="shared" si="220"/>
        <v>k yet</v>
      </c>
    </row>
    <row r="1477" spans="1:39">
      <c r="A1477" s="42" t="s">
        <v>265</v>
      </c>
      <c r="B1477" s="1" t="s">
        <v>20</v>
      </c>
      <c r="C1477" s="40" t="str">
        <f t="shared" si="217"/>
        <v>20-&gt;</v>
      </c>
      <c r="D1477" s="40" t="str">
        <f t="shared" si="218"/>
        <v xml:space="preserve">No pick yet                                                 </v>
      </c>
      <c r="E1477" s="52">
        <f t="shared" si="219"/>
        <v>0</v>
      </c>
      <c r="F1477" s="18"/>
      <c r="M1477" s="18"/>
      <c r="N1477" s="18"/>
      <c r="O1477" s="18"/>
      <c r="P1477" s="18"/>
      <c r="Q1477" s="22"/>
      <c r="R1477" s="21"/>
      <c r="S1477" s="21"/>
      <c r="T1477" s="21"/>
      <c r="AA1477"/>
      <c r="AH1477" t="str">
        <f t="shared" si="220"/>
        <v>k yet</v>
      </c>
    </row>
    <row r="1478" spans="1:39">
      <c r="A1478" s="42" t="s">
        <v>266</v>
      </c>
      <c r="B1478" s="1" t="s">
        <v>20</v>
      </c>
      <c r="C1478" s="40" t="str">
        <f t="shared" si="217"/>
        <v>21-&gt;</v>
      </c>
      <c r="D1478" s="40" t="str">
        <f t="shared" si="218"/>
        <v xml:space="preserve">No pick yet                                                 </v>
      </c>
      <c r="E1478" s="52">
        <f t="shared" si="219"/>
        <v>0</v>
      </c>
      <c r="F1478" s="18"/>
      <c r="M1478" s="18"/>
      <c r="N1478" s="18"/>
      <c r="O1478" s="18"/>
      <c r="P1478" s="18"/>
      <c r="Q1478" s="22"/>
      <c r="R1478" s="21"/>
      <c r="S1478" s="21"/>
      <c r="T1478" s="21"/>
      <c r="AA1478"/>
      <c r="AH1478" t="str">
        <f t="shared" si="220"/>
        <v>k yet</v>
      </c>
    </row>
    <row r="1479" spans="1:39">
      <c r="A1479" s="42" t="s">
        <v>267</v>
      </c>
      <c r="B1479" s="1" t="s">
        <v>20</v>
      </c>
      <c r="C1479" s="40" t="str">
        <f t="shared" si="217"/>
        <v>22-&gt;</v>
      </c>
      <c r="D1479" s="40" t="str">
        <f t="shared" si="218"/>
        <v xml:space="preserve">No pick yet                                                 </v>
      </c>
      <c r="E1479" s="52">
        <f t="shared" si="219"/>
        <v>0</v>
      </c>
      <c r="F1479" s="18"/>
      <c r="M1479" s="18"/>
      <c r="N1479" s="18"/>
      <c r="O1479" s="18"/>
      <c r="P1479" s="18"/>
      <c r="Q1479" s="22"/>
      <c r="R1479" s="21"/>
      <c r="S1479" s="21"/>
      <c r="T1479" s="21"/>
      <c r="AA1479"/>
      <c r="AH1479" t="str">
        <f t="shared" si="220"/>
        <v>k yet</v>
      </c>
    </row>
    <row r="1480" spans="1:39">
      <c r="A1480" s="42" t="s">
        <v>268</v>
      </c>
      <c r="B1480" s="1" t="s">
        <v>20</v>
      </c>
      <c r="C1480" s="40" t="str">
        <f t="shared" si="217"/>
        <v>23-&gt;</v>
      </c>
      <c r="D1480" s="40" t="str">
        <f t="shared" si="218"/>
        <v xml:space="preserve">No pick yet                                                 </v>
      </c>
      <c r="E1480" s="52">
        <f t="shared" si="219"/>
        <v>0</v>
      </c>
      <c r="F1480" s="18"/>
      <c r="M1480" s="18"/>
      <c r="N1480" s="18"/>
      <c r="O1480" s="18"/>
      <c r="P1480" s="18"/>
      <c r="Q1480" s="22"/>
      <c r="R1480" s="21"/>
      <c r="S1480" s="21"/>
      <c r="T1480" s="21"/>
      <c r="AA1480"/>
      <c r="AH1480" t="str">
        <f t="shared" si="220"/>
        <v>k yet</v>
      </c>
    </row>
    <row r="1481" spans="1:39">
      <c r="A1481" s="42" t="s">
        <v>269</v>
      </c>
      <c r="B1481" s="1" t="s">
        <v>20</v>
      </c>
      <c r="C1481" s="40" t="str">
        <f t="shared" si="217"/>
        <v>24-&gt;</v>
      </c>
      <c r="D1481" s="40" t="str">
        <f t="shared" si="218"/>
        <v xml:space="preserve">No pick yet                                                 </v>
      </c>
      <c r="E1481" s="52">
        <f t="shared" si="219"/>
        <v>0</v>
      </c>
      <c r="F1481" s="18"/>
      <c r="M1481" s="18"/>
      <c r="N1481" s="18"/>
      <c r="O1481" s="18"/>
      <c r="P1481" s="18"/>
      <c r="Q1481" s="22"/>
      <c r="R1481" s="21"/>
      <c r="S1481" s="21"/>
      <c r="T1481" s="21"/>
      <c r="AA1481"/>
      <c r="AH1481" t="str">
        <f t="shared" si="220"/>
        <v>k yet</v>
      </c>
    </row>
    <row r="1482" spans="1:39">
      <c r="A1482" s="42" t="s">
        <v>270</v>
      </c>
      <c r="B1482" s="1" t="s">
        <v>20</v>
      </c>
      <c r="C1482" s="40" t="str">
        <f t="shared" si="217"/>
        <v>25-&gt;</v>
      </c>
      <c r="D1482" s="40" t="str">
        <f t="shared" si="218"/>
        <v xml:space="preserve">No pick yet                                                 </v>
      </c>
      <c r="E1482" s="52">
        <f t="shared" si="219"/>
        <v>0</v>
      </c>
      <c r="F1482" s="18"/>
      <c r="M1482" s="18"/>
      <c r="N1482" s="18"/>
      <c r="O1482" s="18"/>
      <c r="P1482" s="18"/>
      <c r="Q1482" s="22"/>
      <c r="R1482" s="21"/>
      <c r="S1482" s="21"/>
      <c r="T1482" s="21"/>
      <c r="AA1482"/>
      <c r="AH1482" t="str">
        <f t="shared" si="220"/>
        <v>k yet</v>
      </c>
    </row>
    <row r="1483" spans="1:39">
      <c r="A1483" s="42" t="s">
        <v>271</v>
      </c>
      <c r="B1483" s="1" t="s">
        <v>20</v>
      </c>
      <c r="C1483" s="40" t="str">
        <f t="shared" si="217"/>
        <v>26-&gt;</v>
      </c>
      <c r="D1483" s="40" t="str">
        <f t="shared" si="218"/>
        <v xml:space="preserve">No pick yet                                                 </v>
      </c>
      <c r="E1483" s="52">
        <f t="shared" si="219"/>
        <v>0</v>
      </c>
      <c r="F1483" s="18"/>
      <c r="M1483" s="18"/>
      <c r="N1483" s="18"/>
      <c r="O1483" s="18"/>
      <c r="P1483" s="18"/>
      <c r="Q1483" s="22"/>
      <c r="R1483" s="21"/>
      <c r="S1483" s="21"/>
      <c r="T1483" s="21"/>
      <c r="AA1483"/>
      <c r="AH1483" t="str">
        <f t="shared" si="220"/>
        <v>k yet</v>
      </c>
    </row>
    <row r="1484" spans="1:39">
      <c r="A1484" s="38"/>
      <c r="B1484" s="40"/>
      <c r="C1484" s="40"/>
      <c r="D1484" s="49"/>
      <c r="E1484" s="41" t="s">
        <v>69</v>
      </c>
      <c r="F1484" s="18"/>
      <c r="K1484" s="22" t="s">
        <v>73</v>
      </c>
      <c r="L1484" s="18" t="s">
        <v>74</v>
      </c>
      <c r="M1484" s="22" t="s">
        <v>78</v>
      </c>
      <c r="N1484" s="22" t="s">
        <v>79</v>
      </c>
      <c r="O1484" s="22" t="s">
        <v>80</v>
      </c>
      <c r="P1484" s="22" t="s">
        <v>81</v>
      </c>
      <c r="Q1484" s="22" t="s">
        <v>82</v>
      </c>
      <c r="R1484" s="22" t="s">
        <v>83</v>
      </c>
      <c r="S1484" s="22" t="s">
        <v>84</v>
      </c>
      <c r="T1484" s="18" t="s">
        <v>85</v>
      </c>
      <c r="U1484" s="18" t="s">
        <v>86</v>
      </c>
      <c r="V1484" s="18" t="s">
        <v>87</v>
      </c>
      <c r="W1484" s="18" t="s">
        <v>88</v>
      </c>
      <c r="X1484" s="18" t="s">
        <v>89</v>
      </c>
      <c r="Y1484" s="18" t="s">
        <v>90</v>
      </c>
      <c r="Z1484" s="18" t="s">
        <v>91</v>
      </c>
      <c r="AA1484" s="18" t="s">
        <v>92</v>
      </c>
      <c r="AB1484" s="18" t="s">
        <v>93</v>
      </c>
      <c r="AC1484" s="18" t="s">
        <v>94</v>
      </c>
      <c r="AD1484" s="18" t="s">
        <v>235</v>
      </c>
      <c r="AE1484" s="18" t="s">
        <v>236</v>
      </c>
      <c r="AF1484" s="18" t="s">
        <v>237</v>
      </c>
      <c r="AG1484" s="18" t="s">
        <v>238</v>
      </c>
      <c r="AH1484" s="18" t="s">
        <v>239</v>
      </c>
      <c r="AI1484" s="18" t="s">
        <v>240</v>
      </c>
      <c r="AJ1484" s="18" t="s">
        <v>241</v>
      </c>
      <c r="AK1484" s="18" t="s">
        <v>242</v>
      </c>
      <c r="AL1484" s="18" t="s">
        <v>243</v>
      </c>
      <c r="AM1484" s="50" t="s">
        <v>244</v>
      </c>
    </row>
    <row r="1485" spans="1:39">
      <c r="A1485" s="40" t="s">
        <v>245</v>
      </c>
      <c r="B1485" s="51" t="str">
        <f>D52</f>
        <v/>
      </c>
      <c r="C1485" s="40" t="str">
        <f t="shared" ref="C1485:C1511" si="221">A1485</f>
        <v>#</v>
      </c>
      <c r="D1485" s="40" t="str">
        <f>"   "&amp;B1485&amp;REPT(" ",$AH$70-LEN(B1485)-3)</f>
        <v xml:space="preserve">                                                            </v>
      </c>
      <c r="E1485" s="38" t="str">
        <f>SUM(E1486:E1511)&amp;" pts[/b]"</f>
        <v>0 pts[/b]</v>
      </c>
      <c r="F1485" s="21">
        <f>SUM(E1486:E1511)</f>
        <v>0</v>
      </c>
      <c r="K1485" s="18">
        <f>COUNTIF(E1486:E1511,"&gt;0")</f>
        <v>0</v>
      </c>
      <c r="L1485" s="21">
        <f>AM1485-K1485</f>
        <v>0</v>
      </c>
      <c r="M1485" s="22">
        <f>MAX(E1486:E1511)</f>
        <v>0</v>
      </c>
      <c r="N1485" s="22">
        <f>LARGE(E1486:E1511,2)</f>
        <v>0</v>
      </c>
      <c r="O1485" s="22">
        <f>LARGE(E1486:E1511,3)</f>
        <v>0</v>
      </c>
      <c r="P1485" s="18">
        <f>LARGE(E1486:E1511,4)</f>
        <v>0</v>
      </c>
      <c r="Q1485" s="22">
        <f>LARGE(E1486:E1511,5)</f>
        <v>0</v>
      </c>
      <c r="R1485" s="22">
        <f>LARGE(E1486:E1511,6)</f>
        <v>0</v>
      </c>
      <c r="S1485" s="22">
        <f>LARGE(E1486:E1511,7)</f>
        <v>0</v>
      </c>
      <c r="T1485" s="18">
        <f>LARGE(E1486:E1511,8)</f>
        <v>0</v>
      </c>
      <c r="U1485" s="18">
        <f>LARGE(E1486:E1511,9)</f>
        <v>0</v>
      </c>
      <c r="V1485" s="18">
        <f>LARGE(E1486:E1511,10)</f>
        <v>0</v>
      </c>
      <c r="W1485" s="18">
        <f>LARGE(E1486:E1511,11)</f>
        <v>0</v>
      </c>
      <c r="X1485" s="18">
        <f>LARGE(E1486:E1511,12)</f>
        <v>0</v>
      </c>
      <c r="Y1485" s="18">
        <f>LARGE(E1486:E1511,13)</f>
        <v>0</v>
      </c>
      <c r="Z1485" s="18">
        <f>LARGE(E1486:E1511,14)</f>
        <v>0</v>
      </c>
      <c r="AA1485" s="18">
        <f>LARGE(E1486:E1511,15)</f>
        <v>0</v>
      </c>
      <c r="AB1485" s="18">
        <f>LARGE(E1486:E1511,16)</f>
        <v>0</v>
      </c>
      <c r="AC1485" s="18">
        <f>LARGE(E1486:E1511,17)</f>
        <v>0</v>
      </c>
      <c r="AD1485" s="18">
        <f>LARGE(E1486:E1512,13)</f>
        <v>0</v>
      </c>
      <c r="AE1485" s="18">
        <f>LARGE(E1486:E1511,19)</f>
        <v>0</v>
      </c>
      <c r="AF1485" s="18">
        <f>LARGE(E1486:E1511,20)</f>
        <v>0</v>
      </c>
      <c r="AG1485" s="18">
        <f>LARGE(E1486:E1511,21)</f>
        <v>0</v>
      </c>
      <c r="AH1485" s="18">
        <f>LARGE(E1486:E1511,22)</f>
        <v>0</v>
      </c>
      <c r="AI1485" s="18">
        <f>LARGE(E1486:E1511,23)</f>
        <v>0</v>
      </c>
      <c r="AJ1485" s="18">
        <f>LARGE(E1486:E1511,24)</f>
        <v>0</v>
      </c>
      <c r="AK1485" s="18">
        <f>LARGE(E1486:E1511,25)</f>
        <v>0</v>
      </c>
      <c r="AL1485" s="18">
        <f>LARGE(E1486:E1511,26)</f>
        <v>0</v>
      </c>
      <c r="AM1485" s="50">
        <f>COUNTIF(AH1486:AH1511,"&lt;&gt;"&amp;AH76)-(26-COUNTIF(E1486:E1511,"&gt;=0"))</f>
        <v>0</v>
      </c>
    </row>
    <row r="1486" spans="1:39">
      <c r="A1486" s="42" t="s">
        <v>246</v>
      </c>
      <c r="B1486" s="1" t="s">
        <v>20</v>
      </c>
      <c r="C1486" s="40" t="str">
        <f t="shared" si="221"/>
        <v>01-&gt;</v>
      </c>
      <c r="D1486" s="40" t="str">
        <f t="shared" ref="D1486:D1511" si="222">B1486&amp;REPT(" ",$AH$70-LEN(B1486))</f>
        <v xml:space="preserve">No pick yet                                                 </v>
      </c>
      <c r="E1486" s="52">
        <f t="shared" ref="E1486:E1511" si="223">VLOOKUP(RIGHT(B1486,LEN(B1486)-$AH$66),$H$138:$I$420,2,0)</f>
        <v>0</v>
      </c>
      <c r="F1486" s="18"/>
      <c r="M1486" s="18"/>
      <c r="N1486" s="18"/>
      <c r="O1486" s="18"/>
      <c r="P1486" s="18"/>
      <c r="Q1486" s="22"/>
      <c r="R1486" s="21"/>
      <c r="S1486" s="21"/>
      <c r="T1486" s="21"/>
      <c r="AA1486"/>
      <c r="AH1486" t="str">
        <f t="shared" ref="AH1486:AH1511" si="224">RIGHT(B1486,LEN(B1486)-$AH$66)</f>
        <v>k yet</v>
      </c>
    </row>
    <row r="1487" spans="1:39">
      <c r="A1487" s="42" t="s">
        <v>247</v>
      </c>
      <c r="B1487" s="1" t="s">
        <v>20</v>
      </c>
      <c r="C1487" s="40" t="str">
        <f t="shared" si="221"/>
        <v>02-&gt;</v>
      </c>
      <c r="D1487" s="40" t="str">
        <f t="shared" si="222"/>
        <v xml:space="preserve">No pick yet                                                 </v>
      </c>
      <c r="E1487" s="52">
        <f t="shared" si="223"/>
        <v>0</v>
      </c>
      <c r="F1487" s="18"/>
      <c r="K1487" s="22"/>
      <c r="N1487" s="22"/>
      <c r="O1487" s="22"/>
      <c r="P1487" s="22"/>
      <c r="Q1487" s="22"/>
      <c r="R1487" s="22"/>
      <c r="S1487" s="22"/>
      <c r="Z1487" s="53"/>
      <c r="AA1487"/>
      <c r="AH1487" t="str">
        <f t="shared" si="224"/>
        <v>k yet</v>
      </c>
    </row>
    <row r="1488" spans="1:39">
      <c r="A1488" s="42" t="s">
        <v>248</v>
      </c>
      <c r="B1488" s="1" t="s">
        <v>20</v>
      </c>
      <c r="C1488" s="40" t="str">
        <f t="shared" si="221"/>
        <v>03-&gt;</v>
      </c>
      <c r="D1488" s="40" t="str">
        <f t="shared" si="222"/>
        <v xml:space="preserve">No pick yet                                                 </v>
      </c>
      <c r="E1488" s="52">
        <f t="shared" si="223"/>
        <v>0</v>
      </c>
      <c r="F1488" s="18"/>
      <c r="L1488" s="21"/>
      <c r="N1488" s="22"/>
      <c r="O1488" s="22"/>
      <c r="P1488" s="18"/>
      <c r="Q1488" s="22"/>
      <c r="R1488" s="22"/>
      <c r="S1488" s="22"/>
      <c r="Z1488" s="53"/>
      <c r="AA1488"/>
      <c r="AH1488" t="str">
        <f t="shared" si="224"/>
        <v>k yet</v>
      </c>
    </row>
    <row r="1489" spans="1:34">
      <c r="A1489" s="42" t="s">
        <v>249</v>
      </c>
      <c r="B1489" s="1" t="s">
        <v>20</v>
      </c>
      <c r="C1489" s="40" t="str">
        <f t="shared" si="221"/>
        <v>04-&gt;</v>
      </c>
      <c r="D1489" s="40" t="str">
        <f t="shared" si="222"/>
        <v xml:space="preserve">No pick yet                                                 </v>
      </c>
      <c r="E1489" s="52">
        <f t="shared" si="223"/>
        <v>0</v>
      </c>
      <c r="F1489" s="18"/>
      <c r="M1489" s="18"/>
      <c r="N1489" s="18"/>
      <c r="O1489" s="18"/>
      <c r="P1489" s="18"/>
      <c r="Q1489" s="22"/>
      <c r="R1489" s="21"/>
      <c r="S1489" s="21"/>
      <c r="T1489" s="21"/>
      <c r="AA1489"/>
      <c r="AH1489" t="str">
        <f t="shared" si="224"/>
        <v>k yet</v>
      </c>
    </row>
    <row r="1490" spans="1:34">
      <c r="A1490" s="42" t="s">
        <v>250</v>
      </c>
      <c r="B1490" s="1" t="s">
        <v>20</v>
      </c>
      <c r="C1490" s="40" t="str">
        <f t="shared" si="221"/>
        <v>05-&gt;</v>
      </c>
      <c r="D1490" s="40" t="str">
        <f t="shared" si="222"/>
        <v xml:space="preserve">No pick yet                                                 </v>
      </c>
      <c r="E1490" s="52">
        <f t="shared" si="223"/>
        <v>0</v>
      </c>
      <c r="F1490" s="18"/>
      <c r="M1490" s="18"/>
      <c r="N1490" s="18"/>
      <c r="O1490" s="18"/>
      <c r="P1490" s="18"/>
      <c r="Q1490" s="22"/>
      <c r="R1490" s="21"/>
      <c r="S1490" s="21"/>
      <c r="T1490" s="21"/>
      <c r="AA1490"/>
      <c r="AH1490" t="str">
        <f t="shared" si="224"/>
        <v>k yet</v>
      </c>
    </row>
    <row r="1491" spans="1:34">
      <c r="A1491" s="42" t="s">
        <v>251</v>
      </c>
      <c r="B1491" s="1" t="s">
        <v>20</v>
      </c>
      <c r="C1491" s="40" t="str">
        <f t="shared" si="221"/>
        <v>06-&gt;</v>
      </c>
      <c r="D1491" s="40" t="str">
        <f t="shared" si="222"/>
        <v xml:space="preserve">No pick yet                                                 </v>
      </c>
      <c r="E1491" s="52">
        <f t="shared" si="223"/>
        <v>0</v>
      </c>
      <c r="F1491" s="18"/>
      <c r="M1491" s="18"/>
      <c r="N1491" s="18"/>
      <c r="O1491" s="18"/>
      <c r="P1491" s="18"/>
      <c r="Q1491" s="22"/>
      <c r="R1491" s="21"/>
      <c r="S1491" s="21"/>
      <c r="T1491" s="21"/>
      <c r="AA1491"/>
      <c r="AH1491" t="str">
        <f t="shared" si="224"/>
        <v>k yet</v>
      </c>
    </row>
    <row r="1492" spans="1:34">
      <c r="A1492" s="42" t="s">
        <v>252</v>
      </c>
      <c r="B1492" s="1" t="s">
        <v>20</v>
      </c>
      <c r="C1492" s="40" t="str">
        <f t="shared" si="221"/>
        <v>07-&gt;</v>
      </c>
      <c r="D1492" s="40" t="str">
        <f t="shared" si="222"/>
        <v xml:space="preserve">No pick yet                                                 </v>
      </c>
      <c r="E1492" s="52">
        <f t="shared" si="223"/>
        <v>0</v>
      </c>
      <c r="F1492" s="18"/>
      <c r="M1492" s="18"/>
      <c r="N1492" s="18"/>
      <c r="O1492" s="18"/>
      <c r="P1492" s="18"/>
      <c r="Q1492" s="22"/>
      <c r="R1492" s="21"/>
      <c r="S1492" s="21"/>
      <c r="T1492" s="21"/>
      <c r="AA1492"/>
      <c r="AH1492" t="str">
        <f t="shared" si="224"/>
        <v>k yet</v>
      </c>
    </row>
    <row r="1493" spans="1:34">
      <c r="A1493" s="42" t="s">
        <v>253</v>
      </c>
      <c r="B1493" s="1" t="s">
        <v>20</v>
      </c>
      <c r="C1493" s="40" t="str">
        <f t="shared" si="221"/>
        <v>08-&gt;</v>
      </c>
      <c r="D1493" s="40" t="str">
        <f t="shared" si="222"/>
        <v xml:space="preserve">No pick yet                                                 </v>
      </c>
      <c r="E1493" s="52">
        <f t="shared" si="223"/>
        <v>0</v>
      </c>
      <c r="F1493" s="18"/>
      <c r="M1493" s="18"/>
      <c r="N1493" s="18"/>
      <c r="O1493" s="18"/>
      <c r="P1493" s="18"/>
      <c r="Q1493" s="22"/>
      <c r="R1493" s="21"/>
      <c r="S1493" s="21"/>
      <c r="T1493" s="21"/>
      <c r="AA1493"/>
      <c r="AH1493" t="str">
        <f t="shared" si="224"/>
        <v>k yet</v>
      </c>
    </row>
    <row r="1494" spans="1:34">
      <c r="A1494" s="42" t="s">
        <v>254</v>
      </c>
      <c r="B1494" s="1" t="s">
        <v>20</v>
      </c>
      <c r="C1494" s="40" t="str">
        <f t="shared" si="221"/>
        <v>09-&gt;</v>
      </c>
      <c r="D1494" s="40" t="str">
        <f t="shared" si="222"/>
        <v xml:space="preserve">No pick yet                                                 </v>
      </c>
      <c r="E1494" s="52">
        <f t="shared" si="223"/>
        <v>0</v>
      </c>
      <c r="F1494" s="18"/>
      <c r="M1494" s="18"/>
      <c r="N1494" s="18"/>
      <c r="O1494" s="18"/>
      <c r="P1494" s="18"/>
      <c r="Q1494" s="22"/>
      <c r="R1494" s="21"/>
      <c r="S1494" s="21"/>
      <c r="T1494" s="21"/>
      <c r="AA1494"/>
      <c r="AH1494" t="str">
        <f t="shared" si="224"/>
        <v>k yet</v>
      </c>
    </row>
    <row r="1495" spans="1:34">
      <c r="A1495" s="42" t="s">
        <v>255</v>
      </c>
      <c r="B1495" s="1" t="s">
        <v>20</v>
      </c>
      <c r="C1495" s="40" t="str">
        <f t="shared" si="221"/>
        <v>10-&gt;</v>
      </c>
      <c r="D1495" s="40" t="str">
        <f t="shared" si="222"/>
        <v xml:space="preserve">No pick yet                                                 </v>
      </c>
      <c r="E1495" s="52">
        <f t="shared" si="223"/>
        <v>0</v>
      </c>
      <c r="F1495" s="22"/>
      <c r="M1495" s="18"/>
      <c r="N1495" s="18"/>
      <c r="O1495" s="18"/>
      <c r="P1495" s="18"/>
      <c r="Q1495" s="22"/>
      <c r="R1495" s="21"/>
      <c r="S1495" s="21"/>
      <c r="T1495" s="21"/>
      <c r="AA1495"/>
      <c r="AH1495" t="str">
        <f t="shared" si="224"/>
        <v>k yet</v>
      </c>
    </row>
    <row r="1496" spans="1:34">
      <c r="A1496" s="42" t="s">
        <v>256</v>
      </c>
      <c r="B1496" s="1" t="s">
        <v>20</v>
      </c>
      <c r="C1496" s="40" t="str">
        <f t="shared" si="221"/>
        <v>11-&gt;</v>
      </c>
      <c r="D1496" s="40" t="str">
        <f t="shared" si="222"/>
        <v xml:space="preserve">No pick yet                                                 </v>
      </c>
      <c r="E1496" s="52">
        <f t="shared" si="223"/>
        <v>0</v>
      </c>
      <c r="M1496" s="18"/>
      <c r="N1496" s="18"/>
      <c r="O1496" s="18"/>
      <c r="P1496" s="18"/>
      <c r="Q1496" s="22"/>
      <c r="R1496" s="21"/>
      <c r="S1496" s="21"/>
      <c r="T1496" s="21"/>
      <c r="AA1496"/>
      <c r="AH1496" t="str">
        <f t="shared" si="224"/>
        <v>k yet</v>
      </c>
    </row>
    <row r="1497" spans="1:34">
      <c r="A1497" s="42" t="s">
        <v>257</v>
      </c>
      <c r="B1497" s="1" t="s">
        <v>20</v>
      </c>
      <c r="C1497" s="40" t="str">
        <f t="shared" si="221"/>
        <v>12-&gt;</v>
      </c>
      <c r="D1497" s="40" t="str">
        <f t="shared" si="222"/>
        <v xml:space="preserve">No pick yet                                                 </v>
      </c>
      <c r="E1497" s="52">
        <f t="shared" si="223"/>
        <v>0</v>
      </c>
      <c r="M1497" s="18"/>
      <c r="N1497" s="18"/>
      <c r="O1497" s="18"/>
      <c r="P1497" s="18"/>
      <c r="Q1497" s="22"/>
      <c r="R1497" s="21"/>
      <c r="S1497" s="21"/>
      <c r="T1497" s="21"/>
      <c r="AA1497"/>
      <c r="AH1497" t="str">
        <f t="shared" si="224"/>
        <v>k yet</v>
      </c>
    </row>
    <row r="1498" spans="1:34">
      <c r="A1498" s="42" t="s">
        <v>258</v>
      </c>
      <c r="B1498" s="1" t="s">
        <v>20</v>
      </c>
      <c r="C1498" s="40" t="str">
        <f t="shared" si="221"/>
        <v>13-&gt;</v>
      </c>
      <c r="D1498" s="40" t="str">
        <f t="shared" si="222"/>
        <v xml:space="preserve">No pick yet                                                 </v>
      </c>
      <c r="E1498" s="52">
        <f t="shared" si="223"/>
        <v>0</v>
      </c>
      <c r="M1498" s="18"/>
      <c r="N1498" s="18"/>
      <c r="O1498" s="18"/>
      <c r="P1498" s="18"/>
      <c r="Q1498" s="22"/>
      <c r="R1498" s="21"/>
      <c r="S1498" s="21"/>
      <c r="T1498" s="21"/>
      <c r="AA1498"/>
      <c r="AH1498" t="str">
        <f t="shared" si="224"/>
        <v>k yet</v>
      </c>
    </row>
    <row r="1499" spans="1:34">
      <c r="A1499" s="42" t="s">
        <v>259</v>
      </c>
      <c r="B1499" s="1" t="s">
        <v>20</v>
      </c>
      <c r="C1499" s="40" t="str">
        <f t="shared" si="221"/>
        <v>14-&gt;</v>
      </c>
      <c r="D1499" s="40" t="str">
        <f t="shared" si="222"/>
        <v xml:space="preserve">No pick yet                                                 </v>
      </c>
      <c r="E1499" s="52">
        <f t="shared" si="223"/>
        <v>0</v>
      </c>
      <c r="M1499" s="18"/>
      <c r="N1499" s="18"/>
      <c r="O1499" s="18"/>
      <c r="P1499" s="18"/>
      <c r="Q1499" s="22"/>
      <c r="R1499" s="21"/>
      <c r="S1499" s="21"/>
      <c r="T1499" s="21"/>
      <c r="AA1499"/>
      <c r="AH1499" t="str">
        <f t="shared" si="224"/>
        <v>k yet</v>
      </c>
    </row>
    <row r="1500" spans="1:34">
      <c r="A1500" s="42" t="s">
        <v>260</v>
      </c>
      <c r="B1500" s="1" t="s">
        <v>20</v>
      </c>
      <c r="C1500" s="40" t="str">
        <f t="shared" si="221"/>
        <v>15-&gt;</v>
      </c>
      <c r="D1500" s="40" t="str">
        <f t="shared" si="222"/>
        <v xml:space="preserve">No pick yet                                                 </v>
      </c>
      <c r="E1500" s="52">
        <f t="shared" si="223"/>
        <v>0</v>
      </c>
      <c r="M1500" s="18"/>
      <c r="N1500" s="18"/>
      <c r="O1500" s="18"/>
      <c r="P1500" s="18"/>
      <c r="Q1500" s="22"/>
      <c r="R1500" s="21"/>
      <c r="S1500" s="21"/>
      <c r="T1500" s="21"/>
      <c r="AA1500"/>
      <c r="AH1500" t="str">
        <f t="shared" si="224"/>
        <v>k yet</v>
      </c>
    </row>
    <row r="1501" spans="1:34">
      <c r="A1501" s="42" t="s">
        <v>261</v>
      </c>
      <c r="B1501" s="1" t="s">
        <v>20</v>
      </c>
      <c r="C1501" s="40" t="str">
        <f t="shared" si="221"/>
        <v>16-&gt;</v>
      </c>
      <c r="D1501" s="40" t="str">
        <f t="shared" si="222"/>
        <v xml:space="preserve">No pick yet                                                 </v>
      </c>
      <c r="E1501" s="52">
        <f t="shared" si="223"/>
        <v>0</v>
      </c>
      <c r="M1501" s="18"/>
      <c r="N1501" s="18"/>
      <c r="O1501" s="18"/>
      <c r="P1501" s="18"/>
      <c r="Q1501" s="22"/>
      <c r="R1501" s="21"/>
      <c r="S1501" s="21"/>
      <c r="T1501" s="21"/>
      <c r="AA1501"/>
      <c r="AH1501" t="str">
        <f t="shared" si="224"/>
        <v>k yet</v>
      </c>
    </row>
    <row r="1502" spans="1:34">
      <c r="A1502" s="42" t="s">
        <v>262</v>
      </c>
      <c r="B1502" s="1" t="s">
        <v>20</v>
      </c>
      <c r="C1502" s="40" t="str">
        <f t="shared" si="221"/>
        <v>17-&gt;</v>
      </c>
      <c r="D1502" s="40" t="str">
        <f t="shared" si="222"/>
        <v xml:space="preserve">No pick yet                                                 </v>
      </c>
      <c r="E1502" s="52">
        <f t="shared" si="223"/>
        <v>0</v>
      </c>
      <c r="K1502" s="22"/>
      <c r="N1502" s="22"/>
      <c r="O1502" s="22"/>
      <c r="P1502" s="22"/>
      <c r="Q1502" s="22"/>
      <c r="R1502" s="22"/>
      <c r="S1502" s="22"/>
      <c r="Z1502" s="53"/>
      <c r="AA1502"/>
      <c r="AH1502" t="str">
        <f t="shared" si="224"/>
        <v>k yet</v>
      </c>
    </row>
    <row r="1503" spans="1:34">
      <c r="A1503" s="42" t="s">
        <v>263</v>
      </c>
      <c r="B1503" s="1" t="s">
        <v>20</v>
      </c>
      <c r="C1503" s="40" t="str">
        <f t="shared" si="221"/>
        <v>18-&gt;</v>
      </c>
      <c r="D1503" s="40" t="str">
        <f t="shared" si="222"/>
        <v xml:space="preserve">No pick yet                                                 </v>
      </c>
      <c r="E1503" s="52">
        <f t="shared" si="223"/>
        <v>0</v>
      </c>
      <c r="F1503" s="18"/>
      <c r="L1503" s="21"/>
      <c r="N1503" s="22"/>
      <c r="O1503" s="22"/>
      <c r="P1503" s="18"/>
      <c r="Q1503" s="22"/>
      <c r="R1503" s="22"/>
      <c r="S1503" s="22"/>
      <c r="Z1503" s="53"/>
      <c r="AA1503"/>
      <c r="AH1503" t="str">
        <f t="shared" si="224"/>
        <v>k yet</v>
      </c>
    </row>
    <row r="1504" spans="1:34">
      <c r="A1504" s="42" t="s">
        <v>264</v>
      </c>
      <c r="B1504" s="1" t="s">
        <v>20</v>
      </c>
      <c r="C1504" s="40" t="str">
        <f t="shared" si="221"/>
        <v>19-&gt;</v>
      </c>
      <c r="D1504" s="40" t="str">
        <f t="shared" si="222"/>
        <v xml:space="preserve">No pick yet                                                 </v>
      </c>
      <c r="E1504" s="52">
        <f t="shared" si="223"/>
        <v>0</v>
      </c>
      <c r="F1504" s="18"/>
      <c r="M1504" s="18"/>
      <c r="N1504" s="18"/>
      <c r="O1504" s="18"/>
      <c r="P1504" s="18"/>
      <c r="Q1504" s="22"/>
      <c r="R1504" s="21"/>
      <c r="S1504" s="21"/>
      <c r="T1504" s="21"/>
      <c r="AA1504"/>
      <c r="AH1504" t="str">
        <f t="shared" si="224"/>
        <v>k yet</v>
      </c>
    </row>
    <row r="1505" spans="1:39">
      <c r="A1505" s="42" t="s">
        <v>265</v>
      </c>
      <c r="B1505" s="1" t="s">
        <v>20</v>
      </c>
      <c r="C1505" s="40" t="str">
        <f t="shared" si="221"/>
        <v>20-&gt;</v>
      </c>
      <c r="D1505" s="40" t="str">
        <f t="shared" si="222"/>
        <v xml:space="preserve">No pick yet                                                 </v>
      </c>
      <c r="E1505" s="52">
        <f t="shared" si="223"/>
        <v>0</v>
      </c>
      <c r="F1505" s="18"/>
      <c r="M1505" s="18"/>
      <c r="N1505" s="18"/>
      <c r="O1505" s="18"/>
      <c r="P1505" s="18"/>
      <c r="Q1505" s="22"/>
      <c r="R1505" s="21"/>
      <c r="S1505" s="21"/>
      <c r="T1505" s="21"/>
      <c r="AA1505"/>
      <c r="AH1505" t="str">
        <f t="shared" si="224"/>
        <v>k yet</v>
      </c>
    </row>
    <row r="1506" spans="1:39">
      <c r="A1506" s="42" t="s">
        <v>266</v>
      </c>
      <c r="B1506" s="1" t="s">
        <v>20</v>
      </c>
      <c r="C1506" s="40" t="str">
        <f t="shared" si="221"/>
        <v>21-&gt;</v>
      </c>
      <c r="D1506" s="40" t="str">
        <f t="shared" si="222"/>
        <v xml:space="preserve">No pick yet                                                 </v>
      </c>
      <c r="E1506" s="52">
        <f t="shared" si="223"/>
        <v>0</v>
      </c>
      <c r="F1506" s="18"/>
      <c r="M1506" s="18"/>
      <c r="N1506" s="18"/>
      <c r="O1506" s="18"/>
      <c r="P1506" s="18"/>
      <c r="Q1506" s="22"/>
      <c r="R1506" s="21"/>
      <c r="S1506" s="21"/>
      <c r="T1506" s="21"/>
      <c r="AA1506"/>
      <c r="AH1506" t="str">
        <f t="shared" si="224"/>
        <v>k yet</v>
      </c>
    </row>
    <row r="1507" spans="1:39">
      <c r="A1507" s="42" t="s">
        <v>267</v>
      </c>
      <c r="B1507" s="1" t="s">
        <v>20</v>
      </c>
      <c r="C1507" s="40" t="str">
        <f t="shared" si="221"/>
        <v>22-&gt;</v>
      </c>
      <c r="D1507" s="40" t="str">
        <f t="shared" si="222"/>
        <v xml:space="preserve">No pick yet                                                 </v>
      </c>
      <c r="E1507" s="52">
        <f t="shared" si="223"/>
        <v>0</v>
      </c>
      <c r="F1507" s="18"/>
      <c r="M1507" s="18"/>
      <c r="N1507" s="18"/>
      <c r="O1507" s="18"/>
      <c r="P1507" s="18"/>
      <c r="Q1507" s="22"/>
      <c r="R1507" s="21"/>
      <c r="S1507" s="21"/>
      <c r="T1507" s="21"/>
      <c r="AA1507"/>
      <c r="AH1507" t="str">
        <f t="shared" si="224"/>
        <v>k yet</v>
      </c>
    </row>
    <row r="1508" spans="1:39">
      <c r="A1508" s="42" t="s">
        <v>268</v>
      </c>
      <c r="B1508" s="1" t="s">
        <v>20</v>
      </c>
      <c r="C1508" s="40" t="str">
        <f t="shared" si="221"/>
        <v>23-&gt;</v>
      </c>
      <c r="D1508" s="40" t="str">
        <f t="shared" si="222"/>
        <v xml:space="preserve">No pick yet                                                 </v>
      </c>
      <c r="E1508" s="52">
        <f t="shared" si="223"/>
        <v>0</v>
      </c>
      <c r="F1508" s="18"/>
      <c r="M1508" s="18"/>
      <c r="N1508" s="18"/>
      <c r="O1508" s="18"/>
      <c r="P1508" s="18"/>
      <c r="Q1508" s="22"/>
      <c r="R1508" s="21"/>
      <c r="S1508" s="21"/>
      <c r="T1508" s="21"/>
      <c r="AA1508"/>
      <c r="AH1508" t="str">
        <f t="shared" si="224"/>
        <v>k yet</v>
      </c>
    </row>
    <row r="1509" spans="1:39">
      <c r="A1509" s="42" t="s">
        <v>269</v>
      </c>
      <c r="B1509" s="1" t="s">
        <v>20</v>
      </c>
      <c r="C1509" s="40" t="str">
        <f t="shared" si="221"/>
        <v>24-&gt;</v>
      </c>
      <c r="D1509" s="40" t="str">
        <f t="shared" si="222"/>
        <v xml:space="preserve">No pick yet                                                 </v>
      </c>
      <c r="E1509" s="52">
        <f t="shared" si="223"/>
        <v>0</v>
      </c>
      <c r="F1509" s="18"/>
      <c r="M1509" s="18"/>
      <c r="N1509" s="18"/>
      <c r="O1509" s="18"/>
      <c r="P1509" s="18"/>
      <c r="Q1509" s="22"/>
      <c r="R1509" s="21"/>
      <c r="S1509" s="21"/>
      <c r="T1509" s="21"/>
      <c r="AA1509"/>
      <c r="AH1509" t="str">
        <f t="shared" si="224"/>
        <v>k yet</v>
      </c>
    </row>
    <row r="1510" spans="1:39">
      <c r="A1510" s="42" t="s">
        <v>270</v>
      </c>
      <c r="B1510" s="1" t="s">
        <v>20</v>
      </c>
      <c r="C1510" s="40" t="str">
        <f t="shared" si="221"/>
        <v>25-&gt;</v>
      </c>
      <c r="D1510" s="40" t="str">
        <f t="shared" si="222"/>
        <v xml:space="preserve">No pick yet                                                 </v>
      </c>
      <c r="E1510" s="52">
        <f t="shared" si="223"/>
        <v>0</v>
      </c>
      <c r="F1510" s="18"/>
      <c r="M1510" s="18"/>
      <c r="N1510" s="18"/>
      <c r="O1510" s="18"/>
      <c r="P1510" s="18"/>
      <c r="Q1510" s="22"/>
      <c r="R1510" s="21"/>
      <c r="S1510" s="21"/>
      <c r="T1510" s="21"/>
      <c r="AA1510"/>
      <c r="AH1510" t="str">
        <f t="shared" si="224"/>
        <v>k yet</v>
      </c>
    </row>
    <row r="1511" spans="1:39">
      <c r="A1511" s="42" t="s">
        <v>271</v>
      </c>
      <c r="B1511" s="1" t="s">
        <v>20</v>
      </c>
      <c r="C1511" s="40" t="str">
        <f t="shared" si="221"/>
        <v>26-&gt;</v>
      </c>
      <c r="D1511" s="40" t="str">
        <f t="shared" si="222"/>
        <v xml:space="preserve">No pick yet                                                 </v>
      </c>
      <c r="E1511" s="52">
        <f t="shared" si="223"/>
        <v>0</v>
      </c>
      <c r="F1511" s="18"/>
      <c r="M1511" s="18"/>
      <c r="N1511" s="18"/>
      <c r="O1511" s="18"/>
      <c r="P1511" s="18"/>
      <c r="Q1511" s="22"/>
      <c r="R1511" s="21"/>
      <c r="S1511" s="21"/>
      <c r="T1511" s="21"/>
      <c r="AA1511"/>
      <c r="AH1511" t="str">
        <f t="shared" si="224"/>
        <v>k yet</v>
      </c>
    </row>
    <row r="1512" spans="1:39">
      <c r="A1512" s="38"/>
      <c r="B1512" s="40"/>
      <c r="C1512" s="40"/>
      <c r="D1512" s="49"/>
      <c r="E1512" s="41" t="s">
        <v>69</v>
      </c>
      <c r="F1512" s="18"/>
      <c r="K1512" s="22" t="s">
        <v>73</v>
      </c>
      <c r="L1512" s="18" t="s">
        <v>74</v>
      </c>
      <c r="M1512" s="22" t="s">
        <v>78</v>
      </c>
      <c r="N1512" s="22" t="s">
        <v>79</v>
      </c>
      <c r="O1512" s="22" t="s">
        <v>80</v>
      </c>
      <c r="P1512" s="22" t="s">
        <v>81</v>
      </c>
      <c r="Q1512" s="22" t="s">
        <v>82</v>
      </c>
      <c r="R1512" s="22" t="s">
        <v>83</v>
      </c>
      <c r="S1512" s="22" t="s">
        <v>84</v>
      </c>
      <c r="T1512" s="18" t="s">
        <v>85</v>
      </c>
      <c r="U1512" s="18" t="s">
        <v>86</v>
      </c>
      <c r="V1512" s="18" t="s">
        <v>87</v>
      </c>
      <c r="W1512" s="18" t="s">
        <v>88</v>
      </c>
      <c r="X1512" s="18" t="s">
        <v>89</v>
      </c>
      <c r="Y1512" s="18" t="s">
        <v>90</v>
      </c>
      <c r="Z1512" s="18" t="s">
        <v>91</v>
      </c>
      <c r="AA1512" s="18" t="s">
        <v>92</v>
      </c>
      <c r="AB1512" s="18" t="s">
        <v>93</v>
      </c>
      <c r="AC1512" s="18" t="s">
        <v>94</v>
      </c>
      <c r="AD1512" s="18" t="s">
        <v>235</v>
      </c>
      <c r="AE1512" s="18" t="s">
        <v>236</v>
      </c>
      <c r="AF1512" s="18" t="s">
        <v>237</v>
      </c>
      <c r="AG1512" s="18" t="s">
        <v>238</v>
      </c>
      <c r="AH1512" s="18" t="s">
        <v>239</v>
      </c>
      <c r="AI1512" s="18" t="s">
        <v>240</v>
      </c>
      <c r="AJ1512" s="18" t="s">
        <v>241</v>
      </c>
      <c r="AK1512" s="18" t="s">
        <v>242</v>
      </c>
      <c r="AL1512" s="18" t="s">
        <v>243</v>
      </c>
      <c r="AM1512" s="50" t="s">
        <v>244</v>
      </c>
    </row>
    <row r="1513" spans="1:39">
      <c r="A1513" s="40" t="s">
        <v>245</v>
      </c>
      <c r="B1513" s="51" t="str">
        <f>D53</f>
        <v/>
      </c>
      <c r="C1513" s="40" t="str">
        <f t="shared" ref="C1513:C1539" si="225">A1513</f>
        <v>#</v>
      </c>
      <c r="D1513" s="40" t="str">
        <f>"   "&amp;B1513&amp;REPT(" ",$AH$70-LEN(B1513)-3)</f>
        <v xml:space="preserve">                                                            </v>
      </c>
      <c r="E1513" s="38" t="str">
        <f>SUM(E1514:E1539)&amp;" pts[/b]"</f>
        <v>0 pts[/b]</v>
      </c>
      <c r="F1513" s="21">
        <f>SUM(E1514:E1539)</f>
        <v>0</v>
      </c>
      <c r="K1513" s="18">
        <f>COUNTIF(E1514:E1539,"&gt;0")</f>
        <v>0</v>
      </c>
      <c r="L1513" s="21">
        <f>AM1513-K1513</f>
        <v>0</v>
      </c>
      <c r="M1513" s="22">
        <f>MAX(E1514:E1539)</f>
        <v>0</v>
      </c>
      <c r="N1513" s="22">
        <f>LARGE(E1514:E1539,2)</f>
        <v>0</v>
      </c>
      <c r="O1513" s="22">
        <f>LARGE(E1514:E1539,3)</f>
        <v>0</v>
      </c>
      <c r="P1513" s="18">
        <f>LARGE(E1514:E1539,4)</f>
        <v>0</v>
      </c>
      <c r="Q1513" s="22">
        <f>LARGE(E1514:E1539,5)</f>
        <v>0</v>
      </c>
      <c r="R1513" s="22">
        <f>LARGE(E1514:E1539,6)</f>
        <v>0</v>
      </c>
      <c r="S1513" s="22">
        <f>LARGE(E1514:E1539,7)</f>
        <v>0</v>
      </c>
      <c r="T1513" s="18">
        <f>LARGE(E1514:E1539,8)</f>
        <v>0</v>
      </c>
      <c r="U1513" s="18">
        <f>LARGE(E1514:E1539,9)</f>
        <v>0</v>
      </c>
      <c r="V1513" s="18">
        <f>LARGE(E1514:E1539,10)</f>
        <v>0</v>
      </c>
      <c r="W1513" s="18">
        <f>LARGE(E1514:E1539,11)</f>
        <v>0</v>
      </c>
      <c r="X1513" s="18">
        <f>LARGE(E1514:E1539,12)</f>
        <v>0</v>
      </c>
      <c r="Y1513" s="18">
        <f>LARGE(E1514:E1539,13)</f>
        <v>0</v>
      </c>
      <c r="Z1513" s="18">
        <f>LARGE(E1514:E1539,14)</f>
        <v>0</v>
      </c>
      <c r="AA1513" s="18">
        <f>LARGE(E1514:E1539,15)</f>
        <v>0</v>
      </c>
      <c r="AB1513" s="18">
        <f>LARGE(E1514:E1539,16)</f>
        <v>0</v>
      </c>
      <c r="AC1513" s="18">
        <f>LARGE(E1514:E1539,17)</f>
        <v>0</v>
      </c>
      <c r="AD1513" s="18">
        <f>LARGE(E1514:E1540,13)</f>
        <v>0</v>
      </c>
      <c r="AE1513" s="18">
        <f>LARGE(E1514:E1539,19)</f>
        <v>0</v>
      </c>
      <c r="AF1513" s="18">
        <f>LARGE(E1514:E1539,20)</f>
        <v>0</v>
      </c>
      <c r="AG1513" s="18">
        <f>LARGE(E1514:E1539,21)</f>
        <v>0</v>
      </c>
      <c r="AH1513" s="18">
        <f>LARGE(E1514:E1539,22)</f>
        <v>0</v>
      </c>
      <c r="AI1513" s="18">
        <f>LARGE(E1514:E1539,23)</f>
        <v>0</v>
      </c>
      <c r="AJ1513" s="18">
        <f>LARGE(E1514:E1539,24)</f>
        <v>0</v>
      </c>
      <c r="AK1513" s="18">
        <f>LARGE(E1514:E1539,25)</f>
        <v>0</v>
      </c>
      <c r="AL1513" s="18">
        <f>LARGE(E1514:E1539,26)</f>
        <v>0</v>
      </c>
      <c r="AM1513" s="50">
        <f>COUNTIF(AH1514:AH1539,"&lt;&gt;"&amp;AH76)-(26-COUNTIF(E1514:E1539,"&gt;=0"))</f>
        <v>0</v>
      </c>
    </row>
    <row r="1514" spans="1:39">
      <c r="A1514" s="42" t="s">
        <v>246</v>
      </c>
      <c r="B1514" s="1" t="s">
        <v>20</v>
      </c>
      <c r="C1514" s="40" t="str">
        <f t="shared" si="225"/>
        <v>01-&gt;</v>
      </c>
      <c r="D1514" s="40" t="str">
        <f t="shared" ref="D1514:D1539" si="226">B1514&amp;REPT(" ",$AH$70-LEN(B1514))</f>
        <v xml:space="preserve">No pick yet                                                 </v>
      </c>
      <c r="E1514" s="52">
        <f t="shared" ref="E1514:E1539" si="227">VLOOKUP(RIGHT(B1514,LEN(B1514)-$AH$66),$H$138:$I$420,2,0)</f>
        <v>0</v>
      </c>
      <c r="F1514" s="18"/>
      <c r="M1514" s="18"/>
      <c r="N1514" s="18"/>
      <c r="O1514" s="18"/>
      <c r="P1514" s="18"/>
      <c r="Q1514" s="22"/>
      <c r="R1514" s="21"/>
      <c r="S1514" s="21"/>
      <c r="T1514" s="21"/>
      <c r="AA1514"/>
      <c r="AH1514" t="str">
        <f t="shared" ref="AH1514:AH1539" si="228">RIGHT(B1514,LEN(B1514)-$AH$66)</f>
        <v>k yet</v>
      </c>
    </row>
    <row r="1515" spans="1:39">
      <c r="A1515" s="42" t="s">
        <v>247</v>
      </c>
      <c r="B1515" s="1" t="s">
        <v>20</v>
      </c>
      <c r="C1515" s="40" t="str">
        <f t="shared" si="225"/>
        <v>02-&gt;</v>
      </c>
      <c r="D1515" s="40" t="str">
        <f t="shared" si="226"/>
        <v xml:space="preserve">No pick yet                                                 </v>
      </c>
      <c r="E1515" s="52">
        <f t="shared" si="227"/>
        <v>0</v>
      </c>
      <c r="F1515" s="18"/>
      <c r="K1515" s="22"/>
      <c r="N1515" s="22"/>
      <c r="O1515" s="22"/>
      <c r="P1515" s="22"/>
      <c r="Q1515" s="22"/>
      <c r="R1515" s="22"/>
      <c r="S1515" s="22"/>
      <c r="Z1515" s="53"/>
      <c r="AA1515"/>
      <c r="AH1515" t="str">
        <f t="shared" si="228"/>
        <v>k yet</v>
      </c>
    </row>
    <row r="1516" spans="1:39">
      <c r="A1516" s="42" t="s">
        <v>248</v>
      </c>
      <c r="B1516" s="1" t="s">
        <v>20</v>
      </c>
      <c r="C1516" s="40" t="str">
        <f t="shared" si="225"/>
        <v>03-&gt;</v>
      </c>
      <c r="D1516" s="40" t="str">
        <f t="shared" si="226"/>
        <v xml:space="preserve">No pick yet                                                 </v>
      </c>
      <c r="E1516" s="52">
        <f t="shared" si="227"/>
        <v>0</v>
      </c>
      <c r="F1516" s="18"/>
      <c r="L1516" s="21"/>
      <c r="N1516" s="22"/>
      <c r="O1516" s="22"/>
      <c r="P1516" s="18"/>
      <c r="Q1516" s="22"/>
      <c r="R1516" s="22"/>
      <c r="S1516" s="22"/>
      <c r="Z1516" s="53"/>
      <c r="AA1516"/>
      <c r="AH1516" t="str">
        <f t="shared" si="228"/>
        <v>k yet</v>
      </c>
    </row>
    <row r="1517" spans="1:39">
      <c r="A1517" s="42" t="s">
        <v>249</v>
      </c>
      <c r="B1517" s="1" t="s">
        <v>20</v>
      </c>
      <c r="C1517" s="40" t="str">
        <f t="shared" si="225"/>
        <v>04-&gt;</v>
      </c>
      <c r="D1517" s="40" t="str">
        <f t="shared" si="226"/>
        <v xml:space="preserve">No pick yet                                                 </v>
      </c>
      <c r="E1517" s="52">
        <f t="shared" si="227"/>
        <v>0</v>
      </c>
      <c r="F1517" s="18"/>
      <c r="M1517" s="18"/>
      <c r="N1517" s="18"/>
      <c r="O1517" s="18"/>
      <c r="P1517" s="18"/>
      <c r="Q1517" s="22"/>
      <c r="R1517" s="21"/>
      <c r="S1517" s="21"/>
      <c r="T1517" s="21"/>
      <c r="AA1517"/>
      <c r="AH1517" t="str">
        <f t="shared" si="228"/>
        <v>k yet</v>
      </c>
    </row>
    <row r="1518" spans="1:39">
      <c r="A1518" s="42" t="s">
        <v>250</v>
      </c>
      <c r="B1518" s="1" t="s">
        <v>20</v>
      </c>
      <c r="C1518" s="40" t="str">
        <f t="shared" si="225"/>
        <v>05-&gt;</v>
      </c>
      <c r="D1518" s="40" t="str">
        <f t="shared" si="226"/>
        <v xml:space="preserve">No pick yet                                                 </v>
      </c>
      <c r="E1518" s="52">
        <f t="shared" si="227"/>
        <v>0</v>
      </c>
      <c r="F1518" s="18"/>
      <c r="M1518" s="18"/>
      <c r="N1518" s="18"/>
      <c r="O1518" s="18"/>
      <c r="P1518" s="18"/>
      <c r="Q1518" s="22"/>
      <c r="R1518" s="21"/>
      <c r="S1518" s="21"/>
      <c r="T1518" s="21"/>
      <c r="AA1518"/>
      <c r="AH1518" t="str">
        <f t="shared" si="228"/>
        <v>k yet</v>
      </c>
    </row>
    <row r="1519" spans="1:39">
      <c r="A1519" s="42" t="s">
        <v>251</v>
      </c>
      <c r="B1519" s="1" t="s">
        <v>20</v>
      </c>
      <c r="C1519" s="40" t="str">
        <f t="shared" si="225"/>
        <v>06-&gt;</v>
      </c>
      <c r="D1519" s="40" t="str">
        <f t="shared" si="226"/>
        <v xml:space="preserve">No pick yet                                                 </v>
      </c>
      <c r="E1519" s="52">
        <f t="shared" si="227"/>
        <v>0</v>
      </c>
      <c r="F1519" s="18"/>
      <c r="M1519" s="18"/>
      <c r="N1519" s="18"/>
      <c r="O1519" s="18"/>
      <c r="P1519" s="18"/>
      <c r="Q1519" s="22"/>
      <c r="R1519" s="21"/>
      <c r="S1519" s="21"/>
      <c r="T1519" s="21"/>
      <c r="AA1519"/>
      <c r="AH1519" t="str">
        <f t="shared" si="228"/>
        <v>k yet</v>
      </c>
    </row>
    <row r="1520" spans="1:39">
      <c r="A1520" s="42" t="s">
        <v>252</v>
      </c>
      <c r="B1520" s="1" t="s">
        <v>20</v>
      </c>
      <c r="C1520" s="40" t="str">
        <f t="shared" si="225"/>
        <v>07-&gt;</v>
      </c>
      <c r="D1520" s="40" t="str">
        <f t="shared" si="226"/>
        <v xml:space="preserve">No pick yet                                                 </v>
      </c>
      <c r="E1520" s="52">
        <f t="shared" si="227"/>
        <v>0</v>
      </c>
      <c r="F1520" s="18"/>
      <c r="M1520" s="18"/>
      <c r="N1520" s="18"/>
      <c r="O1520" s="18"/>
      <c r="P1520" s="18"/>
      <c r="Q1520" s="22"/>
      <c r="R1520" s="21"/>
      <c r="S1520" s="21"/>
      <c r="T1520" s="21"/>
      <c r="AA1520"/>
      <c r="AH1520" t="str">
        <f t="shared" si="228"/>
        <v>k yet</v>
      </c>
    </row>
    <row r="1521" spans="1:34">
      <c r="A1521" s="42" t="s">
        <v>253</v>
      </c>
      <c r="B1521" s="1" t="s">
        <v>20</v>
      </c>
      <c r="C1521" s="40" t="str">
        <f t="shared" si="225"/>
        <v>08-&gt;</v>
      </c>
      <c r="D1521" s="40" t="str">
        <f t="shared" si="226"/>
        <v xml:space="preserve">No pick yet                                                 </v>
      </c>
      <c r="E1521" s="52">
        <f t="shared" si="227"/>
        <v>0</v>
      </c>
      <c r="F1521" s="18"/>
      <c r="M1521" s="18"/>
      <c r="N1521" s="18"/>
      <c r="O1521" s="18"/>
      <c r="P1521" s="18"/>
      <c r="Q1521" s="22"/>
      <c r="R1521" s="21"/>
      <c r="S1521" s="21"/>
      <c r="T1521" s="21"/>
      <c r="AA1521"/>
      <c r="AH1521" t="str">
        <f t="shared" si="228"/>
        <v>k yet</v>
      </c>
    </row>
    <row r="1522" spans="1:34">
      <c r="A1522" s="42" t="s">
        <v>254</v>
      </c>
      <c r="B1522" s="1" t="s">
        <v>20</v>
      </c>
      <c r="C1522" s="40" t="str">
        <f t="shared" si="225"/>
        <v>09-&gt;</v>
      </c>
      <c r="D1522" s="40" t="str">
        <f t="shared" si="226"/>
        <v xml:space="preserve">No pick yet                                                 </v>
      </c>
      <c r="E1522" s="52">
        <f t="shared" si="227"/>
        <v>0</v>
      </c>
      <c r="F1522" s="18"/>
      <c r="M1522" s="18"/>
      <c r="N1522" s="18"/>
      <c r="O1522" s="18"/>
      <c r="P1522" s="18"/>
      <c r="Q1522" s="22"/>
      <c r="R1522" s="21"/>
      <c r="S1522" s="21"/>
      <c r="T1522" s="21"/>
      <c r="AA1522"/>
      <c r="AH1522" t="str">
        <f t="shared" si="228"/>
        <v>k yet</v>
      </c>
    </row>
    <row r="1523" spans="1:34">
      <c r="A1523" s="42" t="s">
        <v>255</v>
      </c>
      <c r="B1523" s="1" t="s">
        <v>20</v>
      </c>
      <c r="C1523" s="40" t="str">
        <f t="shared" si="225"/>
        <v>10-&gt;</v>
      </c>
      <c r="D1523" s="40" t="str">
        <f t="shared" si="226"/>
        <v xml:space="preserve">No pick yet                                                 </v>
      </c>
      <c r="E1523" s="52">
        <f t="shared" si="227"/>
        <v>0</v>
      </c>
      <c r="F1523" s="22"/>
      <c r="M1523" s="18"/>
      <c r="N1523" s="18"/>
      <c r="O1523" s="18"/>
      <c r="P1523" s="18"/>
      <c r="Q1523" s="22"/>
      <c r="R1523" s="21"/>
      <c r="S1523" s="21"/>
      <c r="T1523" s="21"/>
      <c r="AA1523"/>
      <c r="AH1523" t="str">
        <f t="shared" si="228"/>
        <v>k yet</v>
      </c>
    </row>
    <row r="1524" spans="1:34">
      <c r="A1524" s="42" t="s">
        <v>256</v>
      </c>
      <c r="B1524" s="1" t="s">
        <v>20</v>
      </c>
      <c r="C1524" s="40" t="str">
        <f t="shared" si="225"/>
        <v>11-&gt;</v>
      </c>
      <c r="D1524" s="40" t="str">
        <f t="shared" si="226"/>
        <v xml:space="preserve">No pick yet                                                 </v>
      </c>
      <c r="E1524" s="52">
        <f t="shared" si="227"/>
        <v>0</v>
      </c>
      <c r="M1524" s="18"/>
      <c r="N1524" s="18"/>
      <c r="O1524" s="18"/>
      <c r="P1524" s="18"/>
      <c r="Q1524" s="22"/>
      <c r="R1524" s="21"/>
      <c r="S1524" s="21"/>
      <c r="T1524" s="21"/>
      <c r="AA1524"/>
      <c r="AH1524" t="str">
        <f t="shared" si="228"/>
        <v>k yet</v>
      </c>
    </row>
    <row r="1525" spans="1:34">
      <c r="A1525" s="42" t="s">
        <v>257</v>
      </c>
      <c r="B1525" s="1" t="s">
        <v>20</v>
      </c>
      <c r="C1525" s="40" t="str">
        <f t="shared" si="225"/>
        <v>12-&gt;</v>
      </c>
      <c r="D1525" s="40" t="str">
        <f t="shared" si="226"/>
        <v xml:space="preserve">No pick yet                                                 </v>
      </c>
      <c r="E1525" s="52">
        <f t="shared" si="227"/>
        <v>0</v>
      </c>
      <c r="M1525" s="18"/>
      <c r="N1525" s="18"/>
      <c r="O1525" s="18"/>
      <c r="P1525" s="18"/>
      <c r="Q1525" s="22"/>
      <c r="R1525" s="21"/>
      <c r="S1525" s="21"/>
      <c r="T1525" s="21"/>
      <c r="AA1525"/>
      <c r="AH1525" t="str">
        <f t="shared" si="228"/>
        <v>k yet</v>
      </c>
    </row>
    <row r="1526" spans="1:34">
      <c r="A1526" s="42" t="s">
        <v>258</v>
      </c>
      <c r="B1526" s="1" t="s">
        <v>20</v>
      </c>
      <c r="C1526" s="40" t="str">
        <f t="shared" si="225"/>
        <v>13-&gt;</v>
      </c>
      <c r="D1526" s="40" t="str">
        <f t="shared" si="226"/>
        <v xml:space="preserve">No pick yet                                                 </v>
      </c>
      <c r="E1526" s="52">
        <f t="shared" si="227"/>
        <v>0</v>
      </c>
      <c r="M1526" s="18"/>
      <c r="N1526" s="18"/>
      <c r="O1526" s="18"/>
      <c r="P1526" s="18"/>
      <c r="Q1526" s="22"/>
      <c r="R1526" s="21"/>
      <c r="S1526" s="21"/>
      <c r="T1526" s="21"/>
      <c r="AA1526"/>
      <c r="AH1526" t="str">
        <f t="shared" si="228"/>
        <v>k yet</v>
      </c>
    </row>
    <row r="1527" spans="1:34">
      <c r="A1527" s="42" t="s">
        <v>259</v>
      </c>
      <c r="B1527" s="1" t="s">
        <v>20</v>
      </c>
      <c r="C1527" s="40" t="str">
        <f t="shared" si="225"/>
        <v>14-&gt;</v>
      </c>
      <c r="D1527" s="40" t="str">
        <f t="shared" si="226"/>
        <v xml:space="preserve">No pick yet                                                 </v>
      </c>
      <c r="E1527" s="52">
        <f t="shared" si="227"/>
        <v>0</v>
      </c>
      <c r="M1527" s="18"/>
      <c r="N1527" s="18"/>
      <c r="O1527" s="18"/>
      <c r="P1527" s="18"/>
      <c r="Q1527" s="22"/>
      <c r="R1527" s="21"/>
      <c r="S1527" s="21"/>
      <c r="T1527" s="21"/>
      <c r="AA1527"/>
      <c r="AH1527" t="str">
        <f t="shared" si="228"/>
        <v>k yet</v>
      </c>
    </row>
    <row r="1528" spans="1:34">
      <c r="A1528" s="42" t="s">
        <v>260</v>
      </c>
      <c r="B1528" s="1" t="s">
        <v>20</v>
      </c>
      <c r="C1528" s="40" t="str">
        <f t="shared" si="225"/>
        <v>15-&gt;</v>
      </c>
      <c r="D1528" s="40" t="str">
        <f t="shared" si="226"/>
        <v xml:space="preserve">No pick yet                                                 </v>
      </c>
      <c r="E1528" s="52">
        <f t="shared" si="227"/>
        <v>0</v>
      </c>
      <c r="M1528" s="18"/>
      <c r="N1528" s="18"/>
      <c r="O1528" s="18"/>
      <c r="P1528" s="18"/>
      <c r="Q1528" s="22"/>
      <c r="R1528" s="21"/>
      <c r="S1528" s="21"/>
      <c r="T1528" s="21"/>
      <c r="AA1528"/>
      <c r="AH1528" t="str">
        <f t="shared" si="228"/>
        <v>k yet</v>
      </c>
    </row>
    <row r="1529" spans="1:34">
      <c r="A1529" s="42" t="s">
        <v>261</v>
      </c>
      <c r="B1529" s="1" t="s">
        <v>20</v>
      </c>
      <c r="C1529" s="40" t="str">
        <f t="shared" si="225"/>
        <v>16-&gt;</v>
      </c>
      <c r="D1529" s="40" t="str">
        <f t="shared" si="226"/>
        <v xml:space="preserve">No pick yet                                                 </v>
      </c>
      <c r="E1529" s="52">
        <f t="shared" si="227"/>
        <v>0</v>
      </c>
      <c r="M1529" s="18"/>
      <c r="N1529" s="18"/>
      <c r="O1529" s="18"/>
      <c r="P1529" s="18"/>
      <c r="Q1529" s="22"/>
      <c r="R1529" s="21"/>
      <c r="S1529" s="21"/>
      <c r="T1529" s="21"/>
      <c r="AA1529"/>
      <c r="AH1529" t="str">
        <f t="shared" si="228"/>
        <v>k yet</v>
      </c>
    </row>
    <row r="1530" spans="1:34">
      <c r="A1530" s="42" t="s">
        <v>262</v>
      </c>
      <c r="B1530" s="1" t="s">
        <v>20</v>
      </c>
      <c r="C1530" s="40" t="str">
        <f t="shared" si="225"/>
        <v>17-&gt;</v>
      </c>
      <c r="D1530" s="40" t="str">
        <f t="shared" si="226"/>
        <v xml:space="preserve">No pick yet                                                 </v>
      </c>
      <c r="E1530" s="52">
        <f t="shared" si="227"/>
        <v>0</v>
      </c>
      <c r="K1530" s="22"/>
      <c r="N1530" s="22"/>
      <c r="O1530" s="22"/>
      <c r="P1530" s="22"/>
      <c r="Q1530" s="22"/>
      <c r="R1530" s="22"/>
      <c r="S1530" s="22"/>
      <c r="Z1530" s="53"/>
      <c r="AA1530"/>
      <c r="AH1530" t="str">
        <f t="shared" si="228"/>
        <v>k yet</v>
      </c>
    </row>
    <row r="1531" spans="1:34">
      <c r="A1531" s="42" t="s">
        <v>263</v>
      </c>
      <c r="B1531" s="1" t="s">
        <v>20</v>
      </c>
      <c r="C1531" s="40" t="str">
        <f t="shared" si="225"/>
        <v>18-&gt;</v>
      </c>
      <c r="D1531" s="40" t="str">
        <f t="shared" si="226"/>
        <v xml:space="preserve">No pick yet                                                 </v>
      </c>
      <c r="E1531" s="52">
        <f t="shared" si="227"/>
        <v>0</v>
      </c>
      <c r="F1531" s="18"/>
      <c r="L1531" s="21"/>
      <c r="N1531" s="22"/>
      <c r="O1531" s="22"/>
      <c r="P1531" s="18"/>
      <c r="Q1531" s="22"/>
      <c r="R1531" s="22"/>
      <c r="S1531" s="22"/>
      <c r="Z1531" s="53"/>
      <c r="AA1531"/>
      <c r="AH1531" t="str">
        <f t="shared" si="228"/>
        <v>k yet</v>
      </c>
    </row>
    <row r="1532" spans="1:34">
      <c r="A1532" s="42" t="s">
        <v>264</v>
      </c>
      <c r="B1532" s="1" t="s">
        <v>20</v>
      </c>
      <c r="C1532" s="40" t="str">
        <f t="shared" si="225"/>
        <v>19-&gt;</v>
      </c>
      <c r="D1532" s="40" t="str">
        <f t="shared" si="226"/>
        <v xml:space="preserve">No pick yet                                                 </v>
      </c>
      <c r="E1532" s="52">
        <f t="shared" si="227"/>
        <v>0</v>
      </c>
      <c r="F1532" s="18"/>
      <c r="M1532" s="18"/>
      <c r="N1532" s="18"/>
      <c r="O1532" s="18"/>
      <c r="P1532" s="18"/>
      <c r="Q1532" s="22"/>
      <c r="R1532" s="21"/>
      <c r="S1532" s="21"/>
      <c r="T1532" s="21"/>
      <c r="AA1532"/>
      <c r="AH1532" t="str">
        <f t="shared" si="228"/>
        <v>k yet</v>
      </c>
    </row>
    <row r="1533" spans="1:34">
      <c r="A1533" s="42" t="s">
        <v>265</v>
      </c>
      <c r="B1533" s="1" t="s">
        <v>20</v>
      </c>
      <c r="C1533" s="40" t="str">
        <f t="shared" si="225"/>
        <v>20-&gt;</v>
      </c>
      <c r="D1533" s="40" t="str">
        <f t="shared" si="226"/>
        <v xml:space="preserve">No pick yet                                                 </v>
      </c>
      <c r="E1533" s="52">
        <f t="shared" si="227"/>
        <v>0</v>
      </c>
      <c r="F1533" s="18"/>
      <c r="M1533" s="18"/>
      <c r="N1533" s="18"/>
      <c r="O1533" s="18"/>
      <c r="P1533" s="18"/>
      <c r="Q1533" s="22"/>
      <c r="R1533" s="21"/>
      <c r="S1533" s="21"/>
      <c r="T1533" s="21"/>
      <c r="AA1533"/>
      <c r="AH1533" t="str">
        <f t="shared" si="228"/>
        <v>k yet</v>
      </c>
    </row>
    <row r="1534" spans="1:34">
      <c r="A1534" s="42" t="s">
        <v>266</v>
      </c>
      <c r="B1534" s="1" t="s">
        <v>20</v>
      </c>
      <c r="C1534" s="40" t="str">
        <f t="shared" si="225"/>
        <v>21-&gt;</v>
      </c>
      <c r="D1534" s="40" t="str">
        <f t="shared" si="226"/>
        <v xml:space="preserve">No pick yet                                                 </v>
      </c>
      <c r="E1534" s="52">
        <f t="shared" si="227"/>
        <v>0</v>
      </c>
      <c r="F1534" s="18"/>
      <c r="M1534" s="18"/>
      <c r="N1534" s="18"/>
      <c r="O1534" s="18"/>
      <c r="P1534" s="18"/>
      <c r="Q1534" s="22"/>
      <c r="R1534" s="21"/>
      <c r="S1534" s="21"/>
      <c r="T1534" s="21"/>
      <c r="AA1534"/>
      <c r="AH1534" t="str">
        <f t="shared" si="228"/>
        <v>k yet</v>
      </c>
    </row>
    <row r="1535" spans="1:34">
      <c r="A1535" s="42" t="s">
        <v>267</v>
      </c>
      <c r="B1535" s="1" t="s">
        <v>20</v>
      </c>
      <c r="C1535" s="40" t="str">
        <f t="shared" si="225"/>
        <v>22-&gt;</v>
      </c>
      <c r="D1535" s="40" t="str">
        <f t="shared" si="226"/>
        <v xml:space="preserve">No pick yet                                                 </v>
      </c>
      <c r="E1535" s="52">
        <f t="shared" si="227"/>
        <v>0</v>
      </c>
      <c r="F1535" s="18"/>
      <c r="M1535" s="18"/>
      <c r="N1535" s="18"/>
      <c r="O1535" s="18"/>
      <c r="P1535" s="18"/>
      <c r="Q1535" s="22"/>
      <c r="R1535" s="21"/>
      <c r="S1535" s="21"/>
      <c r="T1535" s="21"/>
      <c r="AA1535"/>
      <c r="AH1535" t="str">
        <f t="shared" si="228"/>
        <v>k yet</v>
      </c>
    </row>
    <row r="1536" spans="1:34">
      <c r="A1536" s="42" t="s">
        <v>268</v>
      </c>
      <c r="B1536" s="1" t="s">
        <v>20</v>
      </c>
      <c r="C1536" s="40" t="str">
        <f t="shared" si="225"/>
        <v>23-&gt;</v>
      </c>
      <c r="D1536" s="40" t="str">
        <f t="shared" si="226"/>
        <v xml:space="preserve">No pick yet                                                 </v>
      </c>
      <c r="E1536" s="52">
        <f t="shared" si="227"/>
        <v>0</v>
      </c>
      <c r="F1536" s="18"/>
      <c r="M1536" s="18"/>
      <c r="N1536" s="18"/>
      <c r="O1536" s="18"/>
      <c r="P1536" s="18"/>
      <c r="Q1536" s="22"/>
      <c r="R1536" s="21"/>
      <c r="S1536" s="21"/>
      <c r="T1536" s="21"/>
      <c r="AA1536"/>
      <c r="AH1536" t="str">
        <f t="shared" si="228"/>
        <v>k yet</v>
      </c>
    </row>
    <row r="1537" spans="1:39">
      <c r="A1537" s="42" t="s">
        <v>269</v>
      </c>
      <c r="B1537" s="1" t="s">
        <v>20</v>
      </c>
      <c r="C1537" s="40" t="str">
        <f t="shared" si="225"/>
        <v>24-&gt;</v>
      </c>
      <c r="D1537" s="40" t="str">
        <f t="shared" si="226"/>
        <v xml:space="preserve">No pick yet                                                 </v>
      </c>
      <c r="E1537" s="52">
        <f t="shared" si="227"/>
        <v>0</v>
      </c>
      <c r="F1537" s="18"/>
      <c r="M1537" s="18"/>
      <c r="N1537" s="18"/>
      <c r="O1537" s="18"/>
      <c r="P1537" s="18"/>
      <c r="Q1537" s="22"/>
      <c r="R1537" s="21"/>
      <c r="S1537" s="21"/>
      <c r="T1537" s="21"/>
      <c r="AA1537"/>
      <c r="AH1537" t="str">
        <f t="shared" si="228"/>
        <v>k yet</v>
      </c>
    </row>
    <row r="1538" spans="1:39">
      <c r="A1538" s="42" t="s">
        <v>270</v>
      </c>
      <c r="B1538" s="1" t="s">
        <v>20</v>
      </c>
      <c r="C1538" s="40" t="str">
        <f t="shared" si="225"/>
        <v>25-&gt;</v>
      </c>
      <c r="D1538" s="40" t="str">
        <f t="shared" si="226"/>
        <v xml:space="preserve">No pick yet                                                 </v>
      </c>
      <c r="E1538" s="52">
        <f t="shared" si="227"/>
        <v>0</v>
      </c>
      <c r="F1538" s="18"/>
      <c r="M1538" s="18"/>
      <c r="N1538" s="18"/>
      <c r="O1538" s="18"/>
      <c r="P1538" s="18"/>
      <c r="Q1538" s="22"/>
      <c r="R1538" s="21"/>
      <c r="S1538" s="21"/>
      <c r="T1538" s="21"/>
      <c r="AA1538"/>
      <c r="AH1538" t="str">
        <f t="shared" si="228"/>
        <v>k yet</v>
      </c>
    </row>
    <row r="1539" spans="1:39">
      <c r="A1539" s="42" t="s">
        <v>271</v>
      </c>
      <c r="B1539" s="1" t="s">
        <v>20</v>
      </c>
      <c r="C1539" s="40" t="str">
        <f t="shared" si="225"/>
        <v>26-&gt;</v>
      </c>
      <c r="D1539" s="40" t="str">
        <f t="shared" si="226"/>
        <v xml:space="preserve">No pick yet                                                 </v>
      </c>
      <c r="E1539" s="52">
        <f t="shared" si="227"/>
        <v>0</v>
      </c>
      <c r="F1539" s="18"/>
      <c r="M1539" s="18"/>
      <c r="N1539" s="18"/>
      <c r="O1539" s="18"/>
      <c r="P1539" s="18"/>
      <c r="Q1539" s="22"/>
      <c r="R1539" s="21"/>
      <c r="S1539" s="21"/>
      <c r="T1539" s="21"/>
      <c r="AA1539"/>
      <c r="AH1539" t="str">
        <f t="shared" si="228"/>
        <v>k yet</v>
      </c>
    </row>
    <row r="1540" spans="1:39">
      <c r="A1540" s="38"/>
      <c r="B1540" s="40"/>
      <c r="C1540" s="40"/>
      <c r="D1540" s="49"/>
      <c r="E1540" s="41" t="s">
        <v>69</v>
      </c>
      <c r="F1540" s="18"/>
      <c r="K1540" s="22" t="s">
        <v>73</v>
      </c>
      <c r="L1540" s="18" t="s">
        <v>74</v>
      </c>
      <c r="M1540" s="22" t="s">
        <v>78</v>
      </c>
      <c r="N1540" s="22" t="s">
        <v>79</v>
      </c>
      <c r="O1540" s="22" t="s">
        <v>80</v>
      </c>
      <c r="P1540" s="22" t="s">
        <v>81</v>
      </c>
      <c r="Q1540" s="22" t="s">
        <v>82</v>
      </c>
      <c r="R1540" s="22" t="s">
        <v>83</v>
      </c>
      <c r="S1540" s="22" t="s">
        <v>84</v>
      </c>
      <c r="T1540" s="18" t="s">
        <v>85</v>
      </c>
      <c r="U1540" s="18" t="s">
        <v>86</v>
      </c>
      <c r="V1540" s="18" t="s">
        <v>87</v>
      </c>
      <c r="W1540" s="18" t="s">
        <v>88</v>
      </c>
      <c r="X1540" s="18" t="s">
        <v>89</v>
      </c>
      <c r="Y1540" s="18" t="s">
        <v>90</v>
      </c>
      <c r="Z1540" s="18" t="s">
        <v>91</v>
      </c>
      <c r="AA1540" s="18" t="s">
        <v>92</v>
      </c>
      <c r="AB1540" s="18" t="s">
        <v>93</v>
      </c>
      <c r="AC1540" s="18" t="s">
        <v>94</v>
      </c>
      <c r="AD1540" s="18" t="s">
        <v>235</v>
      </c>
      <c r="AE1540" s="18" t="s">
        <v>236</v>
      </c>
      <c r="AF1540" s="18" t="s">
        <v>237</v>
      </c>
      <c r="AG1540" s="18" t="s">
        <v>238</v>
      </c>
      <c r="AH1540" s="18" t="s">
        <v>239</v>
      </c>
      <c r="AI1540" s="18" t="s">
        <v>240</v>
      </c>
      <c r="AJ1540" s="18" t="s">
        <v>241</v>
      </c>
      <c r="AK1540" s="18" t="s">
        <v>242</v>
      </c>
      <c r="AL1540" s="18" t="s">
        <v>243</v>
      </c>
      <c r="AM1540" s="50" t="s">
        <v>244</v>
      </c>
    </row>
    <row r="1541" spans="1:39">
      <c r="A1541" s="40" t="s">
        <v>245</v>
      </c>
      <c r="B1541" s="51" t="str">
        <f>D54</f>
        <v/>
      </c>
      <c r="C1541" s="40" t="str">
        <f t="shared" ref="C1541:C1567" si="229">A1541</f>
        <v>#</v>
      </c>
      <c r="D1541" s="40" t="str">
        <f>"   "&amp;B1541&amp;REPT(" ",$AH$70-LEN(B1541)-3)</f>
        <v xml:space="preserve">                                                            </v>
      </c>
      <c r="E1541" s="38" t="str">
        <f>SUM(E1542:E1567)&amp;" pts[/b]"</f>
        <v>0 pts[/b]</v>
      </c>
      <c r="F1541" s="21">
        <f>SUM(E1542:E1567)</f>
        <v>0</v>
      </c>
      <c r="K1541" s="18">
        <f>COUNTIF(E1542:E1567,"&gt;0")</f>
        <v>0</v>
      </c>
      <c r="L1541" s="21">
        <f>AM1541-K1541</f>
        <v>0</v>
      </c>
      <c r="M1541" s="22">
        <f>MAX(E1542:E1567)</f>
        <v>0</v>
      </c>
      <c r="N1541" s="22">
        <f>LARGE(E1542:E1567,2)</f>
        <v>0</v>
      </c>
      <c r="O1541" s="22">
        <f>LARGE(E1542:E1567,3)</f>
        <v>0</v>
      </c>
      <c r="P1541" s="18">
        <f>LARGE(E1542:E1567,4)</f>
        <v>0</v>
      </c>
      <c r="Q1541" s="22">
        <f>LARGE(E1542:E1567,5)</f>
        <v>0</v>
      </c>
      <c r="R1541" s="22">
        <f>LARGE(E1542:E1567,6)</f>
        <v>0</v>
      </c>
      <c r="S1541" s="22">
        <f>LARGE(E1542:E1567,7)</f>
        <v>0</v>
      </c>
      <c r="T1541" s="18">
        <f>LARGE(E1542:E1567,8)</f>
        <v>0</v>
      </c>
      <c r="U1541" s="18">
        <f>LARGE(E1542:E1567,9)</f>
        <v>0</v>
      </c>
      <c r="V1541" s="18">
        <f>LARGE(E1542:E1567,10)</f>
        <v>0</v>
      </c>
      <c r="W1541" s="18">
        <f>LARGE(E1542:E1567,11)</f>
        <v>0</v>
      </c>
      <c r="X1541" s="18">
        <f>LARGE(E1542:E1567,12)</f>
        <v>0</v>
      </c>
      <c r="Y1541" s="18">
        <f>LARGE(E1542:E1567,13)</f>
        <v>0</v>
      </c>
      <c r="Z1541" s="18">
        <f>LARGE(E1542:E1567,14)</f>
        <v>0</v>
      </c>
      <c r="AA1541" s="18">
        <f>LARGE(E1542:E1567,15)</f>
        <v>0</v>
      </c>
      <c r="AB1541" s="18">
        <f>LARGE(E1542:E1567,16)</f>
        <v>0</v>
      </c>
      <c r="AC1541" s="18">
        <f>LARGE(E1542:E1567,17)</f>
        <v>0</v>
      </c>
      <c r="AD1541" s="18">
        <f>LARGE(E1542:E1568,13)</f>
        <v>0</v>
      </c>
      <c r="AE1541" s="18">
        <f>LARGE(E1542:E1567,19)</f>
        <v>0</v>
      </c>
      <c r="AF1541" s="18">
        <f>LARGE(E1542:E1567,20)</f>
        <v>0</v>
      </c>
      <c r="AG1541" s="18">
        <f>LARGE(E1542:E1567,21)</f>
        <v>0</v>
      </c>
      <c r="AH1541" s="18">
        <f>LARGE(E1542:E1567,22)</f>
        <v>0</v>
      </c>
      <c r="AI1541" s="18">
        <f>LARGE(E1542:E1567,23)</f>
        <v>0</v>
      </c>
      <c r="AJ1541" s="18">
        <f>LARGE(E1542:E1567,24)</f>
        <v>0</v>
      </c>
      <c r="AK1541" s="18">
        <f>LARGE(E1542:E1567,25)</f>
        <v>0</v>
      </c>
      <c r="AL1541" s="18">
        <f>LARGE(E1542:E1567,26)</f>
        <v>0</v>
      </c>
      <c r="AM1541" s="50">
        <f>COUNTIF(AH1542:AH1567,"&lt;&gt;"&amp;$AH$76)-(26-COUNTIF(E1542:E1567,"&gt;=0"))</f>
        <v>0</v>
      </c>
    </row>
    <row r="1542" spans="1:39">
      <c r="A1542" s="42" t="s">
        <v>246</v>
      </c>
      <c r="B1542" s="1" t="s">
        <v>20</v>
      </c>
      <c r="C1542" s="40" t="str">
        <f t="shared" si="229"/>
        <v>01-&gt;</v>
      </c>
      <c r="D1542" s="40" t="str">
        <f t="shared" ref="D1542:D1567" si="230">B1542&amp;REPT(" ",$AH$70-LEN(B1542))</f>
        <v xml:space="preserve">No pick yet                                                 </v>
      </c>
      <c r="E1542" s="52">
        <f t="shared" ref="E1542:E1567" si="231">VLOOKUP(RIGHT(B1542,LEN(B1542)-$AH$66),$H$138:$I$420,2,0)</f>
        <v>0</v>
      </c>
      <c r="F1542" s="18"/>
      <c r="M1542" s="18"/>
      <c r="N1542" s="18"/>
      <c r="O1542" s="18"/>
      <c r="P1542" s="18"/>
      <c r="Q1542" s="22"/>
      <c r="R1542" s="21"/>
      <c r="S1542" s="21"/>
      <c r="T1542" s="21"/>
      <c r="AA1542"/>
      <c r="AH1542" t="str">
        <f t="shared" ref="AH1542:AH1567" si="232">RIGHT(B1542,LEN(B1542)-$AH$66)</f>
        <v>k yet</v>
      </c>
    </row>
    <row r="1543" spans="1:39">
      <c r="A1543" s="42" t="s">
        <v>247</v>
      </c>
      <c r="B1543" s="1" t="s">
        <v>20</v>
      </c>
      <c r="C1543" s="40" t="str">
        <f t="shared" si="229"/>
        <v>02-&gt;</v>
      </c>
      <c r="D1543" s="40" t="str">
        <f t="shared" si="230"/>
        <v xml:space="preserve">No pick yet                                                 </v>
      </c>
      <c r="E1543" s="52">
        <f t="shared" si="231"/>
        <v>0</v>
      </c>
      <c r="F1543" s="18"/>
      <c r="K1543" s="22"/>
      <c r="N1543" s="22"/>
      <c r="O1543" s="22"/>
      <c r="P1543" s="22"/>
      <c r="Q1543" s="22"/>
      <c r="R1543" s="22"/>
      <c r="S1543" s="22"/>
      <c r="Z1543" s="53"/>
      <c r="AA1543"/>
      <c r="AH1543" t="str">
        <f t="shared" si="232"/>
        <v>k yet</v>
      </c>
    </row>
    <row r="1544" spans="1:39">
      <c r="A1544" s="42" t="s">
        <v>248</v>
      </c>
      <c r="B1544" s="1" t="s">
        <v>20</v>
      </c>
      <c r="C1544" s="40" t="str">
        <f t="shared" si="229"/>
        <v>03-&gt;</v>
      </c>
      <c r="D1544" s="40" t="str">
        <f t="shared" si="230"/>
        <v xml:space="preserve">No pick yet                                                 </v>
      </c>
      <c r="E1544" s="52">
        <f t="shared" si="231"/>
        <v>0</v>
      </c>
      <c r="F1544" s="18"/>
      <c r="L1544" s="21"/>
      <c r="N1544" s="22"/>
      <c r="O1544" s="22"/>
      <c r="P1544" s="18"/>
      <c r="Q1544" s="22"/>
      <c r="R1544" s="22"/>
      <c r="S1544" s="22"/>
      <c r="Z1544" s="53"/>
      <c r="AA1544"/>
      <c r="AH1544" t="str">
        <f t="shared" si="232"/>
        <v>k yet</v>
      </c>
    </row>
    <row r="1545" spans="1:39">
      <c r="A1545" s="42" t="s">
        <v>249</v>
      </c>
      <c r="B1545" s="1" t="s">
        <v>20</v>
      </c>
      <c r="C1545" s="40" t="str">
        <f t="shared" si="229"/>
        <v>04-&gt;</v>
      </c>
      <c r="D1545" s="40" t="str">
        <f t="shared" si="230"/>
        <v xml:space="preserve">No pick yet                                                 </v>
      </c>
      <c r="E1545" s="52">
        <f t="shared" si="231"/>
        <v>0</v>
      </c>
      <c r="F1545" s="18"/>
      <c r="M1545" s="18"/>
      <c r="N1545" s="18"/>
      <c r="O1545" s="18"/>
      <c r="P1545" s="18"/>
      <c r="Q1545" s="22"/>
      <c r="R1545" s="21"/>
      <c r="S1545" s="21"/>
      <c r="T1545" s="21"/>
      <c r="AA1545"/>
      <c r="AH1545" t="str">
        <f t="shared" si="232"/>
        <v>k yet</v>
      </c>
    </row>
    <row r="1546" spans="1:39">
      <c r="A1546" s="42" t="s">
        <v>250</v>
      </c>
      <c r="B1546" s="1" t="s">
        <v>20</v>
      </c>
      <c r="C1546" s="40" t="str">
        <f t="shared" si="229"/>
        <v>05-&gt;</v>
      </c>
      <c r="D1546" s="40" t="str">
        <f t="shared" si="230"/>
        <v xml:space="preserve">No pick yet                                                 </v>
      </c>
      <c r="E1546" s="52">
        <f t="shared" si="231"/>
        <v>0</v>
      </c>
      <c r="F1546" s="18"/>
      <c r="M1546" s="18"/>
      <c r="N1546" s="18"/>
      <c r="O1546" s="18"/>
      <c r="P1546" s="18"/>
      <c r="Q1546" s="22"/>
      <c r="R1546" s="21"/>
      <c r="S1546" s="21"/>
      <c r="T1546" s="21"/>
      <c r="AA1546"/>
      <c r="AH1546" t="str">
        <f t="shared" si="232"/>
        <v>k yet</v>
      </c>
    </row>
    <row r="1547" spans="1:39">
      <c r="A1547" s="42" t="s">
        <v>251</v>
      </c>
      <c r="B1547" s="1" t="s">
        <v>20</v>
      </c>
      <c r="C1547" s="40" t="str">
        <f t="shared" si="229"/>
        <v>06-&gt;</v>
      </c>
      <c r="D1547" s="40" t="str">
        <f t="shared" si="230"/>
        <v xml:space="preserve">No pick yet                                                 </v>
      </c>
      <c r="E1547" s="52">
        <f t="shared" si="231"/>
        <v>0</v>
      </c>
      <c r="F1547" s="18"/>
      <c r="M1547" s="18"/>
      <c r="N1547" s="18"/>
      <c r="O1547" s="18"/>
      <c r="P1547" s="18"/>
      <c r="Q1547" s="22"/>
      <c r="R1547" s="21"/>
      <c r="S1547" s="21"/>
      <c r="T1547" s="21"/>
      <c r="AA1547"/>
      <c r="AH1547" t="str">
        <f t="shared" si="232"/>
        <v>k yet</v>
      </c>
    </row>
    <row r="1548" spans="1:39">
      <c r="A1548" s="42" t="s">
        <v>252</v>
      </c>
      <c r="B1548" s="1" t="s">
        <v>20</v>
      </c>
      <c r="C1548" s="40" t="str">
        <f t="shared" si="229"/>
        <v>07-&gt;</v>
      </c>
      <c r="D1548" s="40" t="str">
        <f t="shared" si="230"/>
        <v xml:space="preserve">No pick yet                                                 </v>
      </c>
      <c r="E1548" s="52">
        <f t="shared" si="231"/>
        <v>0</v>
      </c>
      <c r="F1548" s="18"/>
      <c r="M1548" s="18"/>
      <c r="N1548" s="18"/>
      <c r="O1548" s="18"/>
      <c r="P1548" s="18"/>
      <c r="Q1548" s="22"/>
      <c r="R1548" s="21"/>
      <c r="S1548" s="21"/>
      <c r="T1548" s="21"/>
      <c r="AA1548"/>
      <c r="AH1548" t="str">
        <f t="shared" si="232"/>
        <v>k yet</v>
      </c>
    </row>
    <row r="1549" spans="1:39">
      <c r="A1549" s="42" t="s">
        <v>253</v>
      </c>
      <c r="B1549" s="1" t="s">
        <v>20</v>
      </c>
      <c r="C1549" s="40" t="str">
        <f t="shared" si="229"/>
        <v>08-&gt;</v>
      </c>
      <c r="D1549" s="40" t="str">
        <f t="shared" si="230"/>
        <v xml:space="preserve">No pick yet                                                 </v>
      </c>
      <c r="E1549" s="52">
        <f t="shared" si="231"/>
        <v>0</v>
      </c>
      <c r="F1549" s="18"/>
      <c r="M1549" s="18"/>
      <c r="N1549" s="18"/>
      <c r="O1549" s="18"/>
      <c r="P1549" s="18"/>
      <c r="Q1549" s="22"/>
      <c r="R1549" s="21"/>
      <c r="S1549" s="21"/>
      <c r="T1549" s="21"/>
      <c r="AA1549"/>
      <c r="AH1549" t="str">
        <f t="shared" si="232"/>
        <v>k yet</v>
      </c>
    </row>
    <row r="1550" spans="1:39">
      <c r="A1550" s="42" t="s">
        <v>254</v>
      </c>
      <c r="B1550" s="1" t="s">
        <v>20</v>
      </c>
      <c r="C1550" s="40" t="str">
        <f t="shared" si="229"/>
        <v>09-&gt;</v>
      </c>
      <c r="D1550" s="40" t="str">
        <f t="shared" si="230"/>
        <v xml:space="preserve">No pick yet                                                 </v>
      </c>
      <c r="E1550" s="52">
        <f t="shared" si="231"/>
        <v>0</v>
      </c>
      <c r="F1550" s="18"/>
      <c r="M1550" s="18"/>
      <c r="N1550" s="18"/>
      <c r="O1550" s="18"/>
      <c r="P1550" s="18"/>
      <c r="Q1550" s="22"/>
      <c r="R1550" s="21"/>
      <c r="S1550" s="21"/>
      <c r="T1550" s="21"/>
      <c r="AA1550"/>
      <c r="AH1550" t="str">
        <f t="shared" si="232"/>
        <v>k yet</v>
      </c>
    </row>
    <row r="1551" spans="1:39">
      <c r="A1551" s="42" t="s">
        <v>255</v>
      </c>
      <c r="B1551" s="1" t="s">
        <v>20</v>
      </c>
      <c r="C1551" s="40" t="str">
        <f t="shared" si="229"/>
        <v>10-&gt;</v>
      </c>
      <c r="D1551" s="40" t="str">
        <f t="shared" si="230"/>
        <v xml:space="preserve">No pick yet                                                 </v>
      </c>
      <c r="E1551" s="52">
        <f t="shared" si="231"/>
        <v>0</v>
      </c>
      <c r="F1551" s="22"/>
      <c r="M1551" s="18"/>
      <c r="N1551" s="18"/>
      <c r="O1551" s="18"/>
      <c r="P1551" s="18"/>
      <c r="Q1551" s="22"/>
      <c r="R1551" s="21"/>
      <c r="S1551" s="21"/>
      <c r="T1551" s="21"/>
      <c r="AA1551"/>
      <c r="AH1551" t="str">
        <f t="shared" si="232"/>
        <v>k yet</v>
      </c>
    </row>
    <row r="1552" spans="1:39">
      <c r="A1552" s="42" t="s">
        <v>256</v>
      </c>
      <c r="B1552" s="1" t="s">
        <v>20</v>
      </c>
      <c r="C1552" s="40" t="str">
        <f t="shared" si="229"/>
        <v>11-&gt;</v>
      </c>
      <c r="D1552" s="40" t="str">
        <f t="shared" si="230"/>
        <v xml:space="preserve">No pick yet                                                 </v>
      </c>
      <c r="E1552" s="52">
        <f t="shared" si="231"/>
        <v>0</v>
      </c>
      <c r="M1552" s="18"/>
      <c r="N1552" s="18"/>
      <c r="O1552" s="18"/>
      <c r="P1552" s="18"/>
      <c r="Q1552" s="22"/>
      <c r="R1552" s="21"/>
      <c r="S1552" s="21"/>
      <c r="T1552" s="21"/>
      <c r="AA1552"/>
      <c r="AH1552" t="str">
        <f t="shared" si="232"/>
        <v>k yet</v>
      </c>
    </row>
    <row r="1553" spans="1:39">
      <c r="A1553" s="42" t="s">
        <v>257</v>
      </c>
      <c r="B1553" s="1" t="s">
        <v>20</v>
      </c>
      <c r="C1553" s="40" t="str">
        <f t="shared" si="229"/>
        <v>12-&gt;</v>
      </c>
      <c r="D1553" s="40" t="str">
        <f t="shared" si="230"/>
        <v xml:space="preserve">No pick yet                                                 </v>
      </c>
      <c r="E1553" s="52">
        <f t="shared" si="231"/>
        <v>0</v>
      </c>
      <c r="M1553" s="18"/>
      <c r="N1553" s="18"/>
      <c r="O1553" s="18"/>
      <c r="P1553" s="18"/>
      <c r="Q1553" s="22"/>
      <c r="R1553" s="21"/>
      <c r="S1553" s="21"/>
      <c r="T1553" s="21"/>
      <c r="AA1553"/>
      <c r="AH1553" t="str">
        <f t="shared" si="232"/>
        <v>k yet</v>
      </c>
    </row>
    <row r="1554" spans="1:39">
      <c r="A1554" s="42" t="s">
        <v>258</v>
      </c>
      <c r="B1554" s="1" t="s">
        <v>20</v>
      </c>
      <c r="C1554" s="40" t="str">
        <f t="shared" si="229"/>
        <v>13-&gt;</v>
      </c>
      <c r="D1554" s="40" t="str">
        <f t="shared" si="230"/>
        <v xml:space="preserve">No pick yet                                                 </v>
      </c>
      <c r="E1554" s="52">
        <f t="shared" si="231"/>
        <v>0</v>
      </c>
      <c r="M1554" s="18"/>
      <c r="N1554" s="18"/>
      <c r="O1554" s="18"/>
      <c r="P1554" s="18"/>
      <c r="Q1554" s="22"/>
      <c r="R1554" s="21"/>
      <c r="S1554" s="21"/>
      <c r="T1554" s="21"/>
      <c r="AA1554"/>
      <c r="AH1554" t="str">
        <f t="shared" si="232"/>
        <v>k yet</v>
      </c>
    </row>
    <row r="1555" spans="1:39">
      <c r="A1555" s="42" t="s">
        <v>259</v>
      </c>
      <c r="B1555" s="1" t="s">
        <v>20</v>
      </c>
      <c r="C1555" s="40" t="str">
        <f t="shared" si="229"/>
        <v>14-&gt;</v>
      </c>
      <c r="D1555" s="40" t="str">
        <f t="shared" si="230"/>
        <v xml:space="preserve">No pick yet                                                 </v>
      </c>
      <c r="E1555" s="52">
        <f t="shared" si="231"/>
        <v>0</v>
      </c>
      <c r="M1555" s="18"/>
      <c r="N1555" s="18"/>
      <c r="O1555" s="18"/>
      <c r="P1555" s="18"/>
      <c r="Q1555" s="22"/>
      <c r="R1555" s="21"/>
      <c r="S1555" s="21"/>
      <c r="T1555" s="21"/>
      <c r="AA1555"/>
      <c r="AH1555" t="str">
        <f t="shared" si="232"/>
        <v>k yet</v>
      </c>
    </row>
    <row r="1556" spans="1:39">
      <c r="A1556" s="42" t="s">
        <v>260</v>
      </c>
      <c r="B1556" s="1" t="s">
        <v>20</v>
      </c>
      <c r="C1556" s="40" t="str">
        <f t="shared" si="229"/>
        <v>15-&gt;</v>
      </c>
      <c r="D1556" s="40" t="str">
        <f t="shared" si="230"/>
        <v xml:space="preserve">No pick yet                                                 </v>
      </c>
      <c r="E1556" s="52">
        <f t="shared" si="231"/>
        <v>0</v>
      </c>
      <c r="M1556" s="18"/>
      <c r="N1556" s="18"/>
      <c r="O1556" s="18"/>
      <c r="P1556" s="18"/>
      <c r="Q1556" s="22"/>
      <c r="R1556" s="21"/>
      <c r="S1556" s="21"/>
      <c r="T1556" s="21"/>
      <c r="AA1556"/>
      <c r="AH1556" t="str">
        <f t="shared" si="232"/>
        <v>k yet</v>
      </c>
    </row>
    <row r="1557" spans="1:39">
      <c r="A1557" s="42" t="s">
        <v>261</v>
      </c>
      <c r="B1557" s="1" t="s">
        <v>20</v>
      </c>
      <c r="C1557" s="40" t="str">
        <f t="shared" si="229"/>
        <v>16-&gt;</v>
      </c>
      <c r="D1557" s="40" t="str">
        <f t="shared" si="230"/>
        <v xml:space="preserve">No pick yet                                                 </v>
      </c>
      <c r="E1557" s="52">
        <f t="shared" si="231"/>
        <v>0</v>
      </c>
      <c r="M1557" s="18"/>
      <c r="N1557" s="18"/>
      <c r="O1557" s="18"/>
      <c r="P1557" s="18"/>
      <c r="Q1557" s="22"/>
      <c r="R1557" s="21"/>
      <c r="S1557" s="21"/>
      <c r="T1557" s="21"/>
      <c r="AA1557"/>
      <c r="AH1557" t="str">
        <f t="shared" si="232"/>
        <v>k yet</v>
      </c>
    </row>
    <row r="1558" spans="1:39">
      <c r="A1558" s="42" t="s">
        <v>262</v>
      </c>
      <c r="B1558" s="1" t="s">
        <v>20</v>
      </c>
      <c r="C1558" s="40" t="str">
        <f t="shared" si="229"/>
        <v>17-&gt;</v>
      </c>
      <c r="D1558" s="40" t="str">
        <f t="shared" si="230"/>
        <v xml:space="preserve">No pick yet                                                 </v>
      </c>
      <c r="E1558" s="52">
        <f t="shared" si="231"/>
        <v>0</v>
      </c>
      <c r="K1558" s="22"/>
      <c r="N1558" s="22"/>
      <c r="O1558" s="22"/>
      <c r="P1558" s="22"/>
      <c r="Q1558" s="22"/>
      <c r="R1558" s="22"/>
      <c r="S1558" s="22"/>
      <c r="Z1558" s="53"/>
      <c r="AA1558"/>
      <c r="AH1558" t="str">
        <f t="shared" si="232"/>
        <v>k yet</v>
      </c>
    </row>
    <row r="1559" spans="1:39">
      <c r="A1559" s="42" t="s">
        <v>263</v>
      </c>
      <c r="B1559" s="1" t="s">
        <v>20</v>
      </c>
      <c r="C1559" s="40" t="str">
        <f t="shared" si="229"/>
        <v>18-&gt;</v>
      </c>
      <c r="D1559" s="40" t="str">
        <f t="shared" si="230"/>
        <v xml:space="preserve">No pick yet                                                 </v>
      </c>
      <c r="E1559" s="52">
        <f t="shared" si="231"/>
        <v>0</v>
      </c>
      <c r="F1559" s="18"/>
      <c r="L1559" s="21"/>
      <c r="N1559" s="22"/>
      <c r="O1559" s="22"/>
      <c r="P1559" s="18"/>
      <c r="Q1559" s="22"/>
      <c r="R1559" s="22"/>
      <c r="S1559" s="22"/>
      <c r="Z1559" s="53"/>
      <c r="AA1559"/>
      <c r="AH1559" t="str">
        <f t="shared" si="232"/>
        <v>k yet</v>
      </c>
    </row>
    <row r="1560" spans="1:39">
      <c r="A1560" s="42" t="s">
        <v>264</v>
      </c>
      <c r="B1560" s="1" t="s">
        <v>20</v>
      </c>
      <c r="C1560" s="40" t="str">
        <f t="shared" si="229"/>
        <v>19-&gt;</v>
      </c>
      <c r="D1560" s="40" t="str">
        <f t="shared" si="230"/>
        <v xml:space="preserve">No pick yet                                                 </v>
      </c>
      <c r="E1560" s="52">
        <f t="shared" si="231"/>
        <v>0</v>
      </c>
      <c r="F1560" s="18"/>
      <c r="M1560" s="18"/>
      <c r="N1560" s="18"/>
      <c r="O1560" s="18"/>
      <c r="P1560" s="18"/>
      <c r="Q1560" s="22"/>
      <c r="R1560" s="21"/>
      <c r="S1560" s="21"/>
      <c r="T1560" s="21"/>
      <c r="AA1560"/>
      <c r="AH1560" t="str">
        <f t="shared" si="232"/>
        <v>k yet</v>
      </c>
    </row>
    <row r="1561" spans="1:39">
      <c r="A1561" s="42" t="s">
        <v>265</v>
      </c>
      <c r="B1561" s="1" t="s">
        <v>20</v>
      </c>
      <c r="C1561" s="40" t="str">
        <f t="shared" si="229"/>
        <v>20-&gt;</v>
      </c>
      <c r="D1561" s="40" t="str">
        <f t="shared" si="230"/>
        <v xml:space="preserve">No pick yet                                                 </v>
      </c>
      <c r="E1561" s="52">
        <f t="shared" si="231"/>
        <v>0</v>
      </c>
      <c r="F1561" s="18"/>
      <c r="M1561" s="18"/>
      <c r="N1561" s="18"/>
      <c r="O1561" s="18"/>
      <c r="P1561" s="18"/>
      <c r="Q1561" s="22"/>
      <c r="R1561" s="21"/>
      <c r="S1561" s="21"/>
      <c r="T1561" s="21"/>
      <c r="AA1561"/>
      <c r="AH1561" t="str">
        <f t="shared" si="232"/>
        <v>k yet</v>
      </c>
    </row>
    <row r="1562" spans="1:39">
      <c r="A1562" s="42" t="s">
        <v>266</v>
      </c>
      <c r="B1562" s="1" t="s">
        <v>20</v>
      </c>
      <c r="C1562" s="40" t="str">
        <f t="shared" si="229"/>
        <v>21-&gt;</v>
      </c>
      <c r="D1562" s="40" t="str">
        <f t="shared" si="230"/>
        <v xml:space="preserve">No pick yet                                                 </v>
      </c>
      <c r="E1562" s="52">
        <f t="shared" si="231"/>
        <v>0</v>
      </c>
      <c r="F1562" s="18"/>
      <c r="M1562" s="18"/>
      <c r="N1562" s="18"/>
      <c r="O1562" s="18"/>
      <c r="P1562" s="18"/>
      <c r="Q1562" s="22"/>
      <c r="R1562" s="21"/>
      <c r="S1562" s="21"/>
      <c r="T1562" s="21"/>
      <c r="AA1562"/>
      <c r="AH1562" t="str">
        <f t="shared" si="232"/>
        <v>k yet</v>
      </c>
    </row>
    <row r="1563" spans="1:39">
      <c r="A1563" s="42" t="s">
        <v>267</v>
      </c>
      <c r="B1563" s="1" t="s">
        <v>20</v>
      </c>
      <c r="C1563" s="40" t="str">
        <f t="shared" si="229"/>
        <v>22-&gt;</v>
      </c>
      <c r="D1563" s="40" t="str">
        <f t="shared" si="230"/>
        <v xml:space="preserve">No pick yet                                                 </v>
      </c>
      <c r="E1563" s="52">
        <f t="shared" si="231"/>
        <v>0</v>
      </c>
      <c r="F1563" s="18"/>
      <c r="M1563" s="18"/>
      <c r="N1563" s="18"/>
      <c r="O1563" s="18"/>
      <c r="P1563" s="18"/>
      <c r="Q1563" s="22"/>
      <c r="R1563" s="21"/>
      <c r="S1563" s="21"/>
      <c r="T1563" s="21"/>
      <c r="AA1563"/>
      <c r="AH1563" t="str">
        <f t="shared" si="232"/>
        <v>k yet</v>
      </c>
    </row>
    <row r="1564" spans="1:39">
      <c r="A1564" s="42" t="s">
        <v>268</v>
      </c>
      <c r="B1564" s="1" t="s">
        <v>20</v>
      </c>
      <c r="C1564" s="40" t="str">
        <f t="shared" si="229"/>
        <v>23-&gt;</v>
      </c>
      <c r="D1564" s="40" t="str">
        <f t="shared" si="230"/>
        <v xml:space="preserve">No pick yet                                                 </v>
      </c>
      <c r="E1564" s="52">
        <f t="shared" si="231"/>
        <v>0</v>
      </c>
      <c r="F1564" s="18"/>
      <c r="M1564" s="18"/>
      <c r="N1564" s="18"/>
      <c r="O1564" s="18"/>
      <c r="P1564" s="18"/>
      <c r="Q1564" s="22"/>
      <c r="R1564" s="21"/>
      <c r="S1564" s="21"/>
      <c r="T1564" s="21"/>
      <c r="AA1564"/>
      <c r="AH1564" t="str">
        <f t="shared" si="232"/>
        <v>k yet</v>
      </c>
    </row>
    <row r="1565" spans="1:39">
      <c r="A1565" s="42" t="s">
        <v>269</v>
      </c>
      <c r="B1565" s="1" t="s">
        <v>20</v>
      </c>
      <c r="C1565" s="40" t="str">
        <f t="shared" si="229"/>
        <v>24-&gt;</v>
      </c>
      <c r="D1565" s="40" t="str">
        <f t="shared" si="230"/>
        <v xml:space="preserve">No pick yet                                                 </v>
      </c>
      <c r="E1565" s="52">
        <f t="shared" si="231"/>
        <v>0</v>
      </c>
      <c r="F1565" s="18"/>
      <c r="M1565" s="18"/>
      <c r="N1565" s="18"/>
      <c r="O1565" s="18"/>
      <c r="P1565" s="18"/>
      <c r="Q1565" s="22"/>
      <c r="R1565" s="21"/>
      <c r="S1565" s="21"/>
      <c r="T1565" s="21"/>
      <c r="AA1565"/>
      <c r="AH1565" t="str">
        <f t="shared" si="232"/>
        <v>k yet</v>
      </c>
    </row>
    <row r="1566" spans="1:39">
      <c r="A1566" s="42" t="s">
        <v>270</v>
      </c>
      <c r="B1566" s="1" t="s">
        <v>20</v>
      </c>
      <c r="C1566" s="40" t="str">
        <f t="shared" si="229"/>
        <v>25-&gt;</v>
      </c>
      <c r="D1566" s="40" t="str">
        <f t="shared" si="230"/>
        <v xml:space="preserve">No pick yet                                                 </v>
      </c>
      <c r="E1566" s="52">
        <f t="shared" si="231"/>
        <v>0</v>
      </c>
      <c r="F1566" s="18"/>
      <c r="M1566" s="18"/>
      <c r="N1566" s="18"/>
      <c r="O1566" s="18"/>
      <c r="P1566" s="18"/>
      <c r="Q1566" s="22"/>
      <c r="R1566" s="21"/>
      <c r="S1566" s="21"/>
      <c r="T1566" s="21"/>
      <c r="AA1566"/>
      <c r="AH1566" t="str">
        <f t="shared" si="232"/>
        <v>k yet</v>
      </c>
    </row>
    <row r="1567" spans="1:39">
      <c r="A1567" s="42" t="s">
        <v>271</v>
      </c>
      <c r="B1567" s="1" t="s">
        <v>20</v>
      </c>
      <c r="C1567" s="40" t="str">
        <f t="shared" si="229"/>
        <v>26-&gt;</v>
      </c>
      <c r="D1567" s="40" t="str">
        <f t="shared" si="230"/>
        <v xml:space="preserve">No pick yet                                                 </v>
      </c>
      <c r="E1567" s="52">
        <f t="shared" si="231"/>
        <v>0</v>
      </c>
      <c r="F1567" s="18"/>
      <c r="M1567" s="18"/>
      <c r="N1567" s="18"/>
      <c r="O1567" s="18"/>
      <c r="P1567" s="18"/>
      <c r="Q1567" s="22"/>
      <c r="R1567" s="21"/>
      <c r="S1567" s="21"/>
      <c r="T1567" s="21"/>
      <c r="AA1567"/>
      <c r="AH1567" t="str">
        <f t="shared" si="232"/>
        <v>k yet</v>
      </c>
    </row>
    <row r="1568" spans="1:39">
      <c r="A1568" s="38"/>
      <c r="B1568" s="40"/>
      <c r="C1568" s="40"/>
      <c r="D1568" s="49"/>
      <c r="E1568" s="41" t="s">
        <v>69</v>
      </c>
      <c r="F1568" s="18"/>
      <c r="K1568" s="22" t="s">
        <v>73</v>
      </c>
      <c r="L1568" s="18" t="s">
        <v>74</v>
      </c>
      <c r="M1568" s="22" t="s">
        <v>78</v>
      </c>
      <c r="N1568" s="22" t="s">
        <v>79</v>
      </c>
      <c r="O1568" s="22" t="s">
        <v>80</v>
      </c>
      <c r="P1568" s="22" t="s">
        <v>81</v>
      </c>
      <c r="Q1568" s="22" t="s">
        <v>82</v>
      </c>
      <c r="R1568" s="22" t="s">
        <v>83</v>
      </c>
      <c r="S1568" s="22" t="s">
        <v>84</v>
      </c>
      <c r="T1568" s="18" t="s">
        <v>85</v>
      </c>
      <c r="U1568" s="18" t="s">
        <v>86</v>
      </c>
      <c r="V1568" s="18" t="s">
        <v>87</v>
      </c>
      <c r="W1568" s="18" t="s">
        <v>88</v>
      </c>
      <c r="X1568" s="18" t="s">
        <v>89</v>
      </c>
      <c r="Y1568" s="18" t="s">
        <v>90</v>
      </c>
      <c r="Z1568" s="18" t="s">
        <v>91</v>
      </c>
      <c r="AA1568" s="18" t="s">
        <v>92</v>
      </c>
      <c r="AB1568" s="18" t="s">
        <v>93</v>
      </c>
      <c r="AC1568" s="18" t="s">
        <v>94</v>
      </c>
      <c r="AD1568" s="18" t="s">
        <v>235</v>
      </c>
      <c r="AE1568" s="18" t="s">
        <v>236</v>
      </c>
      <c r="AF1568" s="18" t="s">
        <v>237</v>
      </c>
      <c r="AG1568" s="18" t="s">
        <v>238</v>
      </c>
      <c r="AH1568" s="18" t="s">
        <v>239</v>
      </c>
      <c r="AI1568" s="18" t="s">
        <v>240</v>
      </c>
      <c r="AJ1568" s="18" t="s">
        <v>241</v>
      </c>
      <c r="AK1568" s="18" t="s">
        <v>242</v>
      </c>
      <c r="AL1568" s="18" t="s">
        <v>243</v>
      </c>
      <c r="AM1568" s="50" t="s">
        <v>244</v>
      </c>
    </row>
    <row r="1569" spans="1:39">
      <c r="A1569" s="40" t="s">
        <v>245</v>
      </c>
      <c r="B1569" s="51" t="str">
        <f>D55</f>
        <v/>
      </c>
      <c r="C1569" s="40" t="str">
        <f t="shared" ref="C1569:C1595" si="233">A1569</f>
        <v>#</v>
      </c>
      <c r="D1569" s="40" t="str">
        <f>"   "&amp;B1569&amp;REPT(" ",$AH$70-LEN(B1569)-3)</f>
        <v xml:space="preserve">                                                            </v>
      </c>
      <c r="E1569" s="38" t="str">
        <f>SUM(E1570:E1595)&amp;" pts[/b]"</f>
        <v>0 pts[/b]</v>
      </c>
      <c r="F1569" s="21">
        <f>SUM(E1570:E1595)</f>
        <v>0</v>
      </c>
      <c r="K1569" s="18">
        <f>COUNTIF(E1570:E1595,"&gt;0")</f>
        <v>0</v>
      </c>
      <c r="L1569" s="21">
        <f>AM1569-K1569</f>
        <v>0</v>
      </c>
      <c r="M1569" s="22">
        <f>MAX(E1570:E1595)</f>
        <v>0</v>
      </c>
      <c r="N1569" s="22">
        <f>LARGE(E1570:E1595,2)</f>
        <v>0</v>
      </c>
      <c r="O1569" s="22">
        <f>LARGE(E1570:E1595,3)</f>
        <v>0</v>
      </c>
      <c r="P1569" s="18">
        <f>LARGE(E1570:E1595,4)</f>
        <v>0</v>
      </c>
      <c r="Q1569" s="22">
        <f>LARGE(E1570:E1595,5)</f>
        <v>0</v>
      </c>
      <c r="R1569" s="22">
        <f>LARGE(E1570:E1595,6)</f>
        <v>0</v>
      </c>
      <c r="S1569" s="22">
        <f>LARGE(E1570:E1595,7)</f>
        <v>0</v>
      </c>
      <c r="T1569" s="18">
        <f>LARGE(E1570:E1595,8)</f>
        <v>0</v>
      </c>
      <c r="U1569" s="18">
        <f>LARGE(E1570:E1595,9)</f>
        <v>0</v>
      </c>
      <c r="V1569" s="18">
        <f>LARGE(E1570:E1595,10)</f>
        <v>0</v>
      </c>
      <c r="W1569" s="18">
        <f>LARGE(E1570:E1595,11)</f>
        <v>0</v>
      </c>
      <c r="X1569" s="18">
        <f>LARGE(E1570:E1595,12)</f>
        <v>0</v>
      </c>
      <c r="Y1569" s="18">
        <f>LARGE(E1570:E1595,13)</f>
        <v>0</v>
      </c>
      <c r="Z1569" s="18">
        <f>LARGE(E1570:E1595,14)</f>
        <v>0</v>
      </c>
      <c r="AA1569" s="18">
        <f>LARGE(E1570:E1595,15)</f>
        <v>0</v>
      </c>
      <c r="AB1569" s="18">
        <f>LARGE(E1570:E1595,16)</f>
        <v>0</v>
      </c>
      <c r="AC1569" s="18">
        <f>LARGE(E1570:E1595,17)</f>
        <v>0</v>
      </c>
      <c r="AD1569" s="18">
        <f>LARGE(E1570:E1596,13)</f>
        <v>0</v>
      </c>
      <c r="AE1569" s="18">
        <f>LARGE(E1570:E1595,19)</f>
        <v>0</v>
      </c>
      <c r="AF1569" s="18">
        <f>LARGE(E1570:E1595,20)</f>
        <v>0</v>
      </c>
      <c r="AG1569" s="18">
        <f>LARGE(E1570:E1595,21)</f>
        <v>0</v>
      </c>
      <c r="AH1569" s="18">
        <f>LARGE(E1570:E1595,22)</f>
        <v>0</v>
      </c>
      <c r="AI1569" s="18">
        <f>LARGE(E1570:E1595,23)</f>
        <v>0</v>
      </c>
      <c r="AJ1569" s="18">
        <f>LARGE(E1570:E1595,24)</f>
        <v>0</v>
      </c>
      <c r="AK1569" s="18">
        <f>LARGE(E1570:E1595,25)</f>
        <v>0</v>
      </c>
      <c r="AL1569" s="18">
        <f>LARGE(E1570:E1595,26)</f>
        <v>0</v>
      </c>
      <c r="AM1569" s="50">
        <f>COUNTIF(AH1570:AH1595,"&lt;&gt;"&amp;$AH$76)-(26-COUNTIF(E1570:E1595,"&gt;=0"))</f>
        <v>0</v>
      </c>
    </row>
    <row r="1570" spans="1:39">
      <c r="A1570" s="42" t="s">
        <v>246</v>
      </c>
      <c r="B1570" s="1" t="s">
        <v>20</v>
      </c>
      <c r="C1570" s="40" t="str">
        <f t="shared" si="233"/>
        <v>01-&gt;</v>
      </c>
      <c r="D1570" s="40" t="str">
        <f t="shared" ref="D1570:D1595" si="234">B1570&amp;REPT(" ",$AH$70-LEN(B1570))</f>
        <v xml:space="preserve">No pick yet                                                 </v>
      </c>
      <c r="E1570" s="52">
        <f t="shared" ref="E1570:E1595" si="235">VLOOKUP(RIGHT(B1570,LEN(B1570)-$AH$66),$H$138:$I$420,2,0)</f>
        <v>0</v>
      </c>
      <c r="F1570" s="18"/>
      <c r="M1570" s="18"/>
      <c r="N1570" s="18"/>
      <c r="O1570" s="18"/>
      <c r="P1570" s="18"/>
      <c r="Q1570" s="22"/>
      <c r="R1570" s="21"/>
      <c r="S1570" s="21"/>
      <c r="T1570" s="21"/>
      <c r="AA1570"/>
      <c r="AH1570" t="str">
        <f t="shared" ref="AH1570:AH1595" si="236">RIGHT(B1570,LEN(B1570)-$AH$66)</f>
        <v>k yet</v>
      </c>
    </row>
    <row r="1571" spans="1:39">
      <c r="A1571" s="42" t="s">
        <v>247</v>
      </c>
      <c r="B1571" s="1" t="s">
        <v>20</v>
      </c>
      <c r="C1571" s="40" t="str">
        <f t="shared" si="233"/>
        <v>02-&gt;</v>
      </c>
      <c r="D1571" s="40" t="str">
        <f t="shared" si="234"/>
        <v xml:space="preserve">No pick yet                                                 </v>
      </c>
      <c r="E1571" s="52">
        <f t="shared" si="235"/>
        <v>0</v>
      </c>
      <c r="F1571" s="18"/>
      <c r="K1571" s="22"/>
      <c r="N1571" s="22"/>
      <c r="O1571" s="22"/>
      <c r="P1571" s="22"/>
      <c r="Q1571" s="22"/>
      <c r="R1571" s="22"/>
      <c r="S1571" s="22"/>
      <c r="Z1571" s="53"/>
      <c r="AA1571"/>
      <c r="AH1571" t="str">
        <f t="shared" si="236"/>
        <v>k yet</v>
      </c>
    </row>
    <row r="1572" spans="1:39">
      <c r="A1572" s="42" t="s">
        <v>248</v>
      </c>
      <c r="B1572" s="1" t="s">
        <v>20</v>
      </c>
      <c r="C1572" s="40" t="str">
        <f t="shared" si="233"/>
        <v>03-&gt;</v>
      </c>
      <c r="D1572" s="40" t="str">
        <f t="shared" si="234"/>
        <v xml:space="preserve">No pick yet                                                 </v>
      </c>
      <c r="E1572" s="52">
        <f t="shared" si="235"/>
        <v>0</v>
      </c>
      <c r="F1572" s="18"/>
      <c r="L1572" s="21"/>
      <c r="N1572" s="22"/>
      <c r="O1572" s="22"/>
      <c r="P1572" s="18"/>
      <c r="Q1572" s="22"/>
      <c r="R1572" s="22"/>
      <c r="S1572" s="22"/>
      <c r="Z1572" s="53"/>
      <c r="AA1572"/>
      <c r="AH1572" t="str">
        <f t="shared" si="236"/>
        <v>k yet</v>
      </c>
    </row>
    <row r="1573" spans="1:39">
      <c r="A1573" s="42" t="s">
        <v>249</v>
      </c>
      <c r="B1573" s="1" t="s">
        <v>20</v>
      </c>
      <c r="C1573" s="40" t="str">
        <f t="shared" si="233"/>
        <v>04-&gt;</v>
      </c>
      <c r="D1573" s="40" t="str">
        <f t="shared" si="234"/>
        <v xml:space="preserve">No pick yet                                                 </v>
      </c>
      <c r="E1573" s="52">
        <f t="shared" si="235"/>
        <v>0</v>
      </c>
      <c r="F1573" s="18"/>
      <c r="M1573" s="18"/>
      <c r="N1573" s="18"/>
      <c r="O1573" s="18"/>
      <c r="P1573" s="18"/>
      <c r="Q1573" s="22"/>
      <c r="R1573" s="21"/>
      <c r="S1573" s="21"/>
      <c r="T1573" s="21"/>
      <c r="AA1573"/>
      <c r="AH1573" t="str">
        <f t="shared" si="236"/>
        <v>k yet</v>
      </c>
    </row>
    <row r="1574" spans="1:39">
      <c r="A1574" s="42" t="s">
        <v>250</v>
      </c>
      <c r="B1574" s="1" t="s">
        <v>20</v>
      </c>
      <c r="C1574" s="40" t="str">
        <f t="shared" si="233"/>
        <v>05-&gt;</v>
      </c>
      <c r="D1574" s="40" t="str">
        <f t="shared" si="234"/>
        <v xml:space="preserve">No pick yet                                                 </v>
      </c>
      <c r="E1574" s="52">
        <f t="shared" si="235"/>
        <v>0</v>
      </c>
      <c r="F1574" s="18"/>
      <c r="M1574" s="18"/>
      <c r="N1574" s="18"/>
      <c r="O1574" s="18"/>
      <c r="P1574" s="18"/>
      <c r="Q1574" s="22"/>
      <c r="R1574" s="21"/>
      <c r="S1574" s="21"/>
      <c r="T1574" s="21"/>
      <c r="AA1574"/>
      <c r="AH1574" t="str">
        <f t="shared" si="236"/>
        <v>k yet</v>
      </c>
    </row>
    <row r="1575" spans="1:39">
      <c r="A1575" s="42" t="s">
        <v>251</v>
      </c>
      <c r="B1575" s="1" t="s">
        <v>20</v>
      </c>
      <c r="C1575" s="40" t="str">
        <f t="shared" si="233"/>
        <v>06-&gt;</v>
      </c>
      <c r="D1575" s="40" t="str">
        <f t="shared" si="234"/>
        <v xml:space="preserve">No pick yet                                                 </v>
      </c>
      <c r="E1575" s="52">
        <f t="shared" si="235"/>
        <v>0</v>
      </c>
      <c r="F1575" s="18"/>
      <c r="M1575" s="18"/>
      <c r="N1575" s="18"/>
      <c r="O1575" s="18"/>
      <c r="P1575" s="18"/>
      <c r="Q1575" s="22"/>
      <c r="R1575" s="21"/>
      <c r="S1575" s="21"/>
      <c r="T1575" s="21"/>
      <c r="AA1575"/>
      <c r="AH1575" t="str">
        <f t="shared" si="236"/>
        <v>k yet</v>
      </c>
    </row>
    <row r="1576" spans="1:39">
      <c r="A1576" s="42" t="s">
        <v>252</v>
      </c>
      <c r="B1576" s="1" t="s">
        <v>20</v>
      </c>
      <c r="C1576" s="40" t="str">
        <f t="shared" si="233"/>
        <v>07-&gt;</v>
      </c>
      <c r="D1576" s="40" t="str">
        <f t="shared" si="234"/>
        <v xml:space="preserve">No pick yet                                                 </v>
      </c>
      <c r="E1576" s="52">
        <f t="shared" si="235"/>
        <v>0</v>
      </c>
      <c r="F1576" s="18"/>
      <c r="M1576" s="18"/>
      <c r="N1576" s="18"/>
      <c r="O1576" s="18"/>
      <c r="P1576" s="18"/>
      <c r="Q1576" s="22"/>
      <c r="R1576" s="21"/>
      <c r="S1576" s="21"/>
      <c r="T1576" s="21"/>
      <c r="AA1576"/>
      <c r="AH1576" t="str">
        <f t="shared" si="236"/>
        <v>k yet</v>
      </c>
    </row>
    <row r="1577" spans="1:39">
      <c r="A1577" s="42" t="s">
        <v>253</v>
      </c>
      <c r="B1577" s="1" t="s">
        <v>20</v>
      </c>
      <c r="C1577" s="40" t="str">
        <f t="shared" si="233"/>
        <v>08-&gt;</v>
      </c>
      <c r="D1577" s="40" t="str">
        <f t="shared" si="234"/>
        <v xml:space="preserve">No pick yet                                                 </v>
      </c>
      <c r="E1577" s="52">
        <f t="shared" si="235"/>
        <v>0</v>
      </c>
      <c r="F1577" s="18"/>
      <c r="M1577" s="18"/>
      <c r="N1577" s="18"/>
      <c r="O1577" s="18"/>
      <c r="P1577" s="18"/>
      <c r="Q1577" s="22"/>
      <c r="R1577" s="21"/>
      <c r="S1577" s="21"/>
      <c r="T1577" s="21"/>
      <c r="AA1577"/>
      <c r="AH1577" t="str">
        <f t="shared" si="236"/>
        <v>k yet</v>
      </c>
    </row>
    <row r="1578" spans="1:39">
      <c r="A1578" s="42" t="s">
        <v>254</v>
      </c>
      <c r="B1578" s="1" t="s">
        <v>20</v>
      </c>
      <c r="C1578" s="40" t="str">
        <f t="shared" si="233"/>
        <v>09-&gt;</v>
      </c>
      <c r="D1578" s="40" t="str">
        <f t="shared" si="234"/>
        <v xml:space="preserve">No pick yet                                                 </v>
      </c>
      <c r="E1578" s="52">
        <f t="shared" si="235"/>
        <v>0</v>
      </c>
      <c r="F1578" s="18"/>
      <c r="M1578" s="18"/>
      <c r="N1578" s="18"/>
      <c r="O1578" s="18"/>
      <c r="P1578" s="18"/>
      <c r="Q1578" s="22"/>
      <c r="R1578" s="21"/>
      <c r="S1578" s="21"/>
      <c r="T1578" s="21"/>
      <c r="AA1578"/>
      <c r="AH1578" t="str">
        <f t="shared" si="236"/>
        <v>k yet</v>
      </c>
    </row>
    <row r="1579" spans="1:39">
      <c r="A1579" s="42" t="s">
        <v>255</v>
      </c>
      <c r="B1579" s="1" t="s">
        <v>20</v>
      </c>
      <c r="C1579" s="40" t="str">
        <f t="shared" si="233"/>
        <v>10-&gt;</v>
      </c>
      <c r="D1579" s="40" t="str">
        <f t="shared" si="234"/>
        <v xml:space="preserve">No pick yet                                                 </v>
      </c>
      <c r="E1579" s="52">
        <f t="shared" si="235"/>
        <v>0</v>
      </c>
      <c r="F1579" s="22"/>
      <c r="M1579" s="18"/>
      <c r="N1579" s="18"/>
      <c r="O1579" s="18"/>
      <c r="P1579" s="18"/>
      <c r="Q1579" s="22"/>
      <c r="R1579" s="21"/>
      <c r="S1579" s="21"/>
      <c r="T1579" s="21"/>
      <c r="AA1579"/>
      <c r="AH1579" t="str">
        <f t="shared" si="236"/>
        <v>k yet</v>
      </c>
    </row>
    <row r="1580" spans="1:39">
      <c r="A1580" s="42" t="s">
        <v>256</v>
      </c>
      <c r="B1580" s="1" t="s">
        <v>20</v>
      </c>
      <c r="C1580" s="40" t="str">
        <f t="shared" si="233"/>
        <v>11-&gt;</v>
      </c>
      <c r="D1580" s="40" t="str">
        <f t="shared" si="234"/>
        <v xml:space="preserve">No pick yet                                                 </v>
      </c>
      <c r="E1580" s="52">
        <f t="shared" si="235"/>
        <v>0</v>
      </c>
      <c r="M1580" s="18"/>
      <c r="N1580" s="18"/>
      <c r="O1580" s="18"/>
      <c r="P1580" s="18"/>
      <c r="Q1580" s="22"/>
      <c r="R1580" s="21"/>
      <c r="S1580" s="21"/>
      <c r="T1580" s="21"/>
      <c r="AA1580"/>
      <c r="AH1580" t="str">
        <f t="shared" si="236"/>
        <v>k yet</v>
      </c>
    </row>
    <row r="1581" spans="1:39">
      <c r="A1581" s="42" t="s">
        <v>257</v>
      </c>
      <c r="B1581" s="1" t="s">
        <v>20</v>
      </c>
      <c r="C1581" s="40" t="str">
        <f t="shared" si="233"/>
        <v>12-&gt;</v>
      </c>
      <c r="D1581" s="40" t="str">
        <f t="shared" si="234"/>
        <v xml:space="preserve">No pick yet                                                 </v>
      </c>
      <c r="E1581" s="52">
        <f t="shared" si="235"/>
        <v>0</v>
      </c>
      <c r="M1581" s="18"/>
      <c r="N1581" s="18"/>
      <c r="O1581" s="18"/>
      <c r="P1581" s="18"/>
      <c r="Q1581" s="22"/>
      <c r="R1581" s="21"/>
      <c r="S1581" s="21"/>
      <c r="T1581" s="21"/>
      <c r="AA1581"/>
      <c r="AH1581" t="str">
        <f t="shared" si="236"/>
        <v>k yet</v>
      </c>
    </row>
    <row r="1582" spans="1:39">
      <c r="A1582" s="42" t="s">
        <v>258</v>
      </c>
      <c r="B1582" s="1" t="s">
        <v>20</v>
      </c>
      <c r="C1582" s="40" t="str">
        <f t="shared" si="233"/>
        <v>13-&gt;</v>
      </c>
      <c r="D1582" s="40" t="str">
        <f t="shared" si="234"/>
        <v xml:space="preserve">No pick yet                                                 </v>
      </c>
      <c r="E1582" s="52">
        <f t="shared" si="235"/>
        <v>0</v>
      </c>
      <c r="M1582" s="18"/>
      <c r="N1582" s="18"/>
      <c r="O1582" s="18"/>
      <c r="P1582" s="18"/>
      <c r="Q1582" s="22"/>
      <c r="R1582" s="21"/>
      <c r="S1582" s="21"/>
      <c r="T1582" s="21"/>
      <c r="AA1582"/>
      <c r="AH1582" t="str">
        <f t="shared" si="236"/>
        <v>k yet</v>
      </c>
    </row>
    <row r="1583" spans="1:39">
      <c r="A1583" s="42" t="s">
        <v>259</v>
      </c>
      <c r="B1583" s="1" t="s">
        <v>20</v>
      </c>
      <c r="C1583" s="40" t="str">
        <f t="shared" si="233"/>
        <v>14-&gt;</v>
      </c>
      <c r="D1583" s="40" t="str">
        <f t="shared" si="234"/>
        <v xml:space="preserve">No pick yet                                                 </v>
      </c>
      <c r="E1583" s="52">
        <f t="shared" si="235"/>
        <v>0</v>
      </c>
      <c r="M1583" s="18"/>
      <c r="N1583" s="18"/>
      <c r="O1583" s="18"/>
      <c r="P1583" s="18"/>
      <c r="Q1583" s="22"/>
      <c r="R1583" s="21"/>
      <c r="S1583" s="21"/>
      <c r="T1583" s="21"/>
      <c r="AA1583"/>
      <c r="AH1583" t="str">
        <f t="shared" si="236"/>
        <v>k yet</v>
      </c>
    </row>
    <row r="1584" spans="1:39">
      <c r="A1584" s="42" t="s">
        <v>260</v>
      </c>
      <c r="B1584" s="1" t="s">
        <v>20</v>
      </c>
      <c r="C1584" s="40" t="str">
        <f t="shared" si="233"/>
        <v>15-&gt;</v>
      </c>
      <c r="D1584" s="40" t="str">
        <f t="shared" si="234"/>
        <v xml:space="preserve">No pick yet                                                 </v>
      </c>
      <c r="E1584" s="52">
        <f t="shared" si="235"/>
        <v>0</v>
      </c>
      <c r="M1584" s="18"/>
      <c r="N1584" s="18"/>
      <c r="O1584" s="18"/>
      <c r="P1584" s="18"/>
      <c r="Q1584" s="22"/>
      <c r="R1584" s="21"/>
      <c r="S1584" s="21"/>
      <c r="T1584" s="21"/>
      <c r="AA1584"/>
      <c r="AH1584" t="str">
        <f t="shared" si="236"/>
        <v>k yet</v>
      </c>
    </row>
    <row r="1585" spans="1:39">
      <c r="A1585" s="42" t="s">
        <v>261</v>
      </c>
      <c r="B1585" s="1" t="s">
        <v>20</v>
      </c>
      <c r="C1585" s="40" t="str">
        <f t="shared" si="233"/>
        <v>16-&gt;</v>
      </c>
      <c r="D1585" s="40" t="str">
        <f t="shared" si="234"/>
        <v xml:space="preserve">No pick yet                                                 </v>
      </c>
      <c r="E1585" s="52">
        <f t="shared" si="235"/>
        <v>0</v>
      </c>
      <c r="M1585" s="18"/>
      <c r="N1585" s="18"/>
      <c r="O1585" s="18"/>
      <c r="P1585" s="18"/>
      <c r="Q1585" s="22"/>
      <c r="R1585" s="21"/>
      <c r="S1585" s="21"/>
      <c r="T1585" s="21"/>
      <c r="AA1585"/>
      <c r="AH1585" t="str">
        <f t="shared" si="236"/>
        <v>k yet</v>
      </c>
    </row>
    <row r="1586" spans="1:39">
      <c r="A1586" s="42" t="s">
        <v>262</v>
      </c>
      <c r="B1586" s="1" t="s">
        <v>20</v>
      </c>
      <c r="C1586" s="40" t="str">
        <f t="shared" si="233"/>
        <v>17-&gt;</v>
      </c>
      <c r="D1586" s="40" t="str">
        <f t="shared" si="234"/>
        <v xml:space="preserve">No pick yet                                                 </v>
      </c>
      <c r="E1586" s="52">
        <f t="shared" si="235"/>
        <v>0</v>
      </c>
      <c r="K1586" s="22"/>
      <c r="N1586" s="22"/>
      <c r="O1586" s="22"/>
      <c r="P1586" s="22"/>
      <c r="Q1586" s="22"/>
      <c r="R1586" s="22"/>
      <c r="S1586" s="22"/>
      <c r="Z1586" s="53"/>
      <c r="AA1586"/>
      <c r="AH1586" t="str">
        <f t="shared" si="236"/>
        <v>k yet</v>
      </c>
    </row>
    <row r="1587" spans="1:39">
      <c r="A1587" s="42" t="s">
        <v>263</v>
      </c>
      <c r="B1587" s="1" t="s">
        <v>20</v>
      </c>
      <c r="C1587" s="40" t="str">
        <f t="shared" si="233"/>
        <v>18-&gt;</v>
      </c>
      <c r="D1587" s="40" t="str">
        <f t="shared" si="234"/>
        <v xml:space="preserve">No pick yet                                                 </v>
      </c>
      <c r="E1587" s="52">
        <f t="shared" si="235"/>
        <v>0</v>
      </c>
      <c r="F1587" s="18"/>
      <c r="L1587" s="21"/>
      <c r="N1587" s="22"/>
      <c r="O1587" s="22"/>
      <c r="P1587" s="18"/>
      <c r="Q1587" s="22"/>
      <c r="R1587" s="22"/>
      <c r="S1587" s="22"/>
      <c r="Z1587" s="53"/>
      <c r="AA1587"/>
      <c r="AH1587" t="str">
        <f t="shared" si="236"/>
        <v>k yet</v>
      </c>
    </row>
    <row r="1588" spans="1:39">
      <c r="A1588" s="42" t="s">
        <v>264</v>
      </c>
      <c r="B1588" s="1" t="s">
        <v>20</v>
      </c>
      <c r="C1588" s="40" t="str">
        <f t="shared" si="233"/>
        <v>19-&gt;</v>
      </c>
      <c r="D1588" s="40" t="str">
        <f t="shared" si="234"/>
        <v xml:space="preserve">No pick yet                                                 </v>
      </c>
      <c r="E1588" s="52">
        <f t="shared" si="235"/>
        <v>0</v>
      </c>
      <c r="F1588" s="18"/>
      <c r="M1588" s="18"/>
      <c r="N1588" s="18"/>
      <c r="O1588" s="18"/>
      <c r="P1588" s="18"/>
      <c r="Q1588" s="22"/>
      <c r="R1588" s="21"/>
      <c r="S1588" s="21"/>
      <c r="T1588" s="21"/>
      <c r="AA1588"/>
      <c r="AH1588" t="str">
        <f t="shared" si="236"/>
        <v>k yet</v>
      </c>
    </row>
    <row r="1589" spans="1:39">
      <c r="A1589" s="42" t="s">
        <v>265</v>
      </c>
      <c r="B1589" s="1" t="s">
        <v>20</v>
      </c>
      <c r="C1589" s="40" t="str">
        <f t="shared" si="233"/>
        <v>20-&gt;</v>
      </c>
      <c r="D1589" s="40" t="str">
        <f t="shared" si="234"/>
        <v xml:space="preserve">No pick yet                                                 </v>
      </c>
      <c r="E1589" s="52">
        <f t="shared" si="235"/>
        <v>0</v>
      </c>
      <c r="F1589" s="18"/>
      <c r="M1589" s="18"/>
      <c r="N1589" s="18"/>
      <c r="O1589" s="18"/>
      <c r="P1589" s="18"/>
      <c r="Q1589" s="22"/>
      <c r="R1589" s="21"/>
      <c r="S1589" s="21"/>
      <c r="T1589" s="21"/>
      <c r="AA1589"/>
      <c r="AH1589" t="str">
        <f t="shared" si="236"/>
        <v>k yet</v>
      </c>
    </row>
    <row r="1590" spans="1:39">
      <c r="A1590" s="42" t="s">
        <v>266</v>
      </c>
      <c r="B1590" s="1" t="s">
        <v>20</v>
      </c>
      <c r="C1590" s="40" t="str">
        <f t="shared" si="233"/>
        <v>21-&gt;</v>
      </c>
      <c r="D1590" s="40" t="str">
        <f t="shared" si="234"/>
        <v xml:space="preserve">No pick yet                                                 </v>
      </c>
      <c r="E1590" s="52">
        <f t="shared" si="235"/>
        <v>0</v>
      </c>
      <c r="F1590" s="18"/>
      <c r="M1590" s="18"/>
      <c r="N1590" s="18"/>
      <c r="O1590" s="18"/>
      <c r="P1590" s="18"/>
      <c r="Q1590" s="22"/>
      <c r="R1590" s="21"/>
      <c r="S1590" s="21"/>
      <c r="T1590" s="21"/>
      <c r="AA1590"/>
      <c r="AH1590" t="str">
        <f t="shared" si="236"/>
        <v>k yet</v>
      </c>
    </row>
    <row r="1591" spans="1:39">
      <c r="A1591" s="42" t="s">
        <v>267</v>
      </c>
      <c r="B1591" s="1" t="s">
        <v>20</v>
      </c>
      <c r="C1591" s="40" t="str">
        <f t="shared" si="233"/>
        <v>22-&gt;</v>
      </c>
      <c r="D1591" s="40" t="str">
        <f t="shared" si="234"/>
        <v xml:space="preserve">No pick yet                                                 </v>
      </c>
      <c r="E1591" s="52">
        <f t="shared" si="235"/>
        <v>0</v>
      </c>
      <c r="F1591" s="18"/>
      <c r="M1591" s="18"/>
      <c r="N1591" s="18"/>
      <c r="O1591" s="18"/>
      <c r="P1591" s="18"/>
      <c r="Q1591" s="22"/>
      <c r="R1591" s="21"/>
      <c r="S1591" s="21"/>
      <c r="T1591" s="21"/>
      <c r="AA1591"/>
      <c r="AH1591" t="str">
        <f t="shared" si="236"/>
        <v>k yet</v>
      </c>
    </row>
    <row r="1592" spans="1:39">
      <c r="A1592" s="42" t="s">
        <v>268</v>
      </c>
      <c r="B1592" s="1" t="s">
        <v>20</v>
      </c>
      <c r="C1592" s="40" t="str">
        <f t="shared" si="233"/>
        <v>23-&gt;</v>
      </c>
      <c r="D1592" s="40" t="str">
        <f t="shared" si="234"/>
        <v xml:space="preserve">No pick yet                                                 </v>
      </c>
      <c r="E1592" s="52">
        <f t="shared" si="235"/>
        <v>0</v>
      </c>
      <c r="F1592" s="18"/>
      <c r="M1592" s="18"/>
      <c r="N1592" s="18"/>
      <c r="O1592" s="18"/>
      <c r="P1592" s="18"/>
      <c r="Q1592" s="22"/>
      <c r="R1592" s="21"/>
      <c r="S1592" s="21"/>
      <c r="T1592" s="21"/>
      <c r="AA1592"/>
      <c r="AH1592" t="str">
        <f t="shared" si="236"/>
        <v>k yet</v>
      </c>
    </row>
    <row r="1593" spans="1:39">
      <c r="A1593" s="42" t="s">
        <v>269</v>
      </c>
      <c r="B1593" s="1" t="s">
        <v>20</v>
      </c>
      <c r="C1593" s="40" t="str">
        <f t="shared" si="233"/>
        <v>24-&gt;</v>
      </c>
      <c r="D1593" s="40" t="str">
        <f t="shared" si="234"/>
        <v xml:space="preserve">No pick yet                                                 </v>
      </c>
      <c r="E1593" s="52">
        <f t="shared" si="235"/>
        <v>0</v>
      </c>
      <c r="F1593" s="18"/>
      <c r="M1593" s="18"/>
      <c r="N1593" s="18"/>
      <c r="O1593" s="18"/>
      <c r="P1593" s="18"/>
      <c r="Q1593" s="22"/>
      <c r="R1593" s="21"/>
      <c r="S1593" s="21"/>
      <c r="T1593" s="21"/>
      <c r="AA1593"/>
      <c r="AH1593" t="str">
        <f t="shared" si="236"/>
        <v>k yet</v>
      </c>
    </row>
    <row r="1594" spans="1:39">
      <c r="A1594" s="42" t="s">
        <v>270</v>
      </c>
      <c r="B1594" s="1" t="s">
        <v>20</v>
      </c>
      <c r="C1594" s="40" t="str">
        <f t="shared" si="233"/>
        <v>25-&gt;</v>
      </c>
      <c r="D1594" s="40" t="str">
        <f t="shared" si="234"/>
        <v xml:space="preserve">No pick yet                                                 </v>
      </c>
      <c r="E1594" s="52">
        <f t="shared" si="235"/>
        <v>0</v>
      </c>
      <c r="F1594" s="18"/>
      <c r="M1594" s="18"/>
      <c r="N1594" s="18"/>
      <c r="O1594" s="18"/>
      <c r="P1594" s="18"/>
      <c r="Q1594" s="22"/>
      <c r="R1594" s="21"/>
      <c r="S1594" s="21"/>
      <c r="T1594" s="21"/>
      <c r="AA1594"/>
      <c r="AH1594" t="str">
        <f t="shared" si="236"/>
        <v>k yet</v>
      </c>
    </row>
    <row r="1595" spans="1:39">
      <c r="A1595" s="42" t="s">
        <v>271</v>
      </c>
      <c r="B1595" s="1" t="s">
        <v>20</v>
      </c>
      <c r="C1595" s="40" t="str">
        <f t="shared" si="233"/>
        <v>26-&gt;</v>
      </c>
      <c r="D1595" s="40" t="str">
        <f t="shared" si="234"/>
        <v xml:space="preserve">No pick yet                                                 </v>
      </c>
      <c r="E1595" s="52">
        <f t="shared" si="235"/>
        <v>0</v>
      </c>
      <c r="F1595" s="18"/>
      <c r="M1595" s="18"/>
      <c r="N1595" s="18"/>
      <c r="O1595" s="18"/>
      <c r="P1595" s="18"/>
      <c r="Q1595" s="22"/>
      <c r="R1595" s="21"/>
      <c r="S1595" s="21"/>
      <c r="T1595" s="21"/>
      <c r="AA1595"/>
      <c r="AH1595" t="str">
        <f t="shared" si="236"/>
        <v>k yet</v>
      </c>
    </row>
    <row r="1596" spans="1:39">
      <c r="A1596" s="38"/>
      <c r="B1596" s="40"/>
      <c r="C1596" s="40"/>
      <c r="D1596" s="49"/>
      <c r="E1596" s="41" t="s">
        <v>69</v>
      </c>
      <c r="F1596" s="18"/>
      <c r="K1596" s="22" t="s">
        <v>73</v>
      </c>
      <c r="L1596" s="18" t="s">
        <v>74</v>
      </c>
      <c r="M1596" s="22" t="s">
        <v>78</v>
      </c>
      <c r="N1596" s="22" t="s">
        <v>79</v>
      </c>
      <c r="O1596" s="22" t="s">
        <v>80</v>
      </c>
      <c r="P1596" s="22" t="s">
        <v>81</v>
      </c>
      <c r="Q1596" s="22" t="s">
        <v>82</v>
      </c>
      <c r="R1596" s="22" t="s">
        <v>83</v>
      </c>
      <c r="S1596" s="22" t="s">
        <v>84</v>
      </c>
      <c r="T1596" s="18" t="s">
        <v>85</v>
      </c>
      <c r="U1596" s="18" t="s">
        <v>86</v>
      </c>
      <c r="V1596" s="18" t="s">
        <v>87</v>
      </c>
      <c r="W1596" s="18" t="s">
        <v>88</v>
      </c>
      <c r="X1596" s="18" t="s">
        <v>89</v>
      </c>
      <c r="Y1596" s="18" t="s">
        <v>90</v>
      </c>
      <c r="Z1596" s="18" t="s">
        <v>91</v>
      </c>
      <c r="AA1596" s="18" t="s">
        <v>92</v>
      </c>
      <c r="AB1596" s="18" t="s">
        <v>93</v>
      </c>
      <c r="AC1596" s="18" t="s">
        <v>94</v>
      </c>
      <c r="AD1596" s="18" t="s">
        <v>235</v>
      </c>
      <c r="AE1596" s="18" t="s">
        <v>236</v>
      </c>
      <c r="AF1596" s="18" t="s">
        <v>237</v>
      </c>
      <c r="AG1596" s="18" t="s">
        <v>238</v>
      </c>
      <c r="AH1596" s="18" t="s">
        <v>239</v>
      </c>
      <c r="AI1596" s="18" t="s">
        <v>240</v>
      </c>
      <c r="AJ1596" s="18" t="s">
        <v>241</v>
      </c>
      <c r="AK1596" s="18" t="s">
        <v>242</v>
      </c>
      <c r="AL1596" s="18" t="s">
        <v>243</v>
      </c>
      <c r="AM1596" s="50" t="s">
        <v>244</v>
      </c>
    </row>
    <row r="1597" spans="1:39">
      <c r="A1597" s="40" t="s">
        <v>245</v>
      </c>
      <c r="B1597" s="51" t="str">
        <f>D56</f>
        <v/>
      </c>
      <c r="C1597" s="40" t="str">
        <f t="shared" ref="C1597:C1623" si="237">A1597</f>
        <v>#</v>
      </c>
      <c r="D1597" s="40" t="str">
        <f>"   "&amp;B1597&amp;REPT(" ",$AH$70-LEN(B1597)-3)</f>
        <v xml:space="preserve">                                                            </v>
      </c>
      <c r="E1597" s="38" t="str">
        <f>SUM(E1598:E1623)&amp;" pts[/b]"</f>
        <v>0 pts[/b]</v>
      </c>
      <c r="F1597" s="21">
        <f>SUM(E1598:E1623)</f>
        <v>0</v>
      </c>
      <c r="K1597" s="18">
        <f>COUNTIF(E1598:E1623,"&gt;0")</f>
        <v>0</v>
      </c>
      <c r="L1597" s="21">
        <f>AM1597-K1597</f>
        <v>0</v>
      </c>
      <c r="M1597" s="22">
        <f>MAX(E1598:E1623)</f>
        <v>0</v>
      </c>
      <c r="N1597" s="22">
        <f>LARGE(E1598:E1623,2)</f>
        <v>0</v>
      </c>
      <c r="O1597" s="22">
        <f>LARGE(E1598:E1623,3)</f>
        <v>0</v>
      </c>
      <c r="P1597" s="18">
        <f>LARGE(E1598:E1623,4)</f>
        <v>0</v>
      </c>
      <c r="Q1597" s="22">
        <f>LARGE(E1598:E1623,5)</f>
        <v>0</v>
      </c>
      <c r="R1597" s="22">
        <f>LARGE(E1598:E1623,6)</f>
        <v>0</v>
      </c>
      <c r="S1597" s="22">
        <f>LARGE(E1598:E1623,7)</f>
        <v>0</v>
      </c>
      <c r="T1597" s="18">
        <f>LARGE(E1598:E1623,8)</f>
        <v>0</v>
      </c>
      <c r="U1597" s="18">
        <f>LARGE(E1598:E1623,9)</f>
        <v>0</v>
      </c>
      <c r="V1597" s="18">
        <f>LARGE(E1598:E1623,10)</f>
        <v>0</v>
      </c>
      <c r="W1597" s="18">
        <f>LARGE(E1598:E1623,11)</f>
        <v>0</v>
      </c>
      <c r="X1597" s="18">
        <f>LARGE(E1598:E1623,12)</f>
        <v>0</v>
      </c>
      <c r="Y1597" s="18">
        <f>LARGE(E1598:E1623,13)</f>
        <v>0</v>
      </c>
      <c r="Z1597" s="18">
        <f>LARGE(E1598:E1623,14)</f>
        <v>0</v>
      </c>
      <c r="AA1597" s="18">
        <f>LARGE(E1598:E1623,15)</f>
        <v>0</v>
      </c>
      <c r="AB1597" s="18">
        <f>LARGE(E1598:E1623,16)</f>
        <v>0</v>
      </c>
      <c r="AC1597" s="18">
        <f>LARGE(E1598:E1623,17)</f>
        <v>0</v>
      </c>
      <c r="AD1597" s="18">
        <f>LARGE(E1598:E1624,13)</f>
        <v>0</v>
      </c>
      <c r="AE1597" s="18">
        <f>LARGE(E1598:E1623,19)</f>
        <v>0</v>
      </c>
      <c r="AF1597" s="18">
        <f>LARGE(E1598:E1623,20)</f>
        <v>0</v>
      </c>
      <c r="AG1597" s="18">
        <f>LARGE(E1598:E1623,21)</f>
        <v>0</v>
      </c>
      <c r="AH1597" s="18">
        <f>LARGE(E1598:E1623,22)</f>
        <v>0</v>
      </c>
      <c r="AI1597" s="18">
        <f>LARGE(E1598:E1623,23)</f>
        <v>0</v>
      </c>
      <c r="AJ1597" s="18">
        <f>LARGE(E1598:E1623,24)</f>
        <v>0</v>
      </c>
      <c r="AK1597" s="18">
        <f>LARGE(E1598:E1623,25)</f>
        <v>0</v>
      </c>
      <c r="AL1597" s="18">
        <f>LARGE(E1598:E1623,26)</f>
        <v>0</v>
      </c>
      <c r="AM1597" s="50">
        <f>COUNTIF(AH1598:AH1623,"&lt;&gt;"&amp;$AH$76)-(26-COUNTIF(E1598:E1623,"&gt;=0"))</f>
        <v>0</v>
      </c>
    </row>
    <row r="1598" spans="1:39">
      <c r="A1598" s="42" t="s">
        <v>246</v>
      </c>
      <c r="B1598" s="1" t="s">
        <v>20</v>
      </c>
      <c r="C1598" s="40" t="str">
        <f t="shared" si="237"/>
        <v>01-&gt;</v>
      </c>
      <c r="D1598" s="40" t="str">
        <f t="shared" ref="D1598:D1623" si="238">B1598&amp;REPT(" ",$AH$70-LEN(B1598))</f>
        <v xml:space="preserve">No pick yet                                                 </v>
      </c>
      <c r="E1598" s="52">
        <f t="shared" ref="E1598:E1623" si="239">VLOOKUP(RIGHT(B1598,LEN(B1598)-$AH$66),$H$138:$I$420,2,0)</f>
        <v>0</v>
      </c>
      <c r="F1598" s="18"/>
      <c r="M1598" s="18"/>
      <c r="N1598" s="18"/>
      <c r="O1598" s="18"/>
      <c r="P1598" s="18"/>
      <c r="Q1598" s="22"/>
      <c r="R1598" s="21"/>
      <c r="S1598" s="21"/>
      <c r="T1598" s="21"/>
      <c r="AA1598"/>
      <c r="AH1598" t="str">
        <f t="shared" ref="AH1598:AH1623" si="240">RIGHT(B1598,LEN(B1598)-$AH$66)</f>
        <v>k yet</v>
      </c>
    </row>
    <row r="1599" spans="1:39">
      <c r="A1599" s="42" t="s">
        <v>247</v>
      </c>
      <c r="B1599" s="1" t="s">
        <v>20</v>
      </c>
      <c r="C1599" s="40" t="str">
        <f t="shared" si="237"/>
        <v>02-&gt;</v>
      </c>
      <c r="D1599" s="40" t="str">
        <f t="shared" si="238"/>
        <v xml:space="preserve">No pick yet                                                 </v>
      </c>
      <c r="E1599" s="52">
        <f t="shared" si="239"/>
        <v>0</v>
      </c>
      <c r="F1599" s="18"/>
      <c r="K1599" s="22"/>
      <c r="N1599" s="22"/>
      <c r="O1599" s="22"/>
      <c r="P1599" s="22"/>
      <c r="Q1599" s="22"/>
      <c r="R1599" s="22"/>
      <c r="S1599" s="22"/>
      <c r="Z1599" s="53"/>
      <c r="AA1599"/>
      <c r="AH1599" t="str">
        <f t="shared" si="240"/>
        <v>k yet</v>
      </c>
    </row>
    <row r="1600" spans="1:39">
      <c r="A1600" s="42" t="s">
        <v>248</v>
      </c>
      <c r="B1600" s="1" t="s">
        <v>20</v>
      </c>
      <c r="C1600" s="40" t="str">
        <f t="shared" si="237"/>
        <v>03-&gt;</v>
      </c>
      <c r="D1600" s="40" t="str">
        <f t="shared" si="238"/>
        <v xml:space="preserve">No pick yet                                                 </v>
      </c>
      <c r="E1600" s="52">
        <f t="shared" si="239"/>
        <v>0</v>
      </c>
      <c r="F1600" s="18"/>
      <c r="L1600" s="21"/>
      <c r="N1600" s="22"/>
      <c r="O1600" s="22"/>
      <c r="P1600" s="18"/>
      <c r="Q1600" s="22"/>
      <c r="R1600" s="22"/>
      <c r="S1600" s="22"/>
      <c r="Z1600" s="53"/>
      <c r="AA1600"/>
      <c r="AH1600" t="str">
        <f t="shared" si="240"/>
        <v>k yet</v>
      </c>
    </row>
    <row r="1601" spans="1:34">
      <c r="A1601" s="42" t="s">
        <v>249</v>
      </c>
      <c r="B1601" s="1" t="s">
        <v>20</v>
      </c>
      <c r="C1601" s="40" t="str">
        <f t="shared" si="237"/>
        <v>04-&gt;</v>
      </c>
      <c r="D1601" s="40" t="str">
        <f t="shared" si="238"/>
        <v xml:space="preserve">No pick yet                                                 </v>
      </c>
      <c r="E1601" s="52">
        <f t="shared" si="239"/>
        <v>0</v>
      </c>
      <c r="F1601" s="18"/>
      <c r="M1601" s="18"/>
      <c r="N1601" s="18"/>
      <c r="O1601" s="18"/>
      <c r="P1601" s="18"/>
      <c r="Q1601" s="22"/>
      <c r="R1601" s="21"/>
      <c r="S1601" s="21"/>
      <c r="T1601" s="21"/>
      <c r="AA1601"/>
      <c r="AH1601" t="str">
        <f t="shared" si="240"/>
        <v>k yet</v>
      </c>
    </row>
    <row r="1602" spans="1:34">
      <c r="A1602" s="42" t="s">
        <v>250</v>
      </c>
      <c r="B1602" s="1" t="s">
        <v>20</v>
      </c>
      <c r="C1602" s="40" t="str">
        <f t="shared" si="237"/>
        <v>05-&gt;</v>
      </c>
      <c r="D1602" s="40" t="str">
        <f t="shared" si="238"/>
        <v xml:space="preserve">No pick yet                                                 </v>
      </c>
      <c r="E1602" s="52">
        <f t="shared" si="239"/>
        <v>0</v>
      </c>
      <c r="F1602" s="18"/>
      <c r="M1602" s="18"/>
      <c r="N1602" s="18"/>
      <c r="O1602" s="18"/>
      <c r="P1602" s="18"/>
      <c r="Q1602" s="22"/>
      <c r="R1602" s="21"/>
      <c r="S1602" s="21"/>
      <c r="T1602" s="21"/>
      <c r="AA1602"/>
      <c r="AH1602" t="str">
        <f t="shared" si="240"/>
        <v>k yet</v>
      </c>
    </row>
    <row r="1603" spans="1:34">
      <c r="A1603" s="42" t="s">
        <v>251</v>
      </c>
      <c r="B1603" s="1" t="s">
        <v>20</v>
      </c>
      <c r="C1603" s="40" t="str">
        <f t="shared" si="237"/>
        <v>06-&gt;</v>
      </c>
      <c r="D1603" s="40" t="str">
        <f t="shared" si="238"/>
        <v xml:space="preserve">No pick yet                                                 </v>
      </c>
      <c r="E1603" s="52">
        <f t="shared" si="239"/>
        <v>0</v>
      </c>
      <c r="F1603" s="18"/>
      <c r="M1603" s="18"/>
      <c r="N1603" s="18"/>
      <c r="O1603" s="18"/>
      <c r="P1603" s="18"/>
      <c r="Q1603" s="22"/>
      <c r="R1603" s="21"/>
      <c r="S1603" s="21"/>
      <c r="T1603" s="21"/>
      <c r="AA1603"/>
      <c r="AH1603" t="str">
        <f t="shared" si="240"/>
        <v>k yet</v>
      </c>
    </row>
    <row r="1604" spans="1:34">
      <c r="A1604" s="42" t="s">
        <v>252</v>
      </c>
      <c r="B1604" s="1" t="s">
        <v>20</v>
      </c>
      <c r="C1604" s="40" t="str">
        <f t="shared" si="237"/>
        <v>07-&gt;</v>
      </c>
      <c r="D1604" s="40" t="str">
        <f t="shared" si="238"/>
        <v xml:space="preserve">No pick yet                                                 </v>
      </c>
      <c r="E1604" s="52">
        <f t="shared" si="239"/>
        <v>0</v>
      </c>
      <c r="F1604" s="18"/>
      <c r="M1604" s="18"/>
      <c r="N1604" s="18"/>
      <c r="O1604" s="18"/>
      <c r="P1604" s="18"/>
      <c r="Q1604" s="22"/>
      <c r="R1604" s="21"/>
      <c r="S1604" s="21"/>
      <c r="T1604" s="21"/>
      <c r="AA1604"/>
      <c r="AH1604" t="str">
        <f t="shared" si="240"/>
        <v>k yet</v>
      </c>
    </row>
    <row r="1605" spans="1:34">
      <c r="A1605" s="42" t="s">
        <v>253</v>
      </c>
      <c r="B1605" s="1" t="s">
        <v>20</v>
      </c>
      <c r="C1605" s="40" t="str">
        <f t="shared" si="237"/>
        <v>08-&gt;</v>
      </c>
      <c r="D1605" s="40" t="str">
        <f t="shared" si="238"/>
        <v xml:space="preserve">No pick yet                                                 </v>
      </c>
      <c r="E1605" s="52">
        <f t="shared" si="239"/>
        <v>0</v>
      </c>
      <c r="F1605" s="18"/>
      <c r="M1605" s="18"/>
      <c r="N1605" s="18"/>
      <c r="O1605" s="18"/>
      <c r="P1605" s="18"/>
      <c r="Q1605" s="22"/>
      <c r="R1605" s="21"/>
      <c r="S1605" s="21"/>
      <c r="T1605" s="21"/>
      <c r="AA1605"/>
      <c r="AH1605" t="str">
        <f t="shared" si="240"/>
        <v>k yet</v>
      </c>
    </row>
    <row r="1606" spans="1:34">
      <c r="A1606" s="42" t="s">
        <v>254</v>
      </c>
      <c r="B1606" s="1" t="s">
        <v>20</v>
      </c>
      <c r="C1606" s="40" t="str">
        <f t="shared" si="237"/>
        <v>09-&gt;</v>
      </c>
      <c r="D1606" s="40" t="str">
        <f t="shared" si="238"/>
        <v xml:space="preserve">No pick yet                                                 </v>
      </c>
      <c r="E1606" s="52">
        <f t="shared" si="239"/>
        <v>0</v>
      </c>
      <c r="F1606" s="18"/>
      <c r="M1606" s="18"/>
      <c r="N1606" s="18"/>
      <c r="O1606" s="18"/>
      <c r="P1606" s="18"/>
      <c r="Q1606" s="22"/>
      <c r="R1606" s="21"/>
      <c r="S1606" s="21"/>
      <c r="T1606" s="21"/>
      <c r="AA1606"/>
      <c r="AH1606" t="str">
        <f t="shared" si="240"/>
        <v>k yet</v>
      </c>
    </row>
    <row r="1607" spans="1:34">
      <c r="A1607" s="42" t="s">
        <v>255</v>
      </c>
      <c r="B1607" s="1" t="s">
        <v>20</v>
      </c>
      <c r="C1607" s="40" t="str">
        <f t="shared" si="237"/>
        <v>10-&gt;</v>
      </c>
      <c r="D1607" s="40" t="str">
        <f t="shared" si="238"/>
        <v xml:space="preserve">No pick yet                                                 </v>
      </c>
      <c r="E1607" s="52">
        <f t="shared" si="239"/>
        <v>0</v>
      </c>
      <c r="F1607" s="22"/>
      <c r="M1607" s="18"/>
      <c r="N1607" s="18"/>
      <c r="O1607" s="18"/>
      <c r="P1607" s="18"/>
      <c r="Q1607" s="22"/>
      <c r="R1607" s="21"/>
      <c r="S1607" s="21"/>
      <c r="T1607" s="21"/>
      <c r="AA1607"/>
      <c r="AH1607" t="str">
        <f t="shared" si="240"/>
        <v>k yet</v>
      </c>
    </row>
    <row r="1608" spans="1:34">
      <c r="A1608" s="42" t="s">
        <v>256</v>
      </c>
      <c r="B1608" s="1" t="s">
        <v>20</v>
      </c>
      <c r="C1608" s="40" t="str">
        <f t="shared" si="237"/>
        <v>11-&gt;</v>
      </c>
      <c r="D1608" s="40" t="str">
        <f t="shared" si="238"/>
        <v xml:space="preserve">No pick yet                                                 </v>
      </c>
      <c r="E1608" s="52">
        <f t="shared" si="239"/>
        <v>0</v>
      </c>
      <c r="M1608" s="18"/>
      <c r="N1608" s="18"/>
      <c r="O1608" s="18"/>
      <c r="P1608" s="18"/>
      <c r="Q1608" s="22"/>
      <c r="R1608" s="21"/>
      <c r="S1608" s="21"/>
      <c r="T1608" s="21"/>
      <c r="AA1608"/>
      <c r="AH1608" t="str">
        <f t="shared" si="240"/>
        <v>k yet</v>
      </c>
    </row>
    <row r="1609" spans="1:34">
      <c r="A1609" s="42" t="s">
        <v>257</v>
      </c>
      <c r="B1609" s="1" t="s">
        <v>20</v>
      </c>
      <c r="C1609" s="40" t="str">
        <f t="shared" si="237"/>
        <v>12-&gt;</v>
      </c>
      <c r="D1609" s="40" t="str">
        <f t="shared" si="238"/>
        <v xml:space="preserve">No pick yet                                                 </v>
      </c>
      <c r="E1609" s="52">
        <f t="shared" si="239"/>
        <v>0</v>
      </c>
      <c r="M1609" s="18"/>
      <c r="N1609" s="18"/>
      <c r="O1609" s="18"/>
      <c r="P1609" s="18"/>
      <c r="Q1609" s="22"/>
      <c r="R1609" s="21"/>
      <c r="S1609" s="21"/>
      <c r="T1609" s="21"/>
      <c r="AA1609"/>
      <c r="AH1609" t="str">
        <f t="shared" si="240"/>
        <v>k yet</v>
      </c>
    </row>
    <row r="1610" spans="1:34">
      <c r="A1610" s="42" t="s">
        <v>258</v>
      </c>
      <c r="B1610" s="1" t="s">
        <v>20</v>
      </c>
      <c r="C1610" s="40" t="str">
        <f t="shared" si="237"/>
        <v>13-&gt;</v>
      </c>
      <c r="D1610" s="40" t="str">
        <f t="shared" si="238"/>
        <v xml:space="preserve">No pick yet                                                 </v>
      </c>
      <c r="E1610" s="52">
        <f t="shared" si="239"/>
        <v>0</v>
      </c>
      <c r="M1610" s="18"/>
      <c r="N1610" s="18"/>
      <c r="O1610" s="18"/>
      <c r="P1610" s="18"/>
      <c r="Q1610" s="22"/>
      <c r="R1610" s="21"/>
      <c r="S1610" s="21"/>
      <c r="T1610" s="21"/>
      <c r="AA1610"/>
      <c r="AH1610" t="str">
        <f t="shared" si="240"/>
        <v>k yet</v>
      </c>
    </row>
    <row r="1611" spans="1:34">
      <c r="A1611" s="42" t="s">
        <v>259</v>
      </c>
      <c r="B1611" s="1" t="s">
        <v>20</v>
      </c>
      <c r="C1611" s="40" t="str">
        <f t="shared" si="237"/>
        <v>14-&gt;</v>
      </c>
      <c r="D1611" s="40" t="str">
        <f t="shared" si="238"/>
        <v xml:space="preserve">No pick yet                                                 </v>
      </c>
      <c r="E1611" s="52">
        <f t="shared" si="239"/>
        <v>0</v>
      </c>
      <c r="M1611" s="18"/>
      <c r="N1611" s="18"/>
      <c r="O1611" s="18"/>
      <c r="P1611" s="18"/>
      <c r="Q1611" s="22"/>
      <c r="R1611" s="21"/>
      <c r="S1611" s="21"/>
      <c r="T1611" s="21"/>
      <c r="AA1611"/>
      <c r="AH1611" t="str">
        <f t="shared" si="240"/>
        <v>k yet</v>
      </c>
    </row>
    <row r="1612" spans="1:34">
      <c r="A1612" s="42" t="s">
        <v>260</v>
      </c>
      <c r="B1612" s="1" t="s">
        <v>20</v>
      </c>
      <c r="C1612" s="40" t="str">
        <f t="shared" si="237"/>
        <v>15-&gt;</v>
      </c>
      <c r="D1612" s="40" t="str">
        <f t="shared" si="238"/>
        <v xml:space="preserve">No pick yet                                                 </v>
      </c>
      <c r="E1612" s="52">
        <f t="shared" si="239"/>
        <v>0</v>
      </c>
      <c r="M1612" s="18"/>
      <c r="N1612" s="18"/>
      <c r="O1612" s="18"/>
      <c r="P1612" s="18"/>
      <c r="Q1612" s="22"/>
      <c r="R1612" s="21"/>
      <c r="S1612" s="21"/>
      <c r="T1612" s="21"/>
      <c r="AA1612"/>
      <c r="AH1612" t="str">
        <f t="shared" si="240"/>
        <v>k yet</v>
      </c>
    </row>
    <row r="1613" spans="1:34">
      <c r="A1613" s="42" t="s">
        <v>261</v>
      </c>
      <c r="B1613" s="1" t="s">
        <v>20</v>
      </c>
      <c r="C1613" s="40" t="str">
        <f t="shared" si="237"/>
        <v>16-&gt;</v>
      </c>
      <c r="D1613" s="40" t="str">
        <f t="shared" si="238"/>
        <v xml:space="preserve">No pick yet                                                 </v>
      </c>
      <c r="E1613" s="52">
        <f t="shared" si="239"/>
        <v>0</v>
      </c>
      <c r="M1613" s="18"/>
      <c r="N1613" s="18"/>
      <c r="O1613" s="18"/>
      <c r="P1613" s="18"/>
      <c r="Q1613" s="22"/>
      <c r="R1613" s="21"/>
      <c r="S1613" s="21"/>
      <c r="T1613" s="21"/>
      <c r="AA1613"/>
      <c r="AH1613" t="str">
        <f t="shared" si="240"/>
        <v>k yet</v>
      </c>
    </row>
    <row r="1614" spans="1:34">
      <c r="A1614" s="42" t="s">
        <v>262</v>
      </c>
      <c r="B1614" s="1" t="s">
        <v>20</v>
      </c>
      <c r="C1614" s="40" t="str">
        <f t="shared" si="237"/>
        <v>17-&gt;</v>
      </c>
      <c r="D1614" s="40" t="str">
        <f t="shared" si="238"/>
        <v xml:space="preserve">No pick yet                                                 </v>
      </c>
      <c r="E1614" s="52">
        <f t="shared" si="239"/>
        <v>0</v>
      </c>
      <c r="K1614" s="22"/>
      <c r="N1614" s="22"/>
      <c r="O1614" s="22"/>
      <c r="P1614" s="22"/>
      <c r="Q1614" s="22"/>
      <c r="R1614" s="22"/>
      <c r="S1614" s="22"/>
      <c r="Z1614" s="53"/>
      <c r="AA1614"/>
      <c r="AH1614" t="str">
        <f t="shared" si="240"/>
        <v>k yet</v>
      </c>
    </row>
    <row r="1615" spans="1:34">
      <c r="A1615" s="42" t="s">
        <v>263</v>
      </c>
      <c r="B1615" s="1" t="s">
        <v>20</v>
      </c>
      <c r="C1615" s="40" t="str">
        <f t="shared" si="237"/>
        <v>18-&gt;</v>
      </c>
      <c r="D1615" s="40" t="str">
        <f t="shared" si="238"/>
        <v xml:space="preserve">No pick yet                                                 </v>
      </c>
      <c r="E1615" s="52">
        <f t="shared" si="239"/>
        <v>0</v>
      </c>
      <c r="F1615" s="18"/>
      <c r="L1615" s="21"/>
      <c r="N1615" s="22"/>
      <c r="O1615" s="22"/>
      <c r="P1615" s="18"/>
      <c r="Q1615" s="22"/>
      <c r="R1615" s="22"/>
      <c r="S1615" s="22"/>
      <c r="Z1615" s="53"/>
      <c r="AA1615"/>
      <c r="AH1615" t="str">
        <f t="shared" si="240"/>
        <v>k yet</v>
      </c>
    </row>
    <row r="1616" spans="1:34">
      <c r="A1616" s="42" t="s">
        <v>264</v>
      </c>
      <c r="B1616" s="1" t="s">
        <v>20</v>
      </c>
      <c r="C1616" s="40" t="str">
        <f t="shared" si="237"/>
        <v>19-&gt;</v>
      </c>
      <c r="D1616" s="40" t="str">
        <f t="shared" si="238"/>
        <v xml:space="preserve">No pick yet                                                 </v>
      </c>
      <c r="E1616" s="52">
        <f t="shared" si="239"/>
        <v>0</v>
      </c>
      <c r="F1616" s="18"/>
      <c r="M1616" s="18"/>
      <c r="N1616" s="18"/>
      <c r="O1616" s="18"/>
      <c r="P1616" s="18"/>
      <c r="Q1616" s="22"/>
      <c r="R1616" s="21"/>
      <c r="S1616" s="21"/>
      <c r="T1616" s="21"/>
      <c r="AA1616"/>
      <c r="AH1616" t="str">
        <f t="shared" si="240"/>
        <v>k yet</v>
      </c>
    </row>
    <row r="1617" spans="1:39">
      <c r="A1617" s="42" t="s">
        <v>265</v>
      </c>
      <c r="B1617" s="1" t="s">
        <v>20</v>
      </c>
      <c r="C1617" s="40" t="str">
        <f t="shared" si="237"/>
        <v>20-&gt;</v>
      </c>
      <c r="D1617" s="40" t="str">
        <f t="shared" si="238"/>
        <v xml:space="preserve">No pick yet                                                 </v>
      </c>
      <c r="E1617" s="52">
        <f t="shared" si="239"/>
        <v>0</v>
      </c>
      <c r="F1617" s="18"/>
      <c r="M1617" s="18"/>
      <c r="N1617" s="18"/>
      <c r="O1617" s="18"/>
      <c r="P1617" s="18"/>
      <c r="Q1617" s="22"/>
      <c r="R1617" s="21"/>
      <c r="S1617" s="21"/>
      <c r="T1617" s="21"/>
      <c r="AA1617"/>
      <c r="AH1617" t="str">
        <f t="shared" si="240"/>
        <v>k yet</v>
      </c>
    </row>
    <row r="1618" spans="1:39">
      <c r="A1618" s="42" t="s">
        <v>266</v>
      </c>
      <c r="B1618" s="1" t="s">
        <v>20</v>
      </c>
      <c r="C1618" s="40" t="str">
        <f t="shared" si="237"/>
        <v>21-&gt;</v>
      </c>
      <c r="D1618" s="40" t="str">
        <f t="shared" si="238"/>
        <v xml:space="preserve">No pick yet                                                 </v>
      </c>
      <c r="E1618" s="52">
        <f t="shared" si="239"/>
        <v>0</v>
      </c>
      <c r="F1618" s="18"/>
      <c r="M1618" s="18"/>
      <c r="N1618" s="18"/>
      <c r="O1618" s="18"/>
      <c r="P1618" s="18"/>
      <c r="Q1618" s="22"/>
      <c r="R1618" s="21"/>
      <c r="S1618" s="21"/>
      <c r="T1618" s="21"/>
      <c r="AA1618"/>
      <c r="AH1618" t="str">
        <f t="shared" si="240"/>
        <v>k yet</v>
      </c>
    </row>
    <row r="1619" spans="1:39">
      <c r="A1619" s="42" t="s">
        <v>267</v>
      </c>
      <c r="B1619" s="1" t="s">
        <v>20</v>
      </c>
      <c r="C1619" s="40" t="str">
        <f t="shared" si="237"/>
        <v>22-&gt;</v>
      </c>
      <c r="D1619" s="40" t="str">
        <f t="shared" si="238"/>
        <v xml:space="preserve">No pick yet                                                 </v>
      </c>
      <c r="E1619" s="52">
        <f t="shared" si="239"/>
        <v>0</v>
      </c>
      <c r="F1619" s="18"/>
      <c r="M1619" s="18"/>
      <c r="N1619" s="18"/>
      <c r="O1619" s="18"/>
      <c r="P1619" s="18"/>
      <c r="Q1619" s="22"/>
      <c r="R1619" s="21"/>
      <c r="S1619" s="21"/>
      <c r="T1619" s="21"/>
      <c r="AA1619"/>
      <c r="AH1619" t="str">
        <f t="shared" si="240"/>
        <v>k yet</v>
      </c>
    </row>
    <row r="1620" spans="1:39">
      <c r="A1620" s="42" t="s">
        <v>268</v>
      </c>
      <c r="B1620" s="1" t="s">
        <v>20</v>
      </c>
      <c r="C1620" s="40" t="str">
        <f t="shared" si="237"/>
        <v>23-&gt;</v>
      </c>
      <c r="D1620" s="40" t="str">
        <f t="shared" si="238"/>
        <v xml:space="preserve">No pick yet                                                 </v>
      </c>
      <c r="E1620" s="52">
        <f t="shared" si="239"/>
        <v>0</v>
      </c>
      <c r="F1620" s="18"/>
      <c r="M1620" s="18"/>
      <c r="N1620" s="18"/>
      <c r="O1620" s="18"/>
      <c r="P1620" s="18"/>
      <c r="Q1620" s="22"/>
      <c r="R1620" s="21"/>
      <c r="S1620" s="21"/>
      <c r="T1620" s="21"/>
      <c r="AA1620"/>
      <c r="AH1620" t="str">
        <f t="shared" si="240"/>
        <v>k yet</v>
      </c>
    </row>
    <row r="1621" spans="1:39">
      <c r="A1621" s="42" t="s">
        <v>269</v>
      </c>
      <c r="B1621" s="1" t="s">
        <v>20</v>
      </c>
      <c r="C1621" s="40" t="str">
        <f t="shared" si="237"/>
        <v>24-&gt;</v>
      </c>
      <c r="D1621" s="40" t="str">
        <f t="shared" si="238"/>
        <v xml:space="preserve">No pick yet                                                 </v>
      </c>
      <c r="E1621" s="52">
        <f t="shared" si="239"/>
        <v>0</v>
      </c>
      <c r="F1621" s="18"/>
      <c r="M1621" s="18"/>
      <c r="N1621" s="18"/>
      <c r="O1621" s="18"/>
      <c r="P1621" s="18"/>
      <c r="Q1621" s="22"/>
      <c r="R1621" s="21"/>
      <c r="S1621" s="21"/>
      <c r="T1621" s="21"/>
      <c r="AA1621"/>
      <c r="AH1621" t="str">
        <f t="shared" si="240"/>
        <v>k yet</v>
      </c>
    </row>
    <row r="1622" spans="1:39">
      <c r="A1622" s="42" t="s">
        <v>270</v>
      </c>
      <c r="B1622" s="1" t="s">
        <v>20</v>
      </c>
      <c r="C1622" s="40" t="str">
        <f t="shared" si="237"/>
        <v>25-&gt;</v>
      </c>
      <c r="D1622" s="40" t="str">
        <f t="shared" si="238"/>
        <v xml:space="preserve">No pick yet                                                 </v>
      </c>
      <c r="E1622" s="52">
        <f t="shared" si="239"/>
        <v>0</v>
      </c>
      <c r="F1622" s="18"/>
      <c r="M1622" s="18"/>
      <c r="N1622" s="18"/>
      <c r="O1622" s="18"/>
      <c r="P1622" s="18"/>
      <c r="Q1622" s="22"/>
      <c r="R1622" s="21"/>
      <c r="S1622" s="21"/>
      <c r="T1622" s="21"/>
      <c r="AA1622"/>
      <c r="AH1622" t="str">
        <f t="shared" si="240"/>
        <v>k yet</v>
      </c>
    </row>
    <row r="1623" spans="1:39">
      <c r="A1623" s="42" t="s">
        <v>271</v>
      </c>
      <c r="B1623" s="1" t="s">
        <v>20</v>
      </c>
      <c r="C1623" s="40" t="str">
        <f t="shared" si="237"/>
        <v>26-&gt;</v>
      </c>
      <c r="D1623" s="40" t="str">
        <f t="shared" si="238"/>
        <v xml:space="preserve">No pick yet                                                 </v>
      </c>
      <c r="E1623" s="52">
        <f t="shared" si="239"/>
        <v>0</v>
      </c>
      <c r="F1623" s="18"/>
      <c r="M1623" s="18"/>
      <c r="N1623" s="18"/>
      <c r="O1623" s="18"/>
      <c r="P1623" s="18"/>
      <c r="Q1623" s="22"/>
      <c r="R1623" s="21"/>
      <c r="S1623" s="21"/>
      <c r="T1623" s="21"/>
      <c r="AA1623"/>
      <c r="AH1623" t="str">
        <f t="shared" si="240"/>
        <v>k yet</v>
      </c>
    </row>
    <row r="1624" spans="1:39">
      <c r="A1624" s="38"/>
      <c r="B1624" s="40"/>
      <c r="C1624" s="40"/>
      <c r="D1624" s="49"/>
      <c r="E1624" s="41" t="s">
        <v>69</v>
      </c>
      <c r="F1624" s="18"/>
      <c r="K1624" s="22" t="s">
        <v>73</v>
      </c>
      <c r="L1624" s="18" t="s">
        <v>74</v>
      </c>
      <c r="M1624" s="22" t="s">
        <v>78</v>
      </c>
      <c r="N1624" s="22" t="s">
        <v>79</v>
      </c>
      <c r="O1624" s="22" t="s">
        <v>80</v>
      </c>
      <c r="P1624" s="22" t="s">
        <v>81</v>
      </c>
      <c r="Q1624" s="22" t="s">
        <v>82</v>
      </c>
      <c r="R1624" s="22" t="s">
        <v>83</v>
      </c>
      <c r="S1624" s="22" t="s">
        <v>84</v>
      </c>
      <c r="T1624" s="18" t="s">
        <v>85</v>
      </c>
      <c r="U1624" s="18" t="s">
        <v>86</v>
      </c>
      <c r="V1624" s="18" t="s">
        <v>87</v>
      </c>
      <c r="W1624" s="18" t="s">
        <v>88</v>
      </c>
      <c r="X1624" s="18" t="s">
        <v>89</v>
      </c>
      <c r="Y1624" s="18" t="s">
        <v>90</v>
      </c>
      <c r="Z1624" s="18" t="s">
        <v>91</v>
      </c>
      <c r="AA1624" s="18" t="s">
        <v>92</v>
      </c>
      <c r="AB1624" s="18" t="s">
        <v>93</v>
      </c>
      <c r="AC1624" s="18" t="s">
        <v>94</v>
      </c>
      <c r="AD1624" s="18" t="s">
        <v>235</v>
      </c>
      <c r="AE1624" s="18" t="s">
        <v>236</v>
      </c>
      <c r="AF1624" s="18" t="s">
        <v>237</v>
      </c>
      <c r="AG1624" s="18" t="s">
        <v>238</v>
      </c>
      <c r="AH1624" s="18" t="s">
        <v>239</v>
      </c>
      <c r="AI1624" s="18" t="s">
        <v>240</v>
      </c>
      <c r="AJ1624" s="18" t="s">
        <v>241</v>
      </c>
      <c r="AK1624" s="18" t="s">
        <v>242</v>
      </c>
      <c r="AL1624" s="18" t="s">
        <v>243</v>
      </c>
      <c r="AM1624" s="50" t="s">
        <v>244</v>
      </c>
    </row>
    <row r="1625" spans="1:39">
      <c r="A1625" s="40" t="s">
        <v>245</v>
      </c>
      <c r="B1625" s="51" t="str">
        <f>D57</f>
        <v/>
      </c>
      <c r="C1625" s="40" t="str">
        <f t="shared" ref="C1625:C1651" si="241">A1625</f>
        <v>#</v>
      </c>
      <c r="D1625" s="40" t="str">
        <f>"   "&amp;B1625&amp;REPT(" ",$AH$70-LEN(B1625)-3)</f>
        <v xml:space="preserve">                                                            </v>
      </c>
      <c r="E1625" s="38" t="str">
        <f>SUM(E1626:E1651)&amp;" pts[/b]"</f>
        <v>0 pts[/b]</v>
      </c>
      <c r="F1625" s="21">
        <f>SUM(E1626:E1651)</f>
        <v>0</v>
      </c>
      <c r="K1625" s="18">
        <f>COUNTIF(E1626:E1651,"&gt;0")</f>
        <v>0</v>
      </c>
      <c r="L1625" s="21">
        <f>AM1625-K1625</f>
        <v>0</v>
      </c>
      <c r="M1625" s="22">
        <f>MAX(E1626:E1651)</f>
        <v>0</v>
      </c>
      <c r="N1625" s="22">
        <f>LARGE(E1626:E1651,2)</f>
        <v>0</v>
      </c>
      <c r="O1625" s="22">
        <f>LARGE(E1626:E1651,3)</f>
        <v>0</v>
      </c>
      <c r="P1625" s="18">
        <f>LARGE(E1626:E1651,4)</f>
        <v>0</v>
      </c>
      <c r="Q1625" s="22">
        <f>LARGE(E1626:E1651,5)</f>
        <v>0</v>
      </c>
      <c r="R1625" s="22">
        <f>LARGE(E1626:E1651,6)</f>
        <v>0</v>
      </c>
      <c r="S1625" s="22">
        <f>LARGE(E1626:E1651,7)</f>
        <v>0</v>
      </c>
      <c r="T1625" s="18">
        <f>LARGE(E1626:E1651,8)</f>
        <v>0</v>
      </c>
      <c r="U1625" s="18">
        <f>LARGE(E1626:E1651,9)</f>
        <v>0</v>
      </c>
      <c r="V1625" s="18">
        <f>LARGE(E1626:E1651,10)</f>
        <v>0</v>
      </c>
      <c r="W1625" s="18">
        <f>LARGE(E1626:E1651,11)</f>
        <v>0</v>
      </c>
      <c r="X1625" s="18">
        <f>LARGE(E1626:E1651,12)</f>
        <v>0</v>
      </c>
      <c r="Y1625" s="18">
        <f>LARGE(E1626:E1651,13)</f>
        <v>0</v>
      </c>
      <c r="Z1625" s="18">
        <f>LARGE(E1626:E1651,14)</f>
        <v>0</v>
      </c>
      <c r="AA1625" s="18">
        <f>LARGE(E1626:E1651,15)</f>
        <v>0</v>
      </c>
      <c r="AB1625" s="18">
        <f>LARGE(E1626:E1651,16)</f>
        <v>0</v>
      </c>
      <c r="AC1625" s="18">
        <f>LARGE(E1626:E1651,17)</f>
        <v>0</v>
      </c>
      <c r="AD1625" s="18">
        <f>LARGE(E1626:E1652,13)</f>
        <v>0</v>
      </c>
      <c r="AE1625" s="18">
        <f>LARGE(E1626:E1651,19)</f>
        <v>0</v>
      </c>
      <c r="AF1625" s="18">
        <f>LARGE(E1626:E1651,20)</f>
        <v>0</v>
      </c>
      <c r="AG1625" s="18">
        <f>LARGE(E1626:E1651,21)</f>
        <v>0</v>
      </c>
      <c r="AH1625" s="18">
        <f>LARGE(E1626:E1651,22)</f>
        <v>0</v>
      </c>
      <c r="AI1625" s="18">
        <f>LARGE(E1626:E1651,23)</f>
        <v>0</v>
      </c>
      <c r="AJ1625" s="18">
        <f>LARGE(E1626:E1651,24)</f>
        <v>0</v>
      </c>
      <c r="AK1625" s="18">
        <f>LARGE(E1626:E1651,25)</f>
        <v>0</v>
      </c>
      <c r="AL1625" s="18">
        <f>LARGE(E1626:E1651,26)</f>
        <v>0</v>
      </c>
      <c r="AM1625" s="50">
        <f>COUNTIF(AH1626:AH1651,"&lt;&gt;"&amp;$AH$76)-(26-COUNTIF(E1626:E1651,"&gt;=0"))</f>
        <v>0</v>
      </c>
    </row>
    <row r="1626" spans="1:39">
      <c r="A1626" s="42" t="s">
        <v>246</v>
      </c>
      <c r="B1626" s="1" t="s">
        <v>20</v>
      </c>
      <c r="C1626" s="40" t="str">
        <f t="shared" si="241"/>
        <v>01-&gt;</v>
      </c>
      <c r="D1626" s="40" t="str">
        <f t="shared" ref="D1626:D1651" si="242">B1626&amp;REPT(" ",$AH$70-LEN(B1626))</f>
        <v xml:space="preserve">No pick yet                                                 </v>
      </c>
      <c r="E1626" s="52">
        <f t="shared" ref="E1626:E1651" si="243">VLOOKUP(RIGHT(B1626,LEN(B1626)-$AH$66),$H$138:$I$420,2,0)</f>
        <v>0</v>
      </c>
      <c r="F1626" s="18"/>
      <c r="M1626" s="18"/>
      <c r="N1626" s="18"/>
      <c r="O1626" s="18"/>
      <c r="P1626" s="18"/>
      <c r="Q1626" s="22"/>
      <c r="R1626" s="21"/>
      <c r="S1626" s="21"/>
      <c r="T1626" s="21"/>
      <c r="AA1626"/>
      <c r="AH1626" t="str">
        <f t="shared" ref="AH1626:AH1651" si="244">RIGHT(B1626,LEN(B1626)-$AH$66)</f>
        <v>k yet</v>
      </c>
    </row>
    <row r="1627" spans="1:39">
      <c r="A1627" s="42" t="s">
        <v>247</v>
      </c>
      <c r="B1627" s="1" t="s">
        <v>20</v>
      </c>
      <c r="C1627" s="40" t="str">
        <f t="shared" si="241"/>
        <v>02-&gt;</v>
      </c>
      <c r="D1627" s="40" t="str">
        <f t="shared" si="242"/>
        <v xml:space="preserve">No pick yet                                                 </v>
      </c>
      <c r="E1627" s="52">
        <f t="shared" si="243"/>
        <v>0</v>
      </c>
      <c r="F1627" s="18"/>
      <c r="K1627" s="22"/>
      <c r="N1627" s="22"/>
      <c r="O1627" s="22"/>
      <c r="P1627" s="22"/>
      <c r="Q1627" s="22"/>
      <c r="R1627" s="22"/>
      <c r="S1627" s="22"/>
      <c r="Z1627" s="53"/>
      <c r="AA1627"/>
      <c r="AH1627" t="str">
        <f t="shared" si="244"/>
        <v>k yet</v>
      </c>
    </row>
    <row r="1628" spans="1:39">
      <c r="A1628" s="42" t="s">
        <v>248</v>
      </c>
      <c r="B1628" s="1" t="s">
        <v>20</v>
      </c>
      <c r="C1628" s="40" t="str">
        <f t="shared" si="241"/>
        <v>03-&gt;</v>
      </c>
      <c r="D1628" s="40" t="str">
        <f t="shared" si="242"/>
        <v xml:space="preserve">No pick yet                                                 </v>
      </c>
      <c r="E1628" s="52">
        <f t="shared" si="243"/>
        <v>0</v>
      </c>
      <c r="F1628" s="18"/>
      <c r="L1628" s="21"/>
      <c r="N1628" s="22"/>
      <c r="O1628" s="22"/>
      <c r="P1628" s="18"/>
      <c r="Q1628" s="22"/>
      <c r="R1628" s="22"/>
      <c r="S1628" s="22"/>
      <c r="Z1628" s="53"/>
      <c r="AA1628"/>
      <c r="AH1628" t="str">
        <f t="shared" si="244"/>
        <v>k yet</v>
      </c>
    </row>
    <row r="1629" spans="1:39">
      <c r="A1629" s="42" t="s">
        <v>249</v>
      </c>
      <c r="B1629" s="1" t="s">
        <v>20</v>
      </c>
      <c r="C1629" s="40" t="str">
        <f t="shared" si="241"/>
        <v>04-&gt;</v>
      </c>
      <c r="D1629" s="40" t="str">
        <f t="shared" si="242"/>
        <v xml:space="preserve">No pick yet                                                 </v>
      </c>
      <c r="E1629" s="52">
        <f t="shared" si="243"/>
        <v>0</v>
      </c>
      <c r="F1629" s="18"/>
      <c r="M1629" s="18"/>
      <c r="N1629" s="18"/>
      <c r="O1629" s="18"/>
      <c r="P1629" s="18"/>
      <c r="Q1629" s="22"/>
      <c r="R1629" s="21"/>
      <c r="S1629" s="21"/>
      <c r="T1629" s="21"/>
      <c r="AA1629"/>
      <c r="AH1629" t="str">
        <f t="shared" si="244"/>
        <v>k yet</v>
      </c>
    </row>
    <row r="1630" spans="1:39">
      <c r="A1630" s="42" t="s">
        <v>250</v>
      </c>
      <c r="B1630" s="1" t="s">
        <v>20</v>
      </c>
      <c r="C1630" s="40" t="str">
        <f t="shared" si="241"/>
        <v>05-&gt;</v>
      </c>
      <c r="D1630" s="40" t="str">
        <f t="shared" si="242"/>
        <v xml:space="preserve">No pick yet                                                 </v>
      </c>
      <c r="E1630" s="52">
        <f t="shared" si="243"/>
        <v>0</v>
      </c>
      <c r="F1630" s="18"/>
      <c r="M1630" s="18"/>
      <c r="N1630" s="18"/>
      <c r="O1630" s="18"/>
      <c r="P1630" s="18"/>
      <c r="Q1630" s="22"/>
      <c r="R1630" s="21"/>
      <c r="S1630" s="21"/>
      <c r="T1630" s="21"/>
      <c r="AA1630"/>
      <c r="AH1630" t="str">
        <f t="shared" si="244"/>
        <v>k yet</v>
      </c>
    </row>
    <row r="1631" spans="1:39">
      <c r="A1631" s="42" t="s">
        <v>251</v>
      </c>
      <c r="B1631" s="1" t="s">
        <v>20</v>
      </c>
      <c r="C1631" s="40" t="str">
        <f t="shared" si="241"/>
        <v>06-&gt;</v>
      </c>
      <c r="D1631" s="40" t="str">
        <f t="shared" si="242"/>
        <v xml:space="preserve">No pick yet                                                 </v>
      </c>
      <c r="E1631" s="52">
        <f t="shared" si="243"/>
        <v>0</v>
      </c>
      <c r="F1631" s="18"/>
      <c r="M1631" s="18"/>
      <c r="N1631" s="18"/>
      <c r="O1631" s="18"/>
      <c r="P1631" s="18"/>
      <c r="Q1631" s="22"/>
      <c r="R1631" s="21"/>
      <c r="S1631" s="21"/>
      <c r="T1631" s="21"/>
      <c r="AA1631"/>
      <c r="AH1631" t="str">
        <f t="shared" si="244"/>
        <v>k yet</v>
      </c>
    </row>
    <row r="1632" spans="1:39">
      <c r="A1632" s="42" t="s">
        <v>252</v>
      </c>
      <c r="B1632" s="1" t="s">
        <v>20</v>
      </c>
      <c r="C1632" s="40" t="str">
        <f t="shared" si="241"/>
        <v>07-&gt;</v>
      </c>
      <c r="D1632" s="40" t="str">
        <f t="shared" si="242"/>
        <v xml:space="preserve">No pick yet                                                 </v>
      </c>
      <c r="E1632" s="52">
        <f t="shared" si="243"/>
        <v>0</v>
      </c>
      <c r="F1632" s="18"/>
      <c r="M1632" s="18"/>
      <c r="N1632" s="18"/>
      <c r="O1632" s="18"/>
      <c r="P1632" s="18"/>
      <c r="Q1632" s="22"/>
      <c r="R1632" s="21"/>
      <c r="S1632" s="21"/>
      <c r="T1632" s="21"/>
      <c r="AA1632"/>
      <c r="AH1632" t="str">
        <f t="shared" si="244"/>
        <v>k yet</v>
      </c>
    </row>
    <row r="1633" spans="1:34">
      <c r="A1633" s="42" t="s">
        <v>253</v>
      </c>
      <c r="B1633" s="1" t="s">
        <v>20</v>
      </c>
      <c r="C1633" s="40" t="str">
        <f t="shared" si="241"/>
        <v>08-&gt;</v>
      </c>
      <c r="D1633" s="40" t="str">
        <f t="shared" si="242"/>
        <v xml:space="preserve">No pick yet                                                 </v>
      </c>
      <c r="E1633" s="52">
        <f t="shared" si="243"/>
        <v>0</v>
      </c>
      <c r="F1633" s="18"/>
      <c r="M1633" s="18"/>
      <c r="N1633" s="18"/>
      <c r="O1633" s="18"/>
      <c r="P1633" s="18"/>
      <c r="Q1633" s="22"/>
      <c r="R1633" s="21"/>
      <c r="S1633" s="21"/>
      <c r="T1633" s="21"/>
      <c r="AA1633"/>
      <c r="AH1633" t="str">
        <f t="shared" si="244"/>
        <v>k yet</v>
      </c>
    </row>
    <row r="1634" spans="1:34">
      <c r="A1634" s="42" t="s">
        <v>254</v>
      </c>
      <c r="B1634" s="1" t="s">
        <v>20</v>
      </c>
      <c r="C1634" s="40" t="str">
        <f t="shared" si="241"/>
        <v>09-&gt;</v>
      </c>
      <c r="D1634" s="40" t="str">
        <f t="shared" si="242"/>
        <v xml:space="preserve">No pick yet                                                 </v>
      </c>
      <c r="E1634" s="52">
        <f t="shared" si="243"/>
        <v>0</v>
      </c>
      <c r="F1634" s="18"/>
      <c r="M1634" s="18"/>
      <c r="N1634" s="18"/>
      <c r="O1634" s="18"/>
      <c r="P1634" s="18"/>
      <c r="Q1634" s="22"/>
      <c r="R1634" s="21"/>
      <c r="S1634" s="21"/>
      <c r="T1634" s="21"/>
      <c r="AA1634"/>
      <c r="AH1634" t="str">
        <f t="shared" si="244"/>
        <v>k yet</v>
      </c>
    </row>
    <row r="1635" spans="1:34">
      <c r="A1635" s="42" t="s">
        <v>255</v>
      </c>
      <c r="B1635" s="1" t="s">
        <v>20</v>
      </c>
      <c r="C1635" s="40" t="str">
        <f t="shared" si="241"/>
        <v>10-&gt;</v>
      </c>
      <c r="D1635" s="40" t="str">
        <f t="shared" si="242"/>
        <v xml:space="preserve">No pick yet                                                 </v>
      </c>
      <c r="E1635" s="52">
        <f t="shared" si="243"/>
        <v>0</v>
      </c>
      <c r="F1635" s="22"/>
      <c r="M1635" s="18"/>
      <c r="N1635" s="18"/>
      <c r="O1635" s="18"/>
      <c r="P1635" s="18"/>
      <c r="Q1635" s="22"/>
      <c r="R1635" s="21"/>
      <c r="S1635" s="21"/>
      <c r="T1635" s="21"/>
      <c r="AA1635"/>
      <c r="AH1635" t="str">
        <f t="shared" si="244"/>
        <v>k yet</v>
      </c>
    </row>
    <row r="1636" spans="1:34">
      <c r="A1636" s="42" t="s">
        <v>256</v>
      </c>
      <c r="B1636" s="1" t="s">
        <v>20</v>
      </c>
      <c r="C1636" s="40" t="str">
        <f t="shared" si="241"/>
        <v>11-&gt;</v>
      </c>
      <c r="D1636" s="40" t="str">
        <f t="shared" si="242"/>
        <v xml:space="preserve">No pick yet                                                 </v>
      </c>
      <c r="E1636" s="52">
        <f t="shared" si="243"/>
        <v>0</v>
      </c>
      <c r="M1636" s="18"/>
      <c r="N1636" s="18"/>
      <c r="O1636" s="18"/>
      <c r="P1636" s="18"/>
      <c r="Q1636" s="22"/>
      <c r="R1636" s="21"/>
      <c r="S1636" s="21"/>
      <c r="T1636" s="21"/>
      <c r="AA1636"/>
      <c r="AH1636" t="str">
        <f t="shared" si="244"/>
        <v>k yet</v>
      </c>
    </row>
    <row r="1637" spans="1:34">
      <c r="A1637" s="42" t="s">
        <v>257</v>
      </c>
      <c r="B1637" s="1" t="s">
        <v>20</v>
      </c>
      <c r="C1637" s="40" t="str">
        <f t="shared" si="241"/>
        <v>12-&gt;</v>
      </c>
      <c r="D1637" s="40" t="str">
        <f t="shared" si="242"/>
        <v xml:space="preserve">No pick yet                                                 </v>
      </c>
      <c r="E1637" s="52">
        <f t="shared" si="243"/>
        <v>0</v>
      </c>
      <c r="M1637" s="18"/>
      <c r="N1637" s="18"/>
      <c r="O1637" s="18"/>
      <c r="P1637" s="18"/>
      <c r="Q1637" s="22"/>
      <c r="R1637" s="21"/>
      <c r="S1637" s="21"/>
      <c r="T1637" s="21"/>
      <c r="AA1637"/>
      <c r="AH1637" t="str">
        <f t="shared" si="244"/>
        <v>k yet</v>
      </c>
    </row>
    <row r="1638" spans="1:34">
      <c r="A1638" s="42" t="s">
        <v>258</v>
      </c>
      <c r="B1638" s="1" t="s">
        <v>20</v>
      </c>
      <c r="C1638" s="40" t="str">
        <f t="shared" si="241"/>
        <v>13-&gt;</v>
      </c>
      <c r="D1638" s="40" t="str">
        <f t="shared" si="242"/>
        <v xml:space="preserve">No pick yet                                                 </v>
      </c>
      <c r="E1638" s="52">
        <f t="shared" si="243"/>
        <v>0</v>
      </c>
      <c r="M1638" s="18"/>
      <c r="N1638" s="18"/>
      <c r="O1638" s="18"/>
      <c r="P1638" s="18"/>
      <c r="Q1638" s="22"/>
      <c r="R1638" s="21"/>
      <c r="S1638" s="21"/>
      <c r="T1638" s="21"/>
      <c r="AA1638"/>
      <c r="AH1638" t="str">
        <f t="shared" si="244"/>
        <v>k yet</v>
      </c>
    </row>
    <row r="1639" spans="1:34">
      <c r="A1639" s="42" t="s">
        <v>259</v>
      </c>
      <c r="B1639" s="1" t="s">
        <v>20</v>
      </c>
      <c r="C1639" s="40" t="str">
        <f t="shared" si="241"/>
        <v>14-&gt;</v>
      </c>
      <c r="D1639" s="40" t="str">
        <f t="shared" si="242"/>
        <v xml:space="preserve">No pick yet                                                 </v>
      </c>
      <c r="E1639" s="52">
        <f t="shared" si="243"/>
        <v>0</v>
      </c>
      <c r="M1639" s="18"/>
      <c r="N1639" s="18"/>
      <c r="O1639" s="18"/>
      <c r="P1639" s="18"/>
      <c r="Q1639" s="22"/>
      <c r="R1639" s="21"/>
      <c r="S1639" s="21"/>
      <c r="T1639" s="21"/>
      <c r="AA1639"/>
      <c r="AH1639" t="str">
        <f t="shared" si="244"/>
        <v>k yet</v>
      </c>
    </row>
    <row r="1640" spans="1:34">
      <c r="A1640" s="42" t="s">
        <v>260</v>
      </c>
      <c r="B1640" s="1" t="s">
        <v>20</v>
      </c>
      <c r="C1640" s="40" t="str">
        <f t="shared" si="241"/>
        <v>15-&gt;</v>
      </c>
      <c r="D1640" s="40" t="str">
        <f t="shared" si="242"/>
        <v xml:space="preserve">No pick yet                                                 </v>
      </c>
      <c r="E1640" s="52">
        <f t="shared" si="243"/>
        <v>0</v>
      </c>
      <c r="M1640" s="18"/>
      <c r="N1640" s="18"/>
      <c r="O1640" s="18"/>
      <c r="P1640" s="18"/>
      <c r="Q1640" s="22"/>
      <c r="R1640" s="21"/>
      <c r="S1640" s="21"/>
      <c r="T1640" s="21"/>
      <c r="AA1640"/>
      <c r="AH1640" t="str">
        <f t="shared" si="244"/>
        <v>k yet</v>
      </c>
    </row>
    <row r="1641" spans="1:34">
      <c r="A1641" s="42" t="s">
        <v>261</v>
      </c>
      <c r="B1641" s="1" t="s">
        <v>20</v>
      </c>
      <c r="C1641" s="40" t="str">
        <f t="shared" si="241"/>
        <v>16-&gt;</v>
      </c>
      <c r="D1641" s="40" t="str">
        <f t="shared" si="242"/>
        <v xml:space="preserve">No pick yet                                                 </v>
      </c>
      <c r="E1641" s="52">
        <f t="shared" si="243"/>
        <v>0</v>
      </c>
      <c r="M1641" s="18"/>
      <c r="N1641" s="18"/>
      <c r="O1641" s="18"/>
      <c r="P1641" s="18"/>
      <c r="Q1641" s="22"/>
      <c r="R1641" s="21"/>
      <c r="S1641" s="21"/>
      <c r="T1641" s="21"/>
      <c r="AA1641"/>
      <c r="AH1641" t="str">
        <f t="shared" si="244"/>
        <v>k yet</v>
      </c>
    </row>
    <row r="1642" spans="1:34">
      <c r="A1642" s="42" t="s">
        <v>262</v>
      </c>
      <c r="B1642" s="1" t="s">
        <v>20</v>
      </c>
      <c r="C1642" s="40" t="str">
        <f t="shared" si="241"/>
        <v>17-&gt;</v>
      </c>
      <c r="D1642" s="40" t="str">
        <f t="shared" si="242"/>
        <v xml:space="preserve">No pick yet                                                 </v>
      </c>
      <c r="E1642" s="52">
        <f t="shared" si="243"/>
        <v>0</v>
      </c>
      <c r="K1642" s="22"/>
      <c r="N1642" s="22"/>
      <c r="O1642" s="22"/>
      <c r="P1642" s="22"/>
      <c r="Q1642" s="22"/>
      <c r="R1642" s="22"/>
      <c r="S1642" s="22"/>
      <c r="Z1642" s="53"/>
      <c r="AA1642"/>
      <c r="AH1642" t="str">
        <f t="shared" si="244"/>
        <v>k yet</v>
      </c>
    </row>
    <row r="1643" spans="1:34">
      <c r="A1643" s="42" t="s">
        <v>263</v>
      </c>
      <c r="B1643" s="1" t="s">
        <v>20</v>
      </c>
      <c r="C1643" s="40" t="str">
        <f t="shared" si="241"/>
        <v>18-&gt;</v>
      </c>
      <c r="D1643" s="40" t="str">
        <f t="shared" si="242"/>
        <v xml:space="preserve">No pick yet                                                 </v>
      </c>
      <c r="E1643" s="52">
        <f t="shared" si="243"/>
        <v>0</v>
      </c>
      <c r="F1643" s="18"/>
      <c r="L1643" s="21"/>
      <c r="N1643" s="22"/>
      <c r="O1643" s="22"/>
      <c r="P1643" s="18"/>
      <c r="Q1643" s="22"/>
      <c r="R1643" s="22"/>
      <c r="S1643" s="22"/>
      <c r="Z1643" s="53"/>
      <c r="AA1643"/>
      <c r="AH1643" t="str">
        <f t="shared" si="244"/>
        <v>k yet</v>
      </c>
    </row>
    <row r="1644" spans="1:34">
      <c r="A1644" s="42" t="s">
        <v>264</v>
      </c>
      <c r="B1644" s="1" t="s">
        <v>20</v>
      </c>
      <c r="C1644" s="40" t="str">
        <f t="shared" si="241"/>
        <v>19-&gt;</v>
      </c>
      <c r="D1644" s="40" t="str">
        <f t="shared" si="242"/>
        <v xml:space="preserve">No pick yet                                                 </v>
      </c>
      <c r="E1644" s="52">
        <f t="shared" si="243"/>
        <v>0</v>
      </c>
      <c r="F1644" s="18"/>
      <c r="M1644" s="18"/>
      <c r="N1644" s="18"/>
      <c r="O1644" s="18"/>
      <c r="P1644" s="18"/>
      <c r="Q1644" s="22"/>
      <c r="R1644" s="21"/>
      <c r="S1644" s="21"/>
      <c r="T1644" s="21"/>
      <c r="AA1644"/>
      <c r="AH1644" t="str">
        <f t="shared" si="244"/>
        <v>k yet</v>
      </c>
    </row>
    <row r="1645" spans="1:34">
      <c r="A1645" s="42" t="s">
        <v>265</v>
      </c>
      <c r="B1645" s="1" t="s">
        <v>20</v>
      </c>
      <c r="C1645" s="40" t="str">
        <f t="shared" si="241"/>
        <v>20-&gt;</v>
      </c>
      <c r="D1645" s="40" t="str">
        <f t="shared" si="242"/>
        <v xml:space="preserve">No pick yet                                                 </v>
      </c>
      <c r="E1645" s="52">
        <f t="shared" si="243"/>
        <v>0</v>
      </c>
      <c r="F1645" s="18"/>
      <c r="M1645" s="18"/>
      <c r="N1645" s="18"/>
      <c r="O1645" s="18"/>
      <c r="P1645" s="18"/>
      <c r="Q1645" s="22"/>
      <c r="R1645" s="21"/>
      <c r="S1645" s="21"/>
      <c r="T1645" s="21"/>
      <c r="AA1645"/>
      <c r="AH1645" t="str">
        <f t="shared" si="244"/>
        <v>k yet</v>
      </c>
    </row>
    <row r="1646" spans="1:34">
      <c r="A1646" s="42" t="s">
        <v>266</v>
      </c>
      <c r="B1646" s="1" t="s">
        <v>20</v>
      </c>
      <c r="C1646" s="40" t="str">
        <f t="shared" si="241"/>
        <v>21-&gt;</v>
      </c>
      <c r="D1646" s="40" t="str">
        <f t="shared" si="242"/>
        <v xml:space="preserve">No pick yet                                                 </v>
      </c>
      <c r="E1646" s="52">
        <f t="shared" si="243"/>
        <v>0</v>
      </c>
      <c r="F1646" s="18"/>
      <c r="M1646" s="18"/>
      <c r="N1646" s="18"/>
      <c r="O1646" s="18"/>
      <c r="P1646" s="18"/>
      <c r="Q1646" s="22"/>
      <c r="R1646" s="21"/>
      <c r="S1646" s="21"/>
      <c r="T1646" s="21"/>
      <c r="AA1646"/>
      <c r="AH1646" t="str">
        <f t="shared" si="244"/>
        <v>k yet</v>
      </c>
    </row>
    <row r="1647" spans="1:34">
      <c r="A1647" s="42" t="s">
        <v>267</v>
      </c>
      <c r="B1647" s="1" t="s">
        <v>20</v>
      </c>
      <c r="C1647" s="40" t="str">
        <f t="shared" si="241"/>
        <v>22-&gt;</v>
      </c>
      <c r="D1647" s="40" t="str">
        <f t="shared" si="242"/>
        <v xml:space="preserve">No pick yet                                                 </v>
      </c>
      <c r="E1647" s="52">
        <f t="shared" si="243"/>
        <v>0</v>
      </c>
      <c r="F1647" s="18"/>
      <c r="M1647" s="18"/>
      <c r="N1647" s="18"/>
      <c r="O1647" s="18"/>
      <c r="P1647" s="18"/>
      <c r="Q1647" s="22"/>
      <c r="R1647" s="21"/>
      <c r="S1647" s="21"/>
      <c r="T1647" s="21"/>
      <c r="AA1647"/>
      <c r="AH1647" t="str">
        <f t="shared" si="244"/>
        <v>k yet</v>
      </c>
    </row>
    <row r="1648" spans="1:34">
      <c r="A1648" s="42" t="s">
        <v>268</v>
      </c>
      <c r="B1648" s="1" t="s">
        <v>20</v>
      </c>
      <c r="C1648" s="40" t="str">
        <f t="shared" si="241"/>
        <v>23-&gt;</v>
      </c>
      <c r="D1648" s="40" t="str">
        <f t="shared" si="242"/>
        <v xml:space="preserve">No pick yet                                                 </v>
      </c>
      <c r="E1648" s="52">
        <f t="shared" si="243"/>
        <v>0</v>
      </c>
      <c r="F1648" s="18"/>
      <c r="M1648" s="18"/>
      <c r="N1648" s="18"/>
      <c r="O1648" s="18"/>
      <c r="P1648" s="18"/>
      <c r="Q1648" s="22"/>
      <c r="R1648" s="21"/>
      <c r="S1648" s="21"/>
      <c r="T1648" s="21"/>
      <c r="AA1648"/>
      <c r="AH1648" t="str">
        <f t="shared" si="244"/>
        <v>k yet</v>
      </c>
    </row>
    <row r="1649" spans="1:39">
      <c r="A1649" s="42" t="s">
        <v>269</v>
      </c>
      <c r="B1649" s="1" t="s">
        <v>20</v>
      </c>
      <c r="C1649" s="40" t="str">
        <f t="shared" si="241"/>
        <v>24-&gt;</v>
      </c>
      <c r="D1649" s="40" t="str">
        <f t="shared" si="242"/>
        <v xml:space="preserve">No pick yet                                                 </v>
      </c>
      <c r="E1649" s="52">
        <f t="shared" si="243"/>
        <v>0</v>
      </c>
      <c r="F1649" s="18"/>
      <c r="M1649" s="18"/>
      <c r="N1649" s="18"/>
      <c r="O1649" s="18"/>
      <c r="P1649" s="18"/>
      <c r="Q1649" s="22"/>
      <c r="R1649" s="21"/>
      <c r="S1649" s="21"/>
      <c r="T1649" s="21"/>
      <c r="AA1649"/>
      <c r="AH1649" t="str">
        <f t="shared" si="244"/>
        <v>k yet</v>
      </c>
    </row>
    <row r="1650" spans="1:39">
      <c r="A1650" s="42" t="s">
        <v>270</v>
      </c>
      <c r="B1650" s="1" t="s">
        <v>20</v>
      </c>
      <c r="C1650" s="40" t="str">
        <f t="shared" si="241"/>
        <v>25-&gt;</v>
      </c>
      <c r="D1650" s="40" t="str">
        <f t="shared" si="242"/>
        <v xml:space="preserve">No pick yet                                                 </v>
      </c>
      <c r="E1650" s="52">
        <f t="shared" si="243"/>
        <v>0</v>
      </c>
      <c r="F1650" s="18"/>
      <c r="M1650" s="18"/>
      <c r="N1650" s="18"/>
      <c r="O1650" s="18"/>
      <c r="P1650" s="18"/>
      <c r="Q1650" s="22"/>
      <c r="R1650" s="21"/>
      <c r="S1650" s="21"/>
      <c r="T1650" s="21"/>
      <c r="AA1650"/>
      <c r="AH1650" t="str">
        <f t="shared" si="244"/>
        <v>k yet</v>
      </c>
    </row>
    <row r="1651" spans="1:39">
      <c r="A1651" s="42" t="s">
        <v>271</v>
      </c>
      <c r="B1651" s="1" t="s">
        <v>20</v>
      </c>
      <c r="C1651" s="40" t="str">
        <f t="shared" si="241"/>
        <v>26-&gt;</v>
      </c>
      <c r="D1651" s="40" t="str">
        <f t="shared" si="242"/>
        <v xml:space="preserve">No pick yet                                                 </v>
      </c>
      <c r="E1651" s="52">
        <f t="shared" si="243"/>
        <v>0</v>
      </c>
      <c r="F1651" s="18"/>
      <c r="M1651" s="18"/>
      <c r="N1651" s="18"/>
      <c r="O1651" s="18"/>
      <c r="P1651" s="18"/>
      <c r="Q1651" s="22"/>
      <c r="R1651" s="21"/>
      <c r="S1651" s="21"/>
      <c r="T1651" s="21"/>
      <c r="AA1651"/>
      <c r="AH1651" t="str">
        <f t="shared" si="244"/>
        <v>k yet</v>
      </c>
    </row>
    <row r="1652" spans="1:39">
      <c r="A1652" s="38"/>
      <c r="B1652" s="40"/>
      <c r="C1652" s="40"/>
      <c r="D1652" s="49"/>
      <c r="E1652" s="41" t="s">
        <v>69</v>
      </c>
      <c r="F1652" s="18"/>
      <c r="K1652" s="22" t="s">
        <v>73</v>
      </c>
      <c r="L1652" s="18" t="s">
        <v>74</v>
      </c>
      <c r="M1652" s="22" t="s">
        <v>78</v>
      </c>
      <c r="N1652" s="22" t="s">
        <v>79</v>
      </c>
      <c r="O1652" s="22" t="s">
        <v>80</v>
      </c>
      <c r="P1652" s="22" t="s">
        <v>81</v>
      </c>
      <c r="Q1652" s="22" t="s">
        <v>82</v>
      </c>
      <c r="R1652" s="22" t="s">
        <v>83</v>
      </c>
      <c r="S1652" s="22" t="s">
        <v>84</v>
      </c>
      <c r="T1652" s="18" t="s">
        <v>85</v>
      </c>
      <c r="U1652" s="18" t="s">
        <v>86</v>
      </c>
      <c r="V1652" s="18" t="s">
        <v>87</v>
      </c>
      <c r="W1652" s="18" t="s">
        <v>88</v>
      </c>
      <c r="X1652" s="18" t="s">
        <v>89</v>
      </c>
      <c r="Y1652" s="18" t="s">
        <v>90</v>
      </c>
      <c r="Z1652" s="18" t="s">
        <v>91</v>
      </c>
      <c r="AA1652" s="18" t="s">
        <v>92</v>
      </c>
      <c r="AB1652" s="18" t="s">
        <v>93</v>
      </c>
      <c r="AC1652" s="18" t="s">
        <v>94</v>
      </c>
      <c r="AD1652" s="18" t="s">
        <v>235</v>
      </c>
      <c r="AE1652" s="18" t="s">
        <v>236</v>
      </c>
      <c r="AF1652" s="18" t="s">
        <v>237</v>
      </c>
      <c r="AG1652" s="18" t="s">
        <v>238</v>
      </c>
      <c r="AH1652" s="18" t="s">
        <v>239</v>
      </c>
      <c r="AI1652" s="18" t="s">
        <v>240</v>
      </c>
      <c r="AJ1652" s="18" t="s">
        <v>241</v>
      </c>
      <c r="AK1652" s="18" t="s">
        <v>242</v>
      </c>
      <c r="AL1652" s="18" t="s">
        <v>243</v>
      </c>
      <c r="AM1652" s="50" t="s">
        <v>244</v>
      </c>
    </row>
    <row r="1653" spans="1:39">
      <c r="A1653" s="40" t="s">
        <v>245</v>
      </c>
      <c r="B1653" s="51" t="str">
        <f>D58</f>
        <v/>
      </c>
      <c r="C1653" s="40" t="str">
        <f t="shared" ref="C1653:C1679" si="245">A1653</f>
        <v>#</v>
      </c>
      <c r="D1653" s="40" t="str">
        <f>"   "&amp;B1653&amp;REPT(" ",$AH$70-LEN(B1653)-3)</f>
        <v xml:space="preserve">                                                            </v>
      </c>
      <c r="E1653" s="38" t="str">
        <f>SUM(E1654:E1679)&amp;" pts[/b]"</f>
        <v>0 pts[/b]</v>
      </c>
      <c r="F1653" s="21">
        <f>SUM(E1654:E1679)</f>
        <v>0</v>
      </c>
      <c r="K1653" s="18">
        <f>COUNTIF(E1654:E1679,"&gt;0")</f>
        <v>0</v>
      </c>
      <c r="L1653" s="21">
        <f>AM1653-K1653</f>
        <v>0</v>
      </c>
      <c r="M1653" s="22">
        <f>MAX(E1654:E1679)</f>
        <v>0</v>
      </c>
      <c r="N1653" s="22">
        <f>LARGE(E1654:E1679,2)</f>
        <v>0</v>
      </c>
      <c r="O1653" s="22">
        <f>LARGE(E1654:E1679,3)</f>
        <v>0</v>
      </c>
      <c r="P1653" s="18">
        <f>LARGE(E1654:E1679,4)</f>
        <v>0</v>
      </c>
      <c r="Q1653" s="22">
        <f>LARGE(E1654:E1679,5)</f>
        <v>0</v>
      </c>
      <c r="R1653" s="22">
        <f>LARGE(E1654:E1679,6)</f>
        <v>0</v>
      </c>
      <c r="S1653" s="22">
        <f>LARGE(E1654:E1679,7)</f>
        <v>0</v>
      </c>
      <c r="T1653" s="18">
        <f>LARGE(E1654:E1679,8)</f>
        <v>0</v>
      </c>
      <c r="U1653" s="18">
        <f>LARGE(E1654:E1679,9)</f>
        <v>0</v>
      </c>
      <c r="V1653" s="18">
        <f>LARGE(E1654:E1679,10)</f>
        <v>0</v>
      </c>
      <c r="W1653" s="18">
        <f>LARGE(E1654:E1679,11)</f>
        <v>0</v>
      </c>
      <c r="X1653" s="18">
        <f>LARGE(E1654:E1679,12)</f>
        <v>0</v>
      </c>
      <c r="Y1653" s="18">
        <f>LARGE(E1654:E1679,13)</f>
        <v>0</v>
      </c>
      <c r="Z1653" s="18">
        <f>LARGE(E1654:E1679,14)</f>
        <v>0</v>
      </c>
      <c r="AA1653" s="18">
        <f>LARGE(E1654:E1679,15)</f>
        <v>0</v>
      </c>
      <c r="AB1653" s="18">
        <f>LARGE(E1654:E1679,16)</f>
        <v>0</v>
      </c>
      <c r="AC1653" s="18">
        <f>LARGE(E1654:E1679,17)</f>
        <v>0</v>
      </c>
      <c r="AD1653" s="18">
        <f>LARGE(E1654:E1680,13)</f>
        <v>0</v>
      </c>
      <c r="AE1653" s="18">
        <f>LARGE(E1654:E1679,19)</f>
        <v>0</v>
      </c>
      <c r="AF1653" s="18">
        <f>LARGE(E1654:E1679,20)</f>
        <v>0</v>
      </c>
      <c r="AG1653" s="18">
        <f>LARGE(E1654:E1679,21)</f>
        <v>0</v>
      </c>
      <c r="AH1653" s="18">
        <f>LARGE(E1654:E1679,22)</f>
        <v>0</v>
      </c>
      <c r="AI1653" s="18">
        <f>LARGE(E1654:E1679,23)</f>
        <v>0</v>
      </c>
      <c r="AJ1653" s="18">
        <f>LARGE(E1654:E1679,24)</f>
        <v>0</v>
      </c>
      <c r="AK1653" s="18">
        <f>LARGE(E1654:E1679,25)</f>
        <v>0</v>
      </c>
      <c r="AL1653" s="18">
        <f>LARGE(E1654:E1679,26)</f>
        <v>0</v>
      </c>
      <c r="AM1653" s="50">
        <f>COUNTIF(AH1654:AH1679,"&lt;&gt;"&amp;$AH$76)-(26-COUNTIF(E1654:E1679,"&gt;=0"))</f>
        <v>0</v>
      </c>
    </row>
    <row r="1654" spans="1:39">
      <c r="A1654" s="42" t="s">
        <v>246</v>
      </c>
      <c r="B1654" s="1" t="s">
        <v>20</v>
      </c>
      <c r="C1654" s="40" t="str">
        <f t="shared" si="245"/>
        <v>01-&gt;</v>
      </c>
      <c r="D1654" s="40" t="str">
        <f t="shared" ref="D1654:D1679" si="246">B1654&amp;REPT(" ",$AH$70-LEN(B1654))</f>
        <v xml:space="preserve">No pick yet                                                 </v>
      </c>
      <c r="E1654" s="52">
        <f t="shared" ref="E1654:E1679" si="247">VLOOKUP(RIGHT(B1654,LEN(B1654)-$AH$66),$H$138:$I$420,2,0)</f>
        <v>0</v>
      </c>
      <c r="F1654" s="18"/>
      <c r="M1654" s="18"/>
      <c r="N1654" s="18"/>
      <c r="O1654" s="18"/>
      <c r="P1654" s="18"/>
      <c r="Q1654" s="22"/>
      <c r="R1654" s="21"/>
      <c r="S1654" s="21"/>
      <c r="T1654" s="21"/>
      <c r="AA1654"/>
      <c r="AH1654" t="str">
        <f t="shared" ref="AH1654:AH1679" si="248">RIGHT(B1654,LEN(B1654)-$AH$66)</f>
        <v>k yet</v>
      </c>
    </row>
    <row r="1655" spans="1:39">
      <c r="A1655" s="42" t="s">
        <v>247</v>
      </c>
      <c r="B1655" s="1" t="s">
        <v>20</v>
      </c>
      <c r="C1655" s="40" t="str">
        <f t="shared" si="245"/>
        <v>02-&gt;</v>
      </c>
      <c r="D1655" s="40" t="str">
        <f t="shared" si="246"/>
        <v xml:space="preserve">No pick yet                                                 </v>
      </c>
      <c r="E1655" s="52">
        <f t="shared" si="247"/>
        <v>0</v>
      </c>
      <c r="F1655" s="18"/>
      <c r="K1655" s="22"/>
      <c r="N1655" s="22"/>
      <c r="O1655" s="22"/>
      <c r="P1655" s="22"/>
      <c r="Q1655" s="22"/>
      <c r="R1655" s="22"/>
      <c r="S1655" s="22"/>
      <c r="Z1655" s="53"/>
      <c r="AA1655"/>
      <c r="AH1655" t="str">
        <f t="shared" si="248"/>
        <v>k yet</v>
      </c>
    </row>
    <row r="1656" spans="1:39">
      <c r="A1656" s="42" t="s">
        <v>248</v>
      </c>
      <c r="B1656" s="1" t="s">
        <v>20</v>
      </c>
      <c r="C1656" s="40" t="str">
        <f t="shared" si="245"/>
        <v>03-&gt;</v>
      </c>
      <c r="D1656" s="40" t="str">
        <f t="shared" si="246"/>
        <v xml:space="preserve">No pick yet                                                 </v>
      </c>
      <c r="E1656" s="52">
        <f t="shared" si="247"/>
        <v>0</v>
      </c>
      <c r="F1656" s="18"/>
      <c r="L1656" s="21"/>
      <c r="N1656" s="22"/>
      <c r="O1656" s="22"/>
      <c r="P1656" s="18"/>
      <c r="Q1656" s="22"/>
      <c r="R1656" s="22"/>
      <c r="S1656" s="22"/>
      <c r="Z1656" s="53"/>
      <c r="AA1656"/>
      <c r="AH1656" t="str">
        <f t="shared" si="248"/>
        <v>k yet</v>
      </c>
    </row>
    <row r="1657" spans="1:39">
      <c r="A1657" s="42" t="s">
        <v>249</v>
      </c>
      <c r="B1657" s="1" t="s">
        <v>20</v>
      </c>
      <c r="C1657" s="40" t="str">
        <f t="shared" si="245"/>
        <v>04-&gt;</v>
      </c>
      <c r="D1657" s="40" t="str">
        <f t="shared" si="246"/>
        <v xml:space="preserve">No pick yet                                                 </v>
      </c>
      <c r="E1657" s="52">
        <f t="shared" si="247"/>
        <v>0</v>
      </c>
      <c r="F1657" s="18"/>
      <c r="M1657" s="18"/>
      <c r="N1657" s="18"/>
      <c r="O1657" s="18"/>
      <c r="P1657" s="18"/>
      <c r="Q1657" s="22"/>
      <c r="R1657" s="21"/>
      <c r="S1657" s="21"/>
      <c r="T1657" s="21"/>
      <c r="AA1657"/>
      <c r="AH1657" t="str">
        <f t="shared" si="248"/>
        <v>k yet</v>
      </c>
    </row>
    <row r="1658" spans="1:39">
      <c r="A1658" s="42" t="s">
        <v>250</v>
      </c>
      <c r="B1658" s="1" t="s">
        <v>20</v>
      </c>
      <c r="C1658" s="40" t="str">
        <f t="shared" si="245"/>
        <v>05-&gt;</v>
      </c>
      <c r="D1658" s="40" t="str">
        <f t="shared" si="246"/>
        <v xml:space="preserve">No pick yet                                                 </v>
      </c>
      <c r="E1658" s="52">
        <f t="shared" si="247"/>
        <v>0</v>
      </c>
      <c r="F1658" s="18"/>
      <c r="M1658" s="18"/>
      <c r="N1658" s="18"/>
      <c r="O1658" s="18"/>
      <c r="P1658" s="18"/>
      <c r="Q1658" s="22"/>
      <c r="R1658" s="21"/>
      <c r="S1658" s="21"/>
      <c r="T1658" s="21"/>
      <c r="AA1658"/>
      <c r="AH1658" t="str">
        <f t="shared" si="248"/>
        <v>k yet</v>
      </c>
    </row>
    <row r="1659" spans="1:39">
      <c r="A1659" s="42" t="s">
        <v>251</v>
      </c>
      <c r="B1659" s="1" t="s">
        <v>20</v>
      </c>
      <c r="C1659" s="40" t="str">
        <f t="shared" si="245"/>
        <v>06-&gt;</v>
      </c>
      <c r="D1659" s="40" t="str">
        <f t="shared" si="246"/>
        <v xml:space="preserve">No pick yet                                                 </v>
      </c>
      <c r="E1659" s="52">
        <f t="shared" si="247"/>
        <v>0</v>
      </c>
      <c r="F1659" s="18"/>
      <c r="M1659" s="18"/>
      <c r="N1659" s="18"/>
      <c r="O1659" s="18"/>
      <c r="P1659" s="18"/>
      <c r="Q1659" s="22"/>
      <c r="R1659" s="21"/>
      <c r="S1659" s="21"/>
      <c r="T1659" s="21"/>
      <c r="AA1659"/>
      <c r="AH1659" t="str">
        <f t="shared" si="248"/>
        <v>k yet</v>
      </c>
    </row>
    <row r="1660" spans="1:39">
      <c r="A1660" s="42" t="s">
        <v>252</v>
      </c>
      <c r="B1660" s="1" t="s">
        <v>20</v>
      </c>
      <c r="C1660" s="40" t="str">
        <f t="shared" si="245"/>
        <v>07-&gt;</v>
      </c>
      <c r="D1660" s="40" t="str">
        <f t="shared" si="246"/>
        <v xml:space="preserve">No pick yet                                                 </v>
      </c>
      <c r="E1660" s="52">
        <f t="shared" si="247"/>
        <v>0</v>
      </c>
      <c r="F1660" s="18"/>
      <c r="M1660" s="18"/>
      <c r="N1660" s="18"/>
      <c r="O1660" s="18"/>
      <c r="P1660" s="18"/>
      <c r="Q1660" s="22"/>
      <c r="R1660" s="21"/>
      <c r="S1660" s="21"/>
      <c r="T1660" s="21"/>
      <c r="AA1660"/>
      <c r="AH1660" t="str">
        <f t="shared" si="248"/>
        <v>k yet</v>
      </c>
    </row>
    <row r="1661" spans="1:39">
      <c r="A1661" s="42" t="s">
        <v>253</v>
      </c>
      <c r="B1661" s="1" t="s">
        <v>20</v>
      </c>
      <c r="C1661" s="40" t="str">
        <f t="shared" si="245"/>
        <v>08-&gt;</v>
      </c>
      <c r="D1661" s="40" t="str">
        <f t="shared" si="246"/>
        <v xml:space="preserve">No pick yet                                                 </v>
      </c>
      <c r="E1661" s="52">
        <f t="shared" si="247"/>
        <v>0</v>
      </c>
      <c r="F1661" s="18"/>
      <c r="M1661" s="18"/>
      <c r="N1661" s="18"/>
      <c r="O1661" s="18"/>
      <c r="P1661" s="18"/>
      <c r="Q1661" s="22"/>
      <c r="R1661" s="21"/>
      <c r="S1661" s="21"/>
      <c r="T1661" s="21"/>
      <c r="AA1661"/>
      <c r="AH1661" t="str">
        <f t="shared" si="248"/>
        <v>k yet</v>
      </c>
    </row>
    <row r="1662" spans="1:39">
      <c r="A1662" s="42" t="s">
        <v>254</v>
      </c>
      <c r="B1662" s="1" t="s">
        <v>20</v>
      </c>
      <c r="C1662" s="40" t="str">
        <f t="shared" si="245"/>
        <v>09-&gt;</v>
      </c>
      <c r="D1662" s="40" t="str">
        <f t="shared" si="246"/>
        <v xml:space="preserve">No pick yet                                                 </v>
      </c>
      <c r="E1662" s="52">
        <f t="shared" si="247"/>
        <v>0</v>
      </c>
      <c r="F1662" s="18"/>
      <c r="M1662" s="18"/>
      <c r="N1662" s="18"/>
      <c r="O1662" s="18"/>
      <c r="P1662" s="18"/>
      <c r="Q1662" s="22"/>
      <c r="R1662" s="21"/>
      <c r="S1662" s="21"/>
      <c r="T1662" s="21"/>
      <c r="AA1662"/>
      <c r="AH1662" t="str">
        <f t="shared" si="248"/>
        <v>k yet</v>
      </c>
    </row>
    <row r="1663" spans="1:39">
      <c r="A1663" s="42" t="s">
        <v>255</v>
      </c>
      <c r="B1663" s="1" t="s">
        <v>20</v>
      </c>
      <c r="C1663" s="40" t="str">
        <f t="shared" si="245"/>
        <v>10-&gt;</v>
      </c>
      <c r="D1663" s="40" t="str">
        <f t="shared" si="246"/>
        <v xml:space="preserve">No pick yet                                                 </v>
      </c>
      <c r="E1663" s="52">
        <f t="shared" si="247"/>
        <v>0</v>
      </c>
      <c r="F1663" s="22"/>
      <c r="M1663" s="18"/>
      <c r="N1663" s="18"/>
      <c r="O1663" s="18"/>
      <c r="P1663" s="18"/>
      <c r="Q1663" s="22"/>
      <c r="R1663" s="21"/>
      <c r="S1663" s="21"/>
      <c r="T1663" s="21"/>
      <c r="AA1663"/>
      <c r="AH1663" t="str">
        <f t="shared" si="248"/>
        <v>k yet</v>
      </c>
    </row>
    <row r="1664" spans="1:39">
      <c r="A1664" s="42" t="s">
        <v>256</v>
      </c>
      <c r="B1664" s="1" t="s">
        <v>20</v>
      </c>
      <c r="C1664" s="40" t="str">
        <f t="shared" si="245"/>
        <v>11-&gt;</v>
      </c>
      <c r="D1664" s="40" t="str">
        <f t="shared" si="246"/>
        <v xml:space="preserve">No pick yet                                                 </v>
      </c>
      <c r="E1664" s="52">
        <f t="shared" si="247"/>
        <v>0</v>
      </c>
      <c r="M1664" s="18"/>
      <c r="N1664" s="18"/>
      <c r="O1664" s="18"/>
      <c r="P1664" s="18"/>
      <c r="Q1664" s="22"/>
      <c r="R1664" s="21"/>
      <c r="S1664" s="21"/>
      <c r="T1664" s="21"/>
      <c r="AA1664"/>
      <c r="AH1664" t="str">
        <f t="shared" si="248"/>
        <v>k yet</v>
      </c>
    </row>
    <row r="1665" spans="1:39">
      <c r="A1665" s="42" t="s">
        <v>257</v>
      </c>
      <c r="B1665" s="1" t="s">
        <v>20</v>
      </c>
      <c r="C1665" s="40" t="str">
        <f t="shared" si="245"/>
        <v>12-&gt;</v>
      </c>
      <c r="D1665" s="40" t="str">
        <f t="shared" si="246"/>
        <v xml:space="preserve">No pick yet                                                 </v>
      </c>
      <c r="E1665" s="52">
        <f t="shared" si="247"/>
        <v>0</v>
      </c>
      <c r="M1665" s="18"/>
      <c r="N1665" s="18"/>
      <c r="O1665" s="18"/>
      <c r="P1665" s="18"/>
      <c r="Q1665" s="22"/>
      <c r="R1665" s="21"/>
      <c r="S1665" s="21"/>
      <c r="T1665" s="21"/>
      <c r="AA1665"/>
      <c r="AH1665" t="str">
        <f t="shared" si="248"/>
        <v>k yet</v>
      </c>
    </row>
    <row r="1666" spans="1:39">
      <c r="A1666" s="42" t="s">
        <v>258</v>
      </c>
      <c r="B1666" s="1" t="s">
        <v>20</v>
      </c>
      <c r="C1666" s="40" t="str">
        <f t="shared" si="245"/>
        <v>13-&gt;</v>
      </c>
      <c r="D1666" s="40" t="str">
        <f t="shared" si="246"/>
        <v xml:space="preserve">No pick yet                                                 </v>
      </c>
      <c r="E1666" s="52">
        <f t="shared" si="247"/>
        <v>0</v>
      </c>
      <c r="M1666" s="18"/>
      <c r="N1666" s="18"/>
      <c r="O1666" s="18"/>
      <c r="P1666" s="18"/>
      <c r="Q1666" s="22"/>
      <c r="R1666" s="21"/>
      <c r="S1666" s="21"/>
      <c r="T1666" s="21"/>
      <c r="AA1666"/>
      <c r="AH1666" t="str">
        <f t="shared" si="248"/>
        <v>k yet</v>
      </c>
    </row>
    <row r="1667" spans="1:39">
      <c r="A1667" s="42" t="s">
        <v>259</v>
      </c>
      <c r="B1667" s="1" t="s">
        <v>20</v>
      </c>
      <c r="C1667" s="40" t="str">
        <f t="shared" si="245"/>
        <v>14-&gt;</v>
      </c>
      <c r="D1667" s="40" t="str">
        <f t="shared" si="246"/>
        <v xml:space="preserve">No pick yet                                                 </v>
      </c>
      <c r="E1667" s="52">
        <f t="shared" si="247"/>
        <v>0</v>
      </c>
      <c r="M1667" s="18"/>
      <c r="N1667" s="18"/>
      <c r="O1667" s="18"/>
      <c r="P1667" s="18"/>
      <c r="Q1667" s="22"/>
      <c r="R1667" s="21"/>
      <c r="S1667" s="21"/>
      <c r="T1667" s="21"/>
      <c r="AA1667"/>
      <c r="AH1667" t="str">
        <f t="shared" si="248"/>
        <v>k yet</v>
      </c>
    </row>
    <row r="1668" spans="1:39">
      <c r="A1668" s="42" t="s">
        <v>260</v>
      </c>
      <c r="B1668" s="1" t="s">
        <v>20</v>
      </c>
      <c r="C1668" s="40" t="str">
        <f t="shared" si="245"/>
        <v>15-&gt;</v>
      </c>
      <c r="D1668" s="40" t="str">
        <f t="shared" si="246"/>
        <v xml:space="preserve">No pick yet                                                 </v>
      </c>
      <c r="E1668" s="52">
        <f t="shared" si="247"/>
        <v>0</v>
      </c>
      <c r="M1668" s="18"/>
      <c r="N1668" s="18"/>
      <c r="O1668" s="18"/>
      <c r="P1668" s="18"/>
      <c r="Q1668" s="22"/>
      <c r="R1668" s="21"/>
      <c r="S1668" s="21"/>
      <c r="T1668" s="21"/>
      <c r="AA1668"/>
      <c r="AH1668" t="str">
        <f t="shared" si="248"/>
        <v>k yet</v>
      </c>
    </row>
    <row r="1669" spans="1:39">
      <c r="A1669" s="42" t="s">
        <v>261</v>
      </c>
      <c r="B1669" s="1" t="s">
        <v>20</v>
      </c>
      <c r="C1669" s="40" t="str">
        <f t="shared" si="245"/>
        <v>16-&gt;</v>
      </c>
      <c r="D1669" s="40" t="str">
        <f t="shared" si="246"/>
        <v xml:space="preserve">No pick yet                                                 </v>
      </c>
      <c r="E1669" s="52">
        <f t="shared" si="247"/>
        <v>0</v>
      </c>
      <c r="M1669" s="18"/>
      <c r="N1669" s="18"/>
      <c r="O1669" s="18"/>
      <c r="P1669" s="18"/>
      <c r="Q1669" s="22"/>
      <c r="R1669" s="21"/>
      <c r="S1669" s="21"/>
      <c r="T1669" s="21"/>
      <c r="AA1669"/>
      <c r="AH1669" t="str">
        <f t="shared" si="248"/>
        <v>k yet</v>
      </c>
    </row>
    <row r="1670" spans="1:39">
      <c r="A1670" s="42" t="s">
        <v>262</v>
      </c>
      <c r="B1670" s="1" t="s">
        <v>20</v>
      </c>
      <c r="C1670" s="40" t="str">
        <f t="shared" si="245"/>
        <v>17-&gt;</v>
      </c>
      <c r="D1670" s="40" t="str">
        <f t="shared" si="246"/>
        <v xml:space="preserve">No pick yet                                                 </v>
      </c>
      <c r="E1670" s="52">
        <f t="shared" si="247"/>
        <v>0</v>
      </c>
      <c r="K1670" s="22"/>
      <c r="N1670" s="22"/>
      <c r="O1670" s="22"/>
      <c r="P1670" s="22"/>
      <c r="Q1670" s="22"/>
      <c r="R1670" s="22"/>
      <c r="S1670" s="22"/>
      <c r="Z1670" s="53"/>
      <c r="AA1670"/>
      <c r="AH1670" t="str">
        <f t="shared" si="248"/>
        <v>k yet</v>
      </c>
    </row>
    <row r="1671" spans="1:39">
      <c r="A1671" s="42" t="s">
        <v>263</v>
      </c>
      <c r="B1671" s="1" t="s">
        <v>20</v>
      </c>
      <c r="C1671" s="40" t="str">
        <f t="shared" si="245"/>
        <v>18-&gt;</v>
      </c>
      <c r="D1671" s="40" t="str">
        <f t="shared" si="246"/>
        <v xml:space="preserve">No pick yet                                                 </v>
      </c>
      <c r="E1671" s="52">
        <f t="shared" si="247"/>
        <v>0</v>
      </c>
      <c r="F1671" s="18"/>
      <c r="L1671" s="21"/>
      <c r="N1671" s="22"/>
      <c r="O1671" s="22"/>
      <c r="P1671" s="18"/>
      <c r="Q1671" s="22"/>
      <c r="R1671" s="22"/>
      <c r="S1671" s="22"/>
      <c r="Z1671" s="53"/>
      <c r="AA1671"/>
      <c r="AH1671" t="str">
        <f t="shared" si="248"/>
        <v>k yet</v>
      </c>
    </row>
    <row r="1672" spans="1:39">
      <c r="A1672" s="42" t="s">
        <v>264</v>
      </c>
      <c r="B1672" s="1" t="s">
        <v>20</v>
      </c>
      <c r="C1672" s="40" t="str">
        <f t="shared" si="245"/>
        <v>19-&gt;</v>
      </c>
      <c r="D1672" s="40" t="str">
        <f t="shared" si="246"/>
        <v xml:space="preserve">No pick yet                                                 </v>
      </c>
      <c r="E1672" s="52">
        <f t="shared" si="247"/>
        <v>0</v>
      </c>
      <c r="F1672" s="18"/>
      <c r="M1672" s="18"/>
      <c r="N1672" s="18"/>
      <c r="O1672" s="18"/>
      <c r="P1672" s="18"/>
      <c r="Q1672" s="22"/>
      <c r="R1672" s="21"/>
      <c r="S1672" s="21"/>
      <c r="T1672" s="21"/>
      <c r="AA1672"/>
      <c r="AH1672" t="str">
        <f t="shared" si="248"/>
        <v>k yet</v>
      </c>
    </row>
    <row r="1673" spans="1:39">
      <c r="A1673" s="42" t="s">
        <v>265</v>
      </c>
      <c r="B1673" s="1" t="s">
        <v>20</v>
      </c>
      <c r="C1673" s="40" t="str">
        <f t="shared" si="245"/>
        <v>20-&gt;</v>
      </c>
      <c r="D1673" s="40" t="str">
        <f t="shared" si="246"/>
        <v xml:space="preserve">No pick yet                                                 </v>
      </c>
      <c r="E1673" s="52">
        <f t="shared" si="247"/>
        <v>0</v>
      </c>
      <c r="F1673" s="18"/>
      <c r="M1673" s="18"/>
      <c r="N1673" s="18"/>
      <c r="O1673" s="18"/>
      <c r="P1673" s="18"/>
      <c r="Q1673" s="22"/>
      <c r="R1673" s="21"/>
      <c r="S1673" s="21"/>
      <c r="T1673" s="21"/>
      <c r="AA1673"/>
      <c r="AH1673" t="str">
        <f t="shared" si="248"/>
        <v>k yet</v>
      </c>
    </row>
    <row r="1674" spans="1:39">
      <c r="A1674" s="42" t="s">
        <v>266</v>
      </c>
      <c r="B1674" s="1" t="s">
        <v>20</v>
      </c>
      <c r="C1674" s="40" t="str">
        <f t="shared" si="245"/>
        <v>21-&gt;</v>
      </c>
      <c r="D1674" s="40" t="str">
        <f t="shared" si="246"/>
        <v xml:space="preserve">No pick yet                                                 </v>
      </c>
      <c r="E1674" s="52">
        <f t="shared" si="247"/>
        <v>0</v>
      </c>
      <c r="F1674" s="18"/>
      <c r="M1674" s="18"/>
      <c r="N1674" s="18"/>
      <c r="O1674" s="18"/>
      <c r="P1674" s="18"/>
      <c r="Q1674" s="22"/>
      <c r="R1674" s="21"/>
      <c r="S1674" s="21"/>
      <c r="T1674" s="21"/>
      <c r="AA1674"/>
      <c r="AH1674" t="str">
        <f t="shared" si="248"/>
        <v>k yet</v>
      </c>
    </row>
    <row r="1675" spans="1:39">
      <c r="A1675" s="42" t="s">
        <v>267</v>
      </c>
      <c r="B1675" s="1" t="s">
        <v>20</v>
      </c>
      <c r="C1675" s="40" t="str">
        <f t="shared" si="245"/>
        <v>22-&gt;</v>
      </c>
      <c r="D1675" s="40" t="str">
        <f t="shared" si="246"/>
        <v xml:space="preserve">No pick yet                                                 </v>
      </c>
      <c r="E1675" s="52">
        <f t="shared" si="247"/>
        <v>0</v>
      </c>
      <c r="F1675" s="18"/>
      <c r="M1675" s="18"/>
      <c r="N1675" s="18"/>
      <c r="O1675" s="18"/>
      <c r="P1675" s="18"/>
      <c r="Q1675" s="22"/>
      <c r="R1675" s="21"/>
      <c r="S1675" s="21"/>
      <c r="T1675" s="21"/>
      <c r="AA1675"/>
      <c r="AH1675" t="str">
        <f t="shared" si="248"/>
        <v>k yet</v>
      </c>
    </row>
    <row r="1676" spans="1:39">
      <c r="A1676" s="42" t="s">
        <v>268</v>
      </c>
      <c r="B1676" s="1" t="s">
        <v>20</v>
      </c>
      <c r="C1676" s="40" t="str">
        <f t="shared" si="245"/>
        <v>23-&gt;</v>
      </c>
      <c r="D1676" s="40" t="str">
        <f t="shared" si="246"/>
        <v xml:space="preserve">No pick yet                                                 </v>
      </c>
      <c r="E1676" s="52">
        <f t="shared" si="247"/>
        <v>0</v>
      </c>
      <c r="F1676" s="18"/>
      <c r="M1676" s="18"/>
      <c r="N1676" s="18"/>
      <c r="O1676" s="18"/>
      <c r="P1676" s="18"/>
      <c r="Q1676" s="22"/>
      <c r="R1676" s="21"/>
      <c r="S1676" s="21"/>
      <c r="T1676" s="21"/>
      <c r="AA1676"/>
      <c r="AH1676" t="str">
        <f t="shared" si="248"/>
        <v>k yet</v>
      </c>
    </row>
    <row r="1677" spans="1:39">
      <c r="A1677" s="42" t="s">
        <v>269</v>
      </c>
      <c r="B1677" s="1" t="s">
        <v>20</v>
      </c>
      <c r="C1677" s="40" t="str">
        <f t="shared" si="245"/>
        <v>24-&gt;</v>
      </c>
      <c r="D1677" s="40" t="str">
        <f t="shared" si="246"/>
        <v xml:space="preserve">No pick yet                                                 </v>
      </c>
      <c r="E1677" s="52">
        <f t="shared" si="247"/>
        <v>0</v>
      </c>
      <c r="F1677" s="18"/>
      <c r="M1677" s="18"/>
      <c r="N1677" s="18"/>
      <c r="O1677" s="18"/>
      <c r="P1677" s="18"/>
      <c r="Q1677" s="22"/>
      <c r="R1677" s="21"/>
      <c r="S1677" s="21"/>
      <c r="T1677" s="21"/>
      <c r="AA1677"/>
      <c r="AH1677" t="str">
        <f t="shared" si="248"/>
        <v>k yet</v>
      </c>
    </row>
    <row r="1678" spans="1:39">
      <c r="A1678" s="42" t="s">
        <v>270</v>
      </c>
      <c r="B1678" s="1" t="s">
        <v>20</v>
      </c>
      <c r="C1678" s="40" t="str">
        <f t="shared" si="245"/>
        <v>25-&gt;</v>
      </c>
      <c r="D1678" s="40" t="str">
        <f t="shared" si="246"/>
        <v xml:space="preserve">No pick yet                                                 </v>
      </c>
      <c r="E1678" s="52">
        <f t="shared" si="247"/>
        <v>0</v>
      </c>
      <c r="F1678" s="18"/>
      <c r="M1678" s="18"/>
      <c r="N1678" s="18"/>
      <c r="O1678" s="18"/>
      <c r="P1678" s="18"/>
      <c r="Q1678" s="22"/>
      <c r="R1678" s="21"/>
      <c r="S1678" s="21"/>
      <c r="T1678" s="21"/>
      <c r="AA1678"/>
      <c r="AH1678" t="str">
        <f t="shared" si="248"/>
        <v>k yet</v>
      </c>
    </row>
    <row r="1679" spans="1:39">
      <c r="A1679" s="42" t="s">
        <v>271</v>
      </c>
      <c r="B1679" s="1" t="s">
        <v>20</v>
      </c>
      <c r="C1679" s="40" t="str">
        <f t="shared" si="245"/>
        <v>26-&gt;</v>
      </c>
      <c r="D1679" s="40" t="str">
        <f t="shared" si="246"/>
        <v xml:space="preserve">No pick yet                                                 </v>
      </c>
      <c r="E1679" s="52">
        <f t="shared" si="247"/>
        <v>0</v>
      </c>
      <c r="F1679" s="18"/>
      <c r="M1679" s="18"/>
      <c r="N1679" s="18"/>
      <c r="O1679" s="18"/>
      <c r="P1679" s="18"/>
      <c r="Q1679" s="22"/>
      <c r="R1679" s="21"/>
      <c r="S1679" s="21"/>
      <c r="T1679" s="21"/>
      <c r="AA1679"/>
      <c r="AH1679" t="str">
        <f t="shared" si="248"/>
        <v>k yet</v>
      </c>
    </row>
    <row r="1680" spans="1:39">
      <c r="A1680" s="38"/>
      <c r="B1680" s="40"/>
      <c r="C1680" s="40"/>
      <c r="D1680" s="49"/>
      <c r="E1680" s="41" t="s">
        <v>69</v>
      </c>
      <c r="F1680" s="18"/>
      <c r="K1680" s="22" t="s">
        <v>73</v>
      </c>
      <c r="L1680" s="18" t="s">
        <v>74</v>
      </c>
      <c r="M1680" s="22" t="s">
        <v>78</v>
      </c>
      <c r="N1680" s="22" t="s">
        <v>79</v>
      </c>
      <c r="O1680" s="22" t="s">
        <v>80</v>
      </c>
      <c r="P1680" s="22" t="s">
        <v>81</v>
      </c>
      <c r="Q1680" s="22" t="s">
        <v>82</v>
      </c>
      <c r="R1680" s="22" t="s">
        <v>83</v>
      </c>
      <c r="S1680" s="22" t="s">
        <v>84</v>
      </c>
      <c r="T1680" s="18" t="s">
        <v>85</v>
      </c>
      <c r="U1680" s="18" t="s">
        <v>86</v>
      </c>
      <c r="V1680" s="18" t="s">
        <v>87</v>
      </c>
      <c r="W1680" s="18" t="s">
        <v>88</v>
      </c>
      <c r="X1680" s="18" t="s">
        <v>89</v>
      </c>
      <c r="Y1680" s="18" t="s">
        <v>90</v>
      </c>
      <c r="Z1680" s="18" t="s">
        <v>91</v>
      </c>
      <c r="AA1680" s="18" t="s">
        <v>92</v>
      </c>
      <c r="AB1680" s="18" t="s">
        <v>93</v>
      </c>
      <c r="AC1680" s="18" t="s">
        <v>94</v>
      </c>
      <c r="AD1680" s="18" t="s">
        <v>235</v>
      </c>
      <c r="AE1680" s="18" t="s">
        <v>236</v>
      </c>
      <c r="AF1680" s="18" t="s">
        <v>237</v>
      </c>
      <c r="AG1680" s="18" t="s">
        <v>238</v>
      </c>
      <c r="AH1680" s="18" t="s">
        <v>239</v>
      </c>
      <c r="AI1680" s="18" t="s">
        <v>240</v>
      </c>
      <c r="AJ1680" s="18" t="s">
        <v>241</v>
      </c>
      <c r="AK1680" s="18" t="s">
        <v>242</v>
      </c>
      <c r="AL1680" s="18" t="s">
        <v>243</v>
      </c>
      <c r="AM1680" s="50" t="s">
        <v>244</v>
      </c>
    </row>
    <row r="1681" spans="1:39">
      <c r="A1681" s="40" t="s">
        <v>245</v>
      </c>
      <c r="B1681" s="51" t="str">
        <f>D59</f>
        <v/>
      </c>
      <c r="C1681" s="40" t="str">
        <f t="shared" ref="C1681:C1707" si="249">A1681</f>
        <v>#</v>
      </c>
      <c r="D1681" s="40" t="str">
        <f>"   "&amp;B1681&amp;REPT(" ",$AH$70-LEN(B1681)-3)</f>
        <v xml:space="preserve">                                                            </v>
      </c>
      <c r="E1681" s="38" t="str">
        <f>SUM(E1682:E1707)&amp;" pts[/b]"</f>
        <v>0 pts[/b]</v>
      </c>
      <c r="F1681" s="21">
        <f>SUM(E1682:E1707)</f>
        <v>0</v>
      </c>
      <c r="K1681" s="18">
        <f>COUNTIF(E1682:E1707,"&gt;0")</f>
        <v>0</v>
      </c>
      <c r="L1681" s="21">
        <f>AM1681-K1681</f>
        <v>0</v>
      </c>
      <c r="M1681" s="22">
        <f>MAX(E1682:E1707)</f>
        <v>0</v>
      </c>
      <c r="N1681" s="22">
        <f>LARGE(E1682:E1707,2)</f>
        <v>0</v>
      </c>
      <c r="O1681" s="22">
        <f>LARGE(E1682:E1707,3)</f>
        <v>0</v>
      </c>
      <c r="P1681" s="18">
        <f>LARGE(E1682:E1707,4)</f>
        <v>0</v>
      </c>
      <c r="Q1681" s="22">
        <f>LARGE(E1682:E1707,5)</f>
        <v>0</v>
      </c>
      <c r="R1681" s="22">
        <f>LARGE(E1682:E1707,6)</f>
        <v>0</v>
      </c>
      <c r="S1681" s="22">
        <f>LARGE(E1682:E1707,7)</f>
        <v>0</v>
      </c>
      <c r="T1681" s="18">
        <f>LARGE(E1682:E1707,8)</f>
        <v>0</v>
      </c>
      <c r="U1681" s="18">
        <f>LARGE(E1682:E1707,9)</f>
        <v>0</v>
      </c>
      <c r="V1681" s="18">
        <f>LARGE(E1682:E1707,10)</f>
        <v>0</v>
      </c>
      <c r="W1681" s="18">
        <f>LARGE(E1682:E1707,11)</f>
        <v>0</v>
      </c>
      <c r="X1681" s="18">
        <f>LARGE(E1682:E1707,12)</f>
        <v>0</v>
      </c>
      <c r="Y1681" s="18">
        <f>LARGE(E1682:E1707,13)</f>
        <v>0</v>
      </c>
      <c r="Z1681" s="18">
        <f>LARGE(E1682:E1707,14)</f>
        <v>0</v>
      </c>
      <c r="AA1681" s="18">
        <f>LARGE(E1682:E1707,15)</f>
        <v>0</v>
      </c>
      <c r="AB1681" s="18">
        <f>LARGE(E1682:E1707,16)</f>
        <v>0</v>
      </c>
      <c r="AC1681" s="18">
        <f>LARGE(E1682:E1707,17)</f>
        <v>0</v>
      </c>
      <c r="AD1681" s="18">
        <f>LARGE(E1682:E1708,13)</f>
        <v>0</v>
      </c>
      <c r="AE1681" s="18">
        <f>LARGE(E1682:E1707,19)</f>
        <v>0</v>
      </c>
      <c r="AF1681" s="18">
        <f>LARGE(E1682:E1707,20)</f>
        <v>0</v>
      </c>
      <c r="AG1681" s="18">
        <f>LARGE(E1682:E1707,21)</f>
        <v>0</v>
      </c>
      <c r="AH1681" s="18">
        <f>LARGE(E1682:E1707,22)</f>
        <v>0</v>
      </c>
      <c r="AI1681" s="18">
        <f>LARGE(E1682:E1707,23)</f>
        <v>0</v>
      </c>
      <c r="AJ1681" s="18">
        <f>LARGE(E1682:E1707,24)</f>
        <v>0</v>
      </c>
      <c r="AK1681" s="18">
        <f>LARGE(E1682:E1707,25)</f>
        <v>0</v>
      </c>
      <c r="AL1681" s="18">
        <f>LARGE(E1682:E1707,26)</f>
        <v>0</v>
      </c>
      <c r="AM1681" s="50">
        <f>COUNTIF(AH1682:AH1707,"&lt;&gt;"&amp;$AH$76)-(26-COUNTIF(E1682:E1707,"&gt;=0"))</f>
        <v>0</v>
      </c>
    </row>
    <row r="1682" spans="1:39">
      <c r="A1682" s="42" t="s">
        <v>246</v>
      </c>
      <c r="B1682" s="1" t="s">
        <v>20</v>
      </c>
      <c r="C1682" s="40" t="str">
        <f t="shared" si="249"/>
        <v>01-&gt;</v>
      </c>
      <c r="D1682" s="40" t="str">
        <f t="shared" ref="D1682:D1707" si="250">B1682&amp;REPT(" ",$AH$70-LEN(B1682))</f>
        <v xml:space="preserve">No pick yet                                                 </v>
      </c>
      <c r="E1682" s="52">
        <f t="shared" ref="E1682:E1707" si="251">VLOOKUP(RIGHT(B1682,LEN(B1682)-$AH$66),$H$138:$I$420,2,0)</f>
        <v>0</v>
      </c>
      <c r="F1682" s="18"/>
      <c r="M1682" s="18"/>
      <c r="N1682" s="18"/>
      <c r="O1682" s="18"/>
      <c r="P1682" s="18"/>
      <c r="Q1682" s="22"/>
      <c r="R1682" s="21"/>
      <c r="S1682" s="21"/>
      <c r="T1682" s="21"/>
      <c r="AA1682"/>
      <c r="AH1682" t="str">
        <f t="shared" ref="AH1682:AH1707" si="252">RIGHT(B1682,LEN(B1682)-$AH$66)</f>
        <v>k yet</v>
      </c>
    </row>
    <row r="1683" spans="1:39">
      <c r="A1683" s="42" t="s">
        <v>247</v>
      </c>
      <c r="B1683" s="1" t="s">
        <v>20</v>
      </c>
      <c r="C1683" s="40" t="str">
        <f t="shared" si="249"/>
        <v>02-&gt;</v>
      </c>
      <c r="D1683" s="40" t="str">
        <f t="shared" si="250"/>
        <v xml:space="preserve">No pick yet                                                 </v>
      </c>
      <c r="E1683" s="52">
        <f t="shared" si="251"/>
        <v>0</v>
      </c>
      <c r="F1683" s="18"/>
      <c r="K1683" s="22"/>
      <c r="N1683" s="22"/>
      <c r="O1683" s="22"/>
      <c r="P1683" s="22"/>
      <c r="Q1683" s="22"/>
      <c r="R1683" s="22"/>
      <c r="S1683" s="22"/>
      <c r="Z1683" s="53"/>
      <c r="AA1683"/>
      <c r="AH1683" t="str">
        <f t="shared" si="252"/>
        <v>k yet</v>
      </c>
    </row>
    <row r="1684" spans="1:39">
      <c r="A1684" s="42" t="s">
        <v>248</v>
      </c>
      <c r="B1684" s="1" t="s">
        <v>20</v>
      </c>
      <c r="C1684" s="40" t="str">
        <f t="shared" si="249"/>
        <v>03-&gt;</v>
      </c>
      <c r="D1684" s="40" t="str">
        <f t="shared" si="250"/>
        <v xml:space="preserve">No pick yet                                                 </v>
      </c>
      <c r="E1684" s="52">
        <f t="shared" si="251"/>
        <v>0</v>
      </c>
      <c r="F1684" s="18"/>
      <c r="L1684" s="21"/>
      <c r="N1684" s="22"/>
      <c r="O1684" s="22"/>
      <c r="P1684" s="18"/>
      <c r="Q1684" s="22"/>
      <c r="R1684" s="22"/>
      <c r="S1684" s="22"/>
      <c r="Z1684" s="53"/>
      <c r="AA1684"/>
      <c r="AH1684" t="str">
        <f t="shared" si="252"/>
        <v>k yet</v>
      </c>
    </row>
    <row r="1685" spans="1:39">
      <c r="A1685" s="42" t="s">
        <v>249</v>
      </c>
      <c r="B1685" s="1" t="s">
        <v>20</v>
      </c>
      <c r="C1685" s="40" t="str">
        <f t="shared" si="249"/>
        <v>04-&gt;</v>
      </c>
      <c r="D1685" s="40" t="str">
        <f t="shared" si="250"/>
        <v xml:space="preserve">No pick yet                                                 </v>
      </c>
      <c r="E1685" s="52">
        <f t="shared" si="251"/>
        <v>0</v>
      </c>
      <c r="F1685" s="18"/>
      <c r="M1685" s="18"/>
      <c r="N1685" s="18"/>
      <c r="O1685" s="18"/>
      <c r="P1685" s="18"/>
      <c r="Q1685" s="22"/>
      <c r="R1685" s="21"/>
      <c r="S1685" s="21"/>
      <c r="T1685" s="21"/>
      <c r="AA1685"/>
      <c r="AH1685" t="str">
        <f t="shared" si="252"/>
        <v>k yet</v>
      </c>
    </row>
    <row r="1686" spans="1:39">
      <c r="A1686" s="42" t="s">
        <v>250</v>
      </c>
      <c r="B1686" s="1" t="s">
        <v>20</v>
      </c>
      <c r="C1686" s="40" t="str">
        <f t="shared" si="249"/>
        <v>05-&gt;</v>
      </c>
      <c r="D1686" s="40" t="str">
        <f t="shared" si="250"/>
        <v xml:space="preserve">No pick yet                                                 </v>
      </c>
      <c r="E1686" s="52">
        <f t="shared" si="251"/>
        <v>0</v>
      </c>
      <c r="F1686" s="18"/>
      <c r="M1686" s="18"/>
      <c r="N1686" s="18"/>
      <c r="O1686" s="18"/>
      <c r="P1686" s="18"/>
      <c r="Q1686" s="22"/>
      <c r="R1686" s="21"/>
      <c r="S1686" s="21"/>
      <c r="T1686" s="21"/>
      <c r="AA1686"/>
      <c r="AH1686" t="str">
        <f t="shared" si="252"/>
        <v>k yet</v>
      </c>
    </row>
    <row r="1687" spans="1:39">
      <c r="A1687" s="42" t="s">
        <v>251</v>
      </c>
      <c r="B1687" s="1" t="s">
        <v>20</v>
      </c>
      <c r="C1687" s="40" t="str">
        <f t="shared" si="249"/>
        <v>06-&gt;</v>
      </c>
      <c r="D1687" s="40" t="str">
        <f t="shared" si="250"/>
        <v xml:space="preserve">No pick yet                                                 </v>
      </c>
      <c r="E1687" s="52">
        <f t="shared" si="251"/>
        <v>0</v>
      </c>
      <c r="F1687" s="18"/>
      <c r="M1687" s="18"/>
      <c r="N1687" s="18"/>
      <c r="O1687" s="18"/>
      <c r="P1687" s="18"/>
      <c r="Q1687" s="22"/>
      <c r="R1687" s="21"/>
      <c r="S1687" s="21"/>
      <c r="T1687" s="21"/>
      <c r="AA1687"/>
      <c r="AH1687" t="str">
        <f t="shared" si="252"/>
        <v>k yet</v>
      </c>
    </row>
    <row r="1688" spans="1:39">
      <c r="A1688" s="42" t="s">
        <v>252</v>
      </c>
      <c r="B1688" s="1" t="s">
        <v>20</v>
      </c>
      <c r="C1688" s="40" t="str">
        <f t="shared" si="249"/>
        <v>07-&gt;</v>
      </c>
      <c r="D1688" s="40" t="str">
        <f t="shared" si="250"/>
        <v xml:space="preserve">No pick yet                                                 </v>
      </c>
      <c r="E1688" s="52">
        <f t="shared" si="251"/>
        <v>0</v>
      </c>
      <c r="F1688" s="18"/>
      <c r="M1688" s="18"/>
      <c r="N1688" s="18"/>
      <c r="O1688" s="18"/>
      <c r="P1688" s="18"/>
      <c r="Q1688" s="22"/>
      <c r="R1688" s="21"/>
      <c r="S1688" s="21"/>
      <c r="T1688" s="21"/>
      <c r="AA1688"/>
      <c r="AH1688" t="str">
        <f t="shared" si="252"/>
        <v>k yet</v>
      </c>
    </row>
    <row r="1689" spans="1:39">
      <c r="A1689" s="42" t="s">
        <v>253</v>
      </c>
      <c r="B1689" s="1" t="s">
        <v>20</v>
      </c>
      <c r="C1689" s="40" t="str">
        <f t="shared" si="249"/>
        <v>08-&gt;</v>
      </c>
      <c r="D1689" s="40" t="str">
        <f t="shared" si="250"/>
        <v xml:space="preserve">No pick yet                                                 </v>
      </c>
      <c r="E1689" s="52">
        <f t="shared" si="251"/>
        <v>0</v>
      </c>
      <c r="F1689" s="18"/>
      <c r="M1689" s="18"/>
      <c r="N1689" s="18"/>
      <c r="O1689" s="18"/>
      <c r="P1689" s="18"/>
      <c r="Q1689" s="22"/>
      <c r="R1689" s="21"/>
      <c r="S1689" s="21"/>
      <c r="T1689" s="21"/>
      <c r="AA1689"/>
      <c r="AH1689" t="str">
        <f t="shared" si="252"/>
        <v>k yet</v>
      </c>
    </row>
    <row r="1690" spans="1:39">
      <c r="A1690" s="42" t="s">
        <v>254</v>
      </c>
      <c r="B1690" s="1" t="s">
        <v>20</v>
      </c>
      <c r="C1690" s="40" t="str">
        <f t="shared" si="249"/>
        <v>09-&gt;</v>
      </c>
      <c r="D1690" s="40" t="str">
        <f t="shared" si="250"/>
        <v xml:space="preserve">No pick yet                                                 </v>
      </c>
      <c r="E1690" s="52">
        <f t="shared" si="251"/>
        <v>0</v>
      </c>
      <c r="F1690" s="18"/>
      <c r="M1690" s="18"/>
      <c r="N1690" s="18"/>
      <c r="O1690" s="18"/>
      <c r="P1690" s="18"/>
      <c r="Q1690" s="22"/>
      <c r="R1690" s="21"/>
      <c r="S1690" s="21"/>
      <c r="T1690" s="21"/>
      <c r="AA1690"/>
      <c r="AH1690" t="str">
        <f t="shared" si="252"/>
        <v>k yet</v>
      </c>
    </row>
    <row r="1691" spans="1:39">
      <c r="A1691" s="42" t="s">
        <v>255</v>
      </c>
      <c r="B1691" s="1" t="s">
        <v>20</v>
      </c>
      <c r="C1691" s="40" t="str">
        <f t="shared" si="249"/>
        <v>10-&gt;</v>
      </c>
      <c r="D1691" s="40" t="str">
        <f t="shared" si="250"/>
        <v xml:space="preserve">No pick yet                                                 </v>
      </c>
      <c r="E1691" s="52">
        <f t="shared" si="251"/>
        <v>0</v>
      </c>
      <c r="F1691" s="22"/>
      <c r="M1691" s="18"/>
      <c r="N1691" s="18"/>
      <c r="O1691" s="18"/>
      <c r="P1691" s="18"/>
      <c r="Q1691" s="22"/>
      <c r="R1691" s="21"/>
      <c r="S1691" s="21"/>
      <c r="T1691" s="21"/>
      <c r="AA1691"/>
      <c r="AH1691" t="str">
        <f t="shared" si="252"/>
        <v>k yet</v>
      </c>
    </row>
    <row r="1692" spans="1:39">
      <c r="A1692" s="42" t="s">
        <v>256</v>
      </c>
      <c r="B1692" s="1" t="s">
        <v>20</v>
      </c>
      <c r="C1692" s="40" t="str">
        <f t="shared" si="249"/>
        <v>11-&gt;</v>
      </c>
      <c r="D1692" s="40" t="str">
        <f t="shared" si="250"/>
        <v xml:space="preserve">No pick yet                                                 </v>
      </c>
      <c r="E1692" s="52">
        <f t="shared" si="251"/>
        <v>0</v>
      </c>
      <c r="M1692" s="18"/>
      <c r="N1692" s="18"/>
      <c r="O1692" s="18"/>
      <c r="P1692" s="18"/>
      <c r="Q1692" s="22"/>
      <c r="R1692" s="21"/>
      <c r="S1692" s="21"/>
      <c r="T1692" s="21"/>
      <c r="AA1692"/>
      <c r="AH1692" t="str">
        <f t="shared" si="252"/>
        <v>k yet</v>
      </c>
    </row>
    <row r="1693" spans="1:39">
      <c r="A1693" s="42" t="s">
        <v>257</v>
      </c>
      <c r="B1693" s="1" t="s">
        <v>20</v>
      </c>
      <c r="C1693" s="40" t="str">
        <f t="shared" si="249"/>
        <v>12-&gt;</v>
      </c>
      <c r="D1693" s="40" t="str">
        <f t="shared" si="250"/>
        <v xml:space="preserve">No pick yet                                                 </v>
      </c>
      <c r="E1693" s="52">
        <f t="shared" si="251"/>
        <v>0</v>
      </c>
      <c r="M1693" s="18"/>
      <c r="N1693" s="18"/>
      <c r="O1693" s="18"/>
      <c r="P1693" s="18"/>
      <c r="Q1693" s="22"/>
      <c r="R1693" s="21"/>
      <c r="S1693" s="21"/>
      <c r="T1693" s="21"/>
      <c r="AA1693"/>
      <c r="AH1693" t="str">
        <f t="shared" si="252"/>
        <v>k yet</v>
      </c>
    </row>
    <row r="1694" spans="1:39">
      <c r="A1694" s="42" t="s">
        <v>258</v>
      </c>
      <c r="B1694" s="1" t="s">
        <v>20</v>
      </c>
      <c r="C1694" s="40" t="str">
        <f t="shared" si="249"/>
        <v>13-&gt;</v>
      </c>
      <c r="D1694" s="40" t="str">
        <f t="shared" si="250"/>
        <v xml:space="preserve">No pick yet                                                 </v>
      </c>
      <c r="E1694" s="52">
        <f t="shared" si="251"/>
        <v>0</v>
      </c>
      <c r="M1694" s="18"/>
      <c r="N1694" s="18"/>
      <c r="O1694" s="18"/>
      <c r="P1694" s="18"/>
      <c r="Q1694" s="22"/>
      <c r="R1694" s="21"/>
      <c r="S1694" s="21"/>
      <c r="T1694" s="21"/>
      <c r="AA1694"/>
      <c r="AH1694" t="str">
        <f t="shared" si="252"/>
        <v>k yet</v>
      </c>
    </row>
    <row r="1695" spans="1:39">
      <c r="A1695" s="42" t="s">
        <v>259</v>
      </c>
      <c r="B1695" s="1" t="s">
        <v>20</v>
      </c>
      <c r="C1695" s="40" t="str">
        <f t="shared" si="249"/>
        <v>14-&gt;</v>
      </c>
      <c r="D1695" s="40" t="str">
        <f t="shared" si="250"/>
        <v xml:space="preserve">No pick yet                                                 </v>
      </c>
      <c r="E1695" s="52">
        <f t="shared" si="251"/>
        <v>0</v>
      </c>
      <c r="M1695" s="18"/>
      <c r="N1695" s="18"/>
      <c r="O1695" s="18"/>
      <c r="P1695" s="18"/>
      <c r="Q1695" s="22"/>
      <c r="R1695" s="21"/>
      <c r="S1695" s="21"/>
      <c r="T1695" s="21"/>
      <c r="AA1695"/>
      <c r="AH1695" t="str">
        <f t="shared" si="252"/>
        <v>k yet</v>
      </c>
    </row>
    <row r="1696" spans="1:39">
      <c r="A1696" s="42" t="s">
        <v>260</v>
      </c>
      <c r="B1696" s="1" t="s">
        <v>20</v>
      </c>
      <c r="C1696" s="40" t="str">
        <f t="shared" si="249"/>
        <v>15-&gt;</v>
      </c>
      <c r="D1696" s="40" t="str">
        <f t="shared" si="250"/>
        <v xml:space="preserve">No pick yet                                                 </v>
      </c>
      <c r="E1696" s="52">
        <f t="shared" si="251"/>
        <v>0</v>
      </c>
      <c r="M1696" s="18"/>
      <c r="N1696" s="18"/>
      <c r="O1696" s="18"/>
      <c r="P1696" s="18"/>
      <c r="Q1696" s="22"/>
      <c r="R1696" s="21"/>
      <c r="S1696" s="21"/>
      <c r="T1696" s="21"/>
      <c r="AA1696"/>
      <c r="AH1696" t="str">
        <f t="shared" si="252"/>
        <v>k yet</v>
      </c>
    </row>
    <row r="1697" spans="1:39">
      <c r="A1697" s="42" t="s">
        <v>261</v>
      </c>
      <c r="B1697" s="1" t="s">
        <v>20</v>
      </c>
      <c r="C1697" s="40" t="str">
        <f t="shared" si="249"/>
        <v>16-&gt;</v>
      </c>
      <c r="D1697" s="40" t="str">
        <f t="shared" si="250"/>
        <v xml:space="preserve">No pick yet                                                 </v>
      </c>
      <c r="E1697" s="52">
        <f t="shared" si="251"/>
        <v>0</v>
      </c>
      <c r="M1697" s="18"/>
      <c r="N1697" s="18"/>
      <c r="O1697" s="18"/>
      <c r="P1697" s="18"/>
      <c r="Q1697" s="22"/>
      <c r="R1697" s="21"/>
      <c r="S1697" s="21"/>
      <c r="T1697" s="21"/>
      <c r="AA1697"/>
      <c r="AH1697" t="str">
        <f t="shared" si="252"/>
        <v>k yet</v>
      </c>
    </row>
    <row r="1698" spans="1:39">
      <c r="A1698" s="42" t="s">
        <v>262</v>
      </c>
      <c r="B1698" s="1" t="s">
        <v>20</v>
      </c>
      <c r="C1698" s="40" t="str">
        <f t="shared" si="249"/>
        <v>17-&gt;</v>
      </c>
      <c r="D1698" s="40" t="str">
        <f t="shared" si="250"/>
        <v xml:space="preserve">No pick yet                                                 </v>
      </c>
      <c r="E1698" s="52">
        <f t="shared" si="251"/>
        <v>0</v>
      </c>
      <c r="K1698" s="22"/>
      <c r="N1698" s="22"/>
      <c r="O1698" s="22"/>
      <c r="P1698" s="22"/>
      <c r="Q1698" s="22"/>
      <c r="R1698" s="22"/>
      <c r="S1698" s="22"/>
      <c r="Z1698" s="53"/>
      <c r="AA1698"/>
      <c r="AH1698" t="str">
        <f t="shared" si="252"/>
        <v>k yet</v>
      </c>
    </row>
    <row r="1699" spans="1:39">
      <c r="A1699" s="42" t="s">
        <v>263</v>
      </c>
      <c r="B1699" s="1" t="s">
        <v>20</v>
      </c>
      <c r="C1699" s="40" t="str">
        <f t="shared" si="249"/>
        <v>18-&gt;</v>
      </c>
      <c r="D1699" s="40" t="str">
        <f t="shared" si="250"/>
        <v xml:space="preserve">No pick yet                                                 </v>
      </c>
      <c r="E1699" s="52">
        <f t="shared" si="251"/>
        <v>0</v>
      </c>
      <c r="F1699" s="18"/>
      <c r="L1699" s="21"/>
      <c r="N1699" s="22"/>
      <c r="O1699" s="22"/>
      <c r="P1699" s="18"/>
      <c r="Q1699" s="22"/>
      <c r="R1699" s="22"/>
      <c r="S1699" s="22"/>
      <c r="Z1699" s="53"/>
      <c r="AA1699"/>
      <c r="AH1699" t="str">
        <f t="shared" si="252"/>
        <v>k yet</v>
      </c>
    </row>
    <row r="1700" spans="1:39">
      <c r="A1700" s="42" t="s">
        <v>264</v>
      </c>
      <c r="B1700" s="1" t="s">
        <v>20</v>
      </c>
      <c r="C1700" s="40" t="str">
        <f t="shared" si="249"/>
        <v>19-&gt;</v>
      </c>
      <c r="D1700" s="40" t="str">
        <f t="shared" si="250"/>
        <v xml:space="preserve">No pick yet                                                 </v>
      </c>
      <c r="E1700" s="52">
        <f t="shared" si="251"/>
        <v>0</v>
      </c>
      <c r="F1700" s="18"/>
      <c r="M1700" s="18"/>
      <c r="N1700" s="18"/>
      <c r="O1700" s="18"/>
      <c r="P1700" s="18"/>
      <c r="Q1700" s="22"/>
      <c r="R1700" s="21"/>
      <c r="S1700" s="21"/>
      <c r="T1700" s="21"/>
      <c r="AA1700"/>
      <c r="AH1700" t="str">
        <f t="shared" si="252"/>
        <v>k yet</v>
      </c>
    </row>
    <row r="1701" spans="1:39">
      <c r="A1701" s="42" t="s">
        <v>265</v>
      </c>
      <c r="B1701" s="1" t="s">
        <v>20</v>
      </c>
      <c r="C1701" s="40" t="str">
        <f t="shared" si="249"/>
        <v>20-&gt;</v>
      </c>
      <c r="D1701" s="40" t="str">
        <f t="shared" si="250"/>
        <v xml:space="preserve">No pick yet                                                 </v>
      </c>
      <c r="E1701" s="52">
        <f t="shared" si="251"/>
        <v>0</v>
      </c>
      <c r="F1701" s="18"/>
      <c r="M1701" s="18"/>
      <c r="N1701" s="18"/>
      <c r="O1701" s="18"/>
      <c r="P1701" s="18"/>
      <c r="Q1701" s="22"/>
      <c r="R1701" s="21"/>
      <c r="S1701" s="21"/>
      <c r="T1701" s="21"/>
      <c r="AA1701"/>
      <c r="AH1701" t="str">
        <f t="shared" si="252"/>
        <v>k yet</v>
      </c>
    </row>
    <row r="1702" spans="1:39">
      <c r="A1702" s="42" t="s">
        <v>266</v>
      </c>
      <c r="B1702" s="1" t="s">
        <v>20</v>
      </c>
      <c r="C1702" s="40" t="str">
        <f t="shared" si="249"/>
        <v>21-&gt;</v>
      </c>
      <c r="D1702" s="40" t="str">
        <f t="shared" si="250"/>
        <v xml:space="preserve">No pick yet                                                 </v>
      </c>
      <c r="E1702" s="52">
        <f t="shared" si="251"/>
        <v>0</v>
      </c>
      <c r="F1702" s="18"/>
      <c r="M1702" s="18"/>
      <c r="N1702" s="18"/>
      <c r="O1702" s="18"/>
      <c r="P1702" s="18"/>
      <c r="Q1702" s="22"/>
      <c r="R1702" s="21"/>
      <c r="S1702" s="21"/>
      <c r="T1702" s="21"/>
      <c r="AA1702"/>
      <c r="AH1702" t="str">
        <f t="shared" si="252"/>
        <v>k yet</v>
      </c>
    </row>
    <row r="1703" spans="1:39">
      <c r="A1703" s="42" t="s">
        <v>267</v>
      </c>
      <c r="B1703" s="1" t="s">
        <v>20</v>
      </c>
      <c r="C1703" s="40" t="str">
        <f t="shared" si="249"/>
        <v>22-&gt;</v>
      </c>
      <c r="D1703" s="40" t="str">
        <f t="shared" si="250"/>
        <v xml:space="preserve">No pick yet                                                 </v>
      </c>
      <c r="E1703" s="52">
        <f t="shared" si="251"/>
        <v>0</v>
      </c>
      <c r="F1703" s="18"/>
      <c r="M1703" s="18"/>
      <c r="N1703" s="18"/>
      <c r="O1703" s="18"/>
      <c r="P1703" s="18"/>
      <c r="Q1703" s="22"/>
      <c r="R1703" s="21"/>
      <c r="S1703" s="21"/>
      <c r="T1703" s="21"/>
      <c r="AA1703"/>
      <c r="AH1703" t="str">
        <f t="shared" si="252"/>
        <v>k yet</v>
      </c>
    </row>
    <row r="1704" spans="1:39">
      <c r="A1704" s="42" t="s">
        <v>268</v>
      </c>
      <c r="B1704" s="1" t="s">
        <v>20</v>
      </c>
      <c r="C1704" s="40" t="str">
        <f t="shared" si="249"/>
        <v>23-&gt;</v>
      </c>
      <c r="D1704" s="40" t="str">
        <f t="shared" si="250"/>
        <v xml:space="preserve">No pick yet                                                 </v>
      </c>
      <c r="E1704" s="52">
        <f t="shared" si="251"/>
        <v>0</v>
      </c>
      <c r="F1704" s="18"/>
      <c r="M1704" s="18"/>
      <c r="N1704" s="18"/>
      <c r="O1704" s="18"/>
      <c r="P1704" s="18"/>
      <c r="Q1704" s="22"/>
      <c r="R1704" s="21"/>
      <c r="S1704" s="21"/>
      <c r="T1704" s="21"/>
      <c r="AA1704"/>
      <c r="AH1704" t="str">
        <f t="shared" si="252"/>
        <v>k yet</v>
      </c>
    </row>
    <row r="1705" spans="1:39">
      <c r="A1705" s="42" t="s">
        <v>269</v>
      </c>
      <c r="B1705" s="1" t="s">
        <v>20</v>
      </c>
      <c r="C1705" s="40" t="str">
        <f t="shared" si="249"/>
        <v>24-&gt;</v>
      </c>
      <c r="D1705" s="40" t="str">
        <f t="shared" si="250"/>
        <v xml:space="preserve">No pick yet                                                 </v>
      </c>
      <c r="E1705" s="52">
        <f t="shared" si="251"/>
        <v>0</v>
      </c>
      <c r="F1705" s="18"/>
      <c r="M1705" s="18"/>
      <c r="N1705" s="18"/>
      <c r="O1705" s="18"/>
      <c r="P1705" s="18"/>
      <c r="Q1705" s="22"/>
      <c r="R1705" s="21"/>
      <c r="S1705" s="21"/>
      <c r="T1705" s="21"/>
      <c r="AA1705"/>
      <c r="AH1705" t="str">
        <f t="shared" si="252"/>
        <v>k yet</v>
      </c>
    </row>
    <row r="1706" spans="1:39">
      <c r="A1706" s="42" t="s">
        <v>270</v>
      </c>
      <c r="B1706" s="1" t="s">
        <v>20</v>
      </c>
      <c r="C1706" s="40" t="str">
        <f t="shared" si="249"/>
        <v>25-&gt;</v>
      </c>
      <c r="D1706" s="40" t="str">
        <f t="shared" si="250"/>
        <v xml:space="preserve">No pick yet                                                 </v>
      </c>
      <c r="E1706" s="52">
        <f t="shared" si="251"/>
        <v>0</v>
      </c>
      <c r="F1706" s="18"/>
      <c r="M1706" s="18"/>
      <c r="N1706" s="18"/>
      <c r="O1706" s="18"/>
      <c r="P1706" s="18"/>
      <c r="Q1706" s="22"/>
      <c r="R1706" s="21"/>
      <c r="S1706" s="21"/>
      <c r="T1706" s="21"/>
      <c r="AA1706"/>
      <c r="AH1706" t="str">
        <f t="shared" si="252"/>
        <v>k yet</v>
      </c>
    </row>
    <row r="1707" spans="1:39">
      <c r="A1707" s="42" t="s">
        <v>271</v>
      </c>
      <c r="B1707" s="1" t="s">
        <v>20</v>
      </c>
      <c r="C1707" s="40" t="str">
        <f t="shared" si="249"/>
        <v>26-&gt;</v>
      </c>
      <c r="D1707" s="40" t="str">
        <f t="shared" si="250"/>
        <v xml:space="preserve">No pick yet                                                 </v>
      </c>
      <c r="E1707" s="52">
        <f t="shared" si="251"/>
        <v>0</v>
      </c>
      <c r="F1707" s="18"/>
      <c r="M1707" s="18"/>
      <c r="N1707" s="18"/>
      <c r="O1707" s="18"/>
      <c r="P1707" s="18"/>
      <c r="Q1707" s="22"/>
      <c r="R1707" s="21"/>
      <c r="S1707" s="21"/>
      <c r="T1707" s="21"/>
      <c r="AA1707"/>
      <c r="AH1707" t="str">
        <f t="shared" si="252"/>
        <v>k yet</v>
      </c>
    </row>
    <row r="1708" spans="1:39">
      <c r="A1708" s="38"/>
      <c r="B1708" s="40"/>
      <c r="C1708" s="40"/>
      <c r="D1708" s="49"/>
      <c r="E1708" s="41" t="s">
        <v>69</v>
      </c>
      <c r="F1708" s="18"/>
      <c r="K1708" s="22" t="s">
        <v>73</v>
      </c>
      <c r="L1708" s="18" t="s">
        <v>74</v>
      </c>
      <c r="M1708" s="22" t="s">
        <v>78</v>
      </c>
      <c r="N1708" s="22" t="s">
        <v>79</v>
      </c>
      <c r="O1708" s="22" t="s">
        <v>80</v>
      </c>
      <c r="P1708" s="22" t="s">
        <v>81</v>
      </c>
      <c r="Q1708" s="22" t="s">
        <v>82</v>
      </c>
      <c r="R1708" s="22" t="s">
        <v>83</v>
      </c>
      <c r="S1708" s="22" t="s">
        <v>84</v>
      </c>
      <c r="T1708" s="18" t="s">
        <v>85</v>
      </c>
      <c r="U1708" s="18" t="s">
        <v>86</v>
      </c>
      <c r="V1708" s="18" t="s">
        <v>87</v>
      </c>
      <c r="W1708" s="18" t="s">
        <v>88</v>
      </c>
      <c r="X1708" s="18" t="s">
        <v>89</v>
      </c>
      <c r="Y1708" s="18" t="s">
        <v>90</v>
      </c>
      <c r="Z1708" s="18" t="s">
        <v>91</v>
      </c>
      <c r="AA1708" s="18" t="s">
        <v>92</v>
      </c>
      <c r="AB1708" s="18" t="s">
        <v>93</v>
      </c>
      <c r="AC1708" s="18" t="s">
        <v>94</v>
      </c>
      <c r="AD1708" s="18" t="s">
        <v>235</v>
      </c>
      <c r="AE1708" s="18" t="s">
        <v>236</v>
      </c>
      <c r="AF1708" s="18" t="s">
        <v>237</v>
      </c>
      <c r="AG1708" s="18" t="s">
        <v>238</v>
      </c>
      <c r="AH1708" s="18" t="s">
        <v>239</v>
      </c>
      <c r="AI1708" s="18" t="s">
        <v>240</v>
      </c>
      <c r="AJ1708" s="18" t="s">
        <v>241</v>
      </c>
      <c r="AK1708" s="18" t="s">
        <v>242</v>
      </c>
      <c r="AL1708" s="18" t="s">
        <v>243</v>
      </c>
      <c r="AM1708" s="50" t="s">
        <v>244</v>
      </c>
    </row>
    <row r="1709" spans="1:39">
      <c r="A1709" s="40" t="s">
        <v>245</v>
      </c>
      <c r="B1709" s="51" t="str">
        <f>D60</f>
        <v/>
      </c>
      <c r="C1709" s="40" t="str">
        <f t="shared" ref="C1709:C1735" si="253">A1709</f>
        <v>#</v>
      </c>
      <c r="D1709" s="40" t="str">
        <f>"   "&amp;B1709&amp;REPT(" ",$AH$70-LEN(B1709)-3)</f>
        <v xml:space="preserve">                                                            </v>
      </c>
      <c r="E1709" s="38" t="str">
        <f>SUM(E1710:E1735)&amp;" pts[/b]"</f>
        <v>0 pts[/b]</v>
      </c>
      <c r="F1709" s="21">
        <f>SUM(E1710:E1735)</f>
        <v>0</v>
      </c>
      <c r="K1709" s="18">
        <f>COUNTIF(E1710:E1735,"&gt;0")</f>
        <v>0</v>
      </c>
      <c r="L1709" s="21">
        <f>AM1709-K1709</f>
        <v>0</v>
      </c>
      <c r="M1709" s="22">
        <f>MAX(E1710:E1735)</f>
        <v>0</v>
      </c>
      <c r="N1709" s="22">
        <f>LARGE(E1710:E1735,2)</f>
        <v>0</v>
      </c>
      <c r="O1709" s="22">
        <f>LARGE(E1710:E1735,3)</f>
        <v>0</v>
      </c>
      <c r="P1709" s="18">
        <f>LARGE(E1710:E1735,4)</f>
        <v>0</v>
      </c>
      <c r="Q1709" s="22">
        <f>LARGE(E1710:E1735,5)</f>
        <v>0</v>
      </c>
      <c r="R1709" s="22">
        <f>LARGE(E1710:E1735,6)</f>
        <v>0</v>
      </c>
      <c r="S1709" s="22">
        <f>LARGE(E1710:E1735,7)</f>
        <v>0</v>
      </c>
      <c r="T1709" s="18">
        <f>LARGE(E1710:E1735,8)</f>
        <v>0</v>
      </c>
      <c r="U1709" s="18">
        <f>LARGE(E1710:E1735,9)</f>
        <v>0</v>
      </c>
      <c r="V1709" s="18">
        <f>LARGE(E1710:E1735,10)</f>
        <v>0</v>
      </c>
      <c r="W1709" s="18">
        <f>LARGE(E1710:E1735,11)</f>
        <v>0</v>
      </c>
      <c r="X1709" s="18">
        <f>LARGE(E1710:E1735,12)</f>
        <v>0</v>
      </c>
      <c r="Y1709" s="18">
        <f>LARGE(E1710:E1735,13)</f>
        <v>0</v>
      </c>
      <c r="Z1709" s="18">
        <f>LARGE(E1710:E1735,14)</f>
        <v>0</v>
      </c>
      <c r="AA1709" s="18">
        <f>LARGE(E1710:E1735,15)</f>
        <v>0</v>
      </c>
      <c r="AB1709" s="18">
        <f>LARGE(E1710:E1735,16)</f>
        <v>0</v>
      </c>
      <c r="AC1709" s="18">
        <f>LARGE(E1710:E1735,17)</f>
        <v>0</v>
      </c>
      <c r="AD1709" s="18">
        <f>LARGE(E1710:E1736,13)</f>
        <v>0</v>
      </c>
      <c r="AE1709" s="18">
        <f>LARGE(E1710:E1735,19)</f>
        <v>0</v>
      </c>
      <c r="AF1709" s="18">
        <f>LARGE(E1710:E1735,20)</f>
        <v>0</v>
      </c>
      <c r="AG1709" s="18">
        <f>LARGE(E1710:E1735,21)</f>
        <v>0</v>
      </c>
      <c r="AH1709" s="18">
        <f>LARGE(E1710:E1735,22)</f>
        <v>0</v>
      </c>
      <c r="AI1709" s="18">
        <f>LARGE(E1710:E1735,23)</f>
        <v>0</v>
      </c>
      <c r="AJ1709" s="18">
        <f>LARGE(E1710:E1735,24)</f>
        <v>0</v>
      </c>
      <c r="AK1709" s="18">
        <f>LARGE(E1710:E1735,25)</f>
        <v>0</v>
      </c>
      <c r="AL1709" s="18">
        <f>LARGE(E1710:E1735,26)</f>
        <v>0</v>
      </c>
      <c r="AM1709" s="50">
        <f>COUNTIF(AH1710:AH1735,"&lt;&gt;"&amp;$AH$76)-(26-COUNTIF(E1710:E1735,"&gt;=0"))</f>
        <v>0</v>
      </c>
    </row>
    <row r="1710" spans="1:39">
      <c r="A1710" s="42" t="s">
        <v>246</v>
      </c>
      <c r="B1710" s="1" t="s">
        <v>20</v>
      </c>
      <c r="C1710" s="40" t="str">
        <f t="shared" si="253"/>
        <v>01-&gt;</v>
      </c>
      <c r="D1710" s="40" t="str">
        <f t="shared" ref="D1710:D1735" si="254">B1710&amp;REPT(" ",$AH$70-LEN(B1710))</f>
        <v xml:space="preserve">No pick yet                                                 </v>
      </c>
      <c r="E1710" s="52">
        <f t="shared" ref="E1710:E1735" si="255">VLOOKUP(RIGHT(B1710,LEN(B1710)-$AH$66),$H$138:$I$420,2,0)</f>
        <v>0</v>
      </c>
      <c r="F1710" s="18"/>
      <c r="M1710" s="18"/>
      <c r="N1710" s="18"/>
      <c r="O1710" s="18"/>
      <c r="P1710" s="18"/>
      <c r="Q1710" s="22"/>
      <c r="R1710" s="21"/>
      <c r="S1710" s="21"/>
      <c r="T1710" s="21"/>
      <c r="AA1710"/>
      <c r="AH1710" t="str">
        <f t="shared" ref="AH1710:AH1735" si="256">RIGHT(B1710,LEN(B1710)-$AH$66)</f>
        <v>k yet</v>
      </c>
    </row>
    <row r="1711" spans="1:39">
      <c r="A1711" s="42" t="s">
        <v>247</v>
      </c>
      <c r="B1711" s="1" t="s">
        <v>20</v>
      </c>
      <c r="C1711" s="40" t="str">
        <f t="shared" si="253"/>
        <v>02-&gt;</v>
      </c>
      <c r="D1711" s="40" t="str">
        <f t="shared" si="254"/>
        <v xml:space="preserve">No pick yet                                                 </v>
      </c>
      <c r="E1711" s="52">
        <f t="shared" si="255"/>
        <v>0</v>
      </c>
      <c r="F1711" s="18"/>
      <c r="K1711" s="22"/>
      <c r="N1711" s="22"/>
      <c r="O1711" s="22"/>
      <c r="P1711" s="22"/>
      <c r="Q1711" s="22"/>
      <c r="R1711" s="22"/>
      <c r="S1711" s="22"/>
      <c r="Z1711" s="53"/>
      <c r="AA1711"/>
      <c r="AH1711" t="str">
        <f t="shared" si="256"/>
        <v>k yet</v>
      </c>
    </row>
    <row r="1712" spans="1:39">
      <c r="A1712" s="42" t="s">
        <v>248</v>
      </c>
      <c r="B1712" s="1" t="s">
        <v>20</v>
      </c>
      <c r="C1712" s="40" t="str">
        <f t="shared" si="253"/>
        <v>03-&gt;</v>
      </c>
      <c r="D1712" s="40" t="str">
        <f t="shared" si="254"/>
        <v xml:space="preserve">No pick yet                                                 </v>
      </c>
      <c r="E1712" s="52">
        <f t="shared" si="255"/>
        <v>0</v>
      </c>
      <c r="F1712" s="18"/>
      <c r="L1712" s="21"/>
      <c r="N1712" s="22"/>
      <c r="O1712" s="22"/>
      <c r="P1712" s="18"/>
      <c r="Q1712" s="22"/>
      <c r="R1712" s="22"/>
      <c r="S1712" s="22"/>
      <c r="Z1712" s="53"/>
      <c r="AA1712"/>
      <c r="AH1712" t="str">
        <f t="shared" si="256"/>
        <v>k yet</v>
      </c>
    </row>
    <row r="1713" spans="1:34">
      <c r="A1713" s="42" t="s">
        <v>249</v>
      </c>
      <c r="B1713" s="1" t="s">
        <v>20</v>
      </c>
      <c r="C1713" s="40" t="str">
        <f t="shared" si="253"/>
        <v>04-&gt;</v>
      </c>
      <c r="D1713" s="40" t="str">
        <f t="shared" si="254"/>
        <v xml:space="preserve">No pick yet                                                 </v>
      </c>
      <c r="E1713" s="52">
        <f t="shared" si="255"/>
        <v>0</v>
      </c>
      <c r="F1713" s="18"/>
      <c r="M1713" s="18"/>
      <c r="N1713" s="18"/>
      <c r="O1713" s="18"/>
      <c r="P1713" s="18"/>
      <c r="Q1713" s="22"/>
      <c r="R1713" s="21"/>
      <c r="S1713" s="21"/>
      <c r="T1713" s="21"/>
      <c r="AA1713"/>
      <c r="AH1713" t="str">
        <f t="shared" si="256"/>
        <v>k yet</v>
      </c>
    </row>
    <row r="1714" spans="1:34">
      <c r="A1714" s="42" t="s">
        <v>250</v>
      </c>
      <c r="B1714" s="1" t="s">
        <v>20</v>
      </c>
      <c r="C1714" s="40" t="str">
        <f t="shared" si="253"/>
        <v>05-&gt;</v>
      </c>
      <c r="D1714" s="40" t="str">
        <f t="shared" si="254"/>
        <v xml:space="preserve">No pick yet                                                 </v>
      </c>
      <c r="E1714" s="52">
        <f t="shared" si="255"/>
        <v>0</v>
      </c>
      <c r="F1714" s="18"/>
      <c r="M1714" s="18"/>
      <c r="N1714" s="18"/>
      <c r="O1714" s="18"/>
      <c r="P1714" s="18"/>
      <c r="Q1714" s="22"/>
      <c r="R1714" s="21"/>
      <c r="S1714" s="21"/>
      <c r="T1714" s="21"/>
      <c r="AA1714"/>
      <c r="AH1714" t="str">
        <f t="shared" si="256"/>
        <v>k yet</v>
      </c>
    </row>
    <row r="1715" spans="1:34">
      <c r="A1715" s="42" t="s">
        <v>251</v>
      </c>
      <c r="B1715" s="1" t="s">
        <v>20</v>
      </c>
      <c r="C1715" s="40" t="str">
        <f t="shared" si="253"/>
        <v>06-&gt;</v>
      </c>
      <c r="D1715" s="40" t="str">
        <f t="shared" si="254"/>
        <v xml:space="preserve">No pick yet                                                 </v>
      </c>
      <c r="E1715" s="52">
        <f t="shared" si="255"/>
        <v>0</v>
      </c>
      <c r="F1715" s="18"/>
      <c r="M1715" s="18"/>
      <c r="N1715" s="18"/>
      <c r="O1715" s="18"/>
      <c r="P1715" s="18"/>
      <c r="Q1715" s="22"/>
      <c r="R1715" s="21"/>
      <c r="S1715" s="21"/>
      <c r="T1715" s="21"/>
      <c r="AA1715"/>
      <c r="AH1715" t="str">
        <f t="shared" si="256"/>
        <v>k yet</v>
      </c>
    </row>
    <row r="1716" spans="1:34">
      <c r="A1716" s="42" t="s">
        <v>252</v>
      </c>
      <c r="B1716" s="1" t="s">
        <v>20</v>
      </c>
      <c r="C1716" s="40" t="str">
        <f t="shared" si="253"/>
        <v>07-&gt;</v>
      </c>
      <c r="D1716" s="40" t="str">
        <f t="shared" si="254"/>
        <v xml:space="preserve">No pick yet                                                 </v>
      </c>
      <c r="E1716" s="52">
        <f t="shared" si="255"/>
        <v>0</v>
      </c>
      <c r="F1716" s="18"/>
      <c r="M1716" s="18"/>
      <c r="N1716" s="18"/>
      <c r="O1716" s="18"/>
      <c r="P1716" s="18"/>
      <c r="Q1716" s="22"/>
      <c r="R1716" s="21"/>
      <c r="S1716" s="21"/>
      <c r="T1716" s="21"/>
      <c r="AA1716"/>
      <c r="AH1716" t="str">
        <f t="shared" si="256"/>
        <v>k yet</v>
      </c>
    </row>
    <row r="1717" spans="1:34">
      <c r="A1717" s="42" t="s">
        <v>253</v>
      </c>
      <c r="B1717" s="1" t="s">
        <v>20</v>
      </c>
      <c r="C1717" s="40" t="str">
        <f t="shared" si="253"/>
        <v>08-&gt;</v>
      </c>
      <c r="D1717" s="40" t="str">
        <f t="shared" si="254"/>
        <v xml:space="preserve">No pick yet                                                 </v>
      </c>
      <c r="E1717" s="52">
        <f t="shared" si="255"/>
        <v>0</v>
      </c>
      <c r="F1717" s="18"/>
      <c r="M1717" s="18"/>
      <c r="N1717" s="18"/>
      <c r="O1717" s="18"/>
      <c r="P1717" s="18"/>
      <c r="Q1717" s="22"/>
      <c r="R1717" s="21"/>
      <c r="S1717" s="21"/>
      <c r="T1717" s="21"/>
      <c r="AA1717"/>
      <c r="AH1717" t="str">
        <f t="shared" si="256"/>
        <v>k yet</v>
      </c>
    </row>
    <row r="1718" spans="1:34">
      <c r="A1718" s="42" t="s">
        <v>254</v>
      </c>
      <c r="B1718" s="1" t="s">
        <v>20</v>
      </c>
      <c r="C1718" s="40" t="str">
        <f t="shared" si="253"/>
        <v>09-&gt;</v>
      </c>
      <c r="D1718" s="40" t="str">
        <f t="shared" si="254"/>
        <v xml:space="preserve">No pick yet                                                 </v>
      </c>
      <c r="E1718" s="52">
        <f t="shared" si="255"/>
        <v>0</v>
      </c>
      <c r="F1718" s="18"/>
      <c r="M1718" s="18"/>
      <c r="N1718" s="18"/>
      <c r="O1718" s="18"/>
      <c r="P1718" s="18"/>
      <c r="Q1718" s="22"/>
      <c r="R1718" s="21"/>
      <c r="S1718" s="21"/>
      <c r="T1718" s="21"/>
      <c r="AA1718"/>
      <c r="AH1718" t="str">
        <f t="shared" si="256"/>
        <v>k yet</v>
      </c>
    </row>
    <row r="1719" spans="1:34">
      <c r="A1719" s="42" t="s">
        <v>255</v>
      </c>
      <c r="B1719" s="1" t="s">
        <v>20</v>
      </c>
      <c r="C1719" s="40" t="str">
        <f t="shared" si="253"/>
        <v>10-&gt;</v>
      </c>
      <c r="D1719" s="40" t="str">
        <f t="shared" si="254"/>
        <v xml:space="preserve">No pick yet                                                 </v>
      </c>
      <c r="E1719" s="52">
        <f t="shared" si="255"/>
        <v>0</v>
      </c>
      <c r="F1719" s="22"/>
      <c r="M1719" s="18"/>
      <c r="N1719" s="18"/>
      <c r="O1719" s="18"/>
      <c r="P1719" s="18"/>
      <c r="Q1719" s="22"/>
      <c r="R1719" s="21"/>
      <c r="S1719" s="21"/>
      <c r="T1719" s="21"/>
      <c r="AA1719"/>
      <c r="AH1719" t="str">
        <f t="shared" si="256"/>
        <v>k yet</v>
      </c>
    </row>
    <row r="1720" spans="1:34">
      <c r="A1720" s="42" t="s">
        <v>256</v>
      </c>
      <c r="B1720" s="1" t="s">
        <v>20</v>
      </c>
      <c r="C1720" s="40" t="str">
        <f t="shared" si="253"/>
        <v>11-&gt;</v>
      </c>
      <c r="D1720" s="40" t="str">
        <f t="shared" si="254"/>
        <v xml:space="preserve">No pick yet                                                 </v>
      </c>
      <c r="E1720" s="52">
        <f t="shared" si="255"/>
        <v>0</v>
      </c>
      <c r="M1720" s="18"/>
      <c r="N1720" s="18"/>
      <c r="O1720" s="18"/>
      <c r="P1720" s="18"/>
      <c r="Q1720" s="22"/>
      <c r="R1720" s="21"/>
      <c r="S1720" s="21"/>
      <c r="T1720" s="21"/>
      <c r="AA1720"/>
      <c r="AH1720" t="str">
        <f t="shared" si="256"/>
        <v>k yet</v>
      </c>
    </row>
    <row r="1721" spans="1:34">
      <c r="A1721" s="42" t="s">
        <v>257</v>
      </c>
      <c r="B1721" s="1" t="s">
        <v>20</v>
      </c>
      <c r="C1721" s="40" t="str">
        <f t="shared" si="253"/>
        <v>12-&gt;</v>
      </c>
      <c r="D1721" s="40" t="str">
        <f t="shared" si="254"/>
        <v xml:space="preserve">No pick yet                                                 </v>
      </c>
      <c r="E1721" s="52">
        <f t="shared" si="255"/>
        <v>0</v>
      </c>
      <c r="M1721" s="18"/>
      <c r="N1721" s="18"/>
      <c r="O1721" s="18"/>
      <c r="P1721" s="18"/>
      <c r="Q1721" s="22"/>
      <c r="R1721" s="21"/>
      <c r="S1721" s="21"/>
      <c r="T1721" s="21"/>
      <c r="AA1721"/>
      <c r="AH1721" t="str">
        <f t="shared" si="256"/>
        <v>k yet</v>
      </c>
    </row>
    <row r="1722" spans="1:34">
      <c r="A1722" s="42" t="s">
        <v>258</v>
      </c>
      <c r="B1722" s="1" t="s">
        <v>20</v>
      </c>
      <c r="C1722" s="40" t="str">
        <f t="shared" si="253"/>
        <v>13-&gt;</v>
      </c>
      <c r="D1722" s="40" t="str">
        <f t="shared" si="254"/>
        <v xml:space="preserve">No pick yet                                                 </v>
      </c>
      <c r="E1722" s="52">
        <f t="shared" si="255"/>
        <v>0</v>
      </c>
      <c r="M1722" s="18"/>
      <c r="N1722" s="18"/>
      <c r="O1722" s="18"/>
      <c r="P1722" s="18"/>
      <c r="Q1722" s="22"/>
      <c r="R1722" s="21"/>
      <c r="S1722" s="21"/>
      <c r="T1722" s="21"/>
      <c r="AA1722"/>
      <c r="AH1722" t="str">
        <f t="shared" si="256"/>
        <v>k yet</v>
      </c>
    </row>
    <row r="1723" spans="1:34">
      <c r="A1723" s="42" t="s">
        <v>259</v>
      </c>
      <c r="B1723" s="1" t="s">
        <v>20</v>
      </c>
      <c r="C1723" s="40" t="str">
        <f t="shared" si="253"/>
        <v>14-&gt;</v>
      </c>
      <c r="D1723" s="40" t="str">
        <f t="shared" si="254"/>
        <v xml:space="preserve">No pick yet                                                 </v>
      </c>
      <c r="E1723" s="52">
        <f t="shared" si="255"/>
        <v>0</v>
      </c>
      <c r="M1723" s="18"/>
      <c r="N1723" s="18"/>
      <c r="O1723" s="18"/>
      <c r="P1723" s="18"/>
      <c r="Q1723" s="22"/>
      <c r="R1723" s="21"/>
      <c r="S1723" s="21"/>
      <c r="T1723" s="21"/>
      <c r="AA1723"/>
      <c r="AH1723" t="str">
        <f t="shared" si="256"/>
        <v>k yet</v>
      </c>
    </row>
    <row r="1724" spans="1:34">
      <c r="A1724" s="42" t="s">
        <v>260</v>
      </c>
      <c r="B1724" s="1" t="s">
        <v>20</v>
      </c>
      <c r="C1724" s="40" t="str">
        <f t="shared" si="253"/>
        <v>15-&gt;</v>
      </c>
      <c r="D1724" s="40" t="str">
        <f t="shared" si="254"/>
        <v xml:space="preserve">No pick yet                                                 </v>
      </c>
      <c r="E1724" s="52">
        <f t="shared" si="255"/>
        <v>0</v>
      </c>
      <c r="M1724" s="18"/>
      <c r="N1724" s="18"/>
      <c r="O1724" s="18"/>
      <c r="P1724" s="18"/>
      <c r="Q1724" s="22"/>
      <c r="R1724" s="21"/>
      <c r="S1724" s="21"/>
      <c r="T1724" s="21"/>
      <c r="AA1724"/>
      <c r="AH1724" t="str">
        <f t="shared" si="256"/>
        <v>k yet</v>
      </c>
    </row>
    <row r="1725" spans="1:34">
      <c r="A1725" s="42" t="s">
        <v>261</v>
      </c>
      <c r="B1725" s="1" t="s">
        <v>20</v>
      </c>
      <c r="C1725" s="40" t="str">
        <f t="shared" si="253"/>
        <v>16-&gt;</v>
      </c>
      <c r="D1725" s="40" t="str">
        <f t="shared" si="254"/>
        <v xml:space="preserve">No pick yet                                                 </v>
      </c>
      <c r="E1725" s="52">
        <f t="shared" si="255"/>
        <v>0</v>
      </c>
      <c r="M1725" s="18"/>
      <c r="N1725" s="18"/>
      <c r="O1725" s="18"/>
      <c r="P1725" s="18"/>
      <c r="Q1725" s="22"/>
      <c r="R1725" s="21"/>
      <c r="S1725" s="21"/>
      <c r="T1725" s="21"/>
      <c r="AA1725"/>
      <c r="AH1725" t="str">
        <f t="shared" si="256"/>
        <v>k yet</v>
      </c>
    </row>
    <row r="1726" spans="1:34">
      <c r="A1726" s="42" t="s">
        <v>262</v>
      </c>
      <c r="B1726" s="1" t="s">
        <v>20</v>
      </c>
      <c r="C1726" s="40" t="str">
        <f t="shared" si="253"/>
        <v>17-&gt;</v>
      </c>
      <c r="D1726" s="40" t="str">
        <f t="shared" si="254"/>
        <v xml:space="preserve">No pick yet                                                 </v>
      </c>
      <c r="E1726" s="52">
        <f t="shared" si="255"/>
        <v>0</v>
      </c>
      <c r="K1726" s="22"/>
      <c r="N1726" s="22"/>
      <c r="O1726" s="22"/>
      <c r="P1726" s="22"/>
      <c r="Q1726" s="22"/>
      <c r="R1726" s="22"/>
      <c r="S1726" s="22"/>
      <c r="Z1726" s="53"/>
      <c r="AA1726"/>
      <c r="AH1726" t="str">
        <f t="shared" si="256"/>
        <v>k yet</v>
      </c>
    </row>
    <row r="1727" spans="1:34">
      <c r="A1727" s="42" t="s">
        <v>263</v>
      </c>
      <c r="B1727" s="1" t="s">
        <v>20</v>
      </c>
      <c r="C1727" s="40" t="str">
        <f t="shared" si="253"/>
        <v>18-&gt;</v>
      </c>
      <c r="D1727" s="40" t="str">
        <f t="shared" si="254"/>
        <v xml:space="preserve">No pick yet                                                 </v>
      </c>
      <c r="E1727" s="52">
        <f t="shared" si="255"/>
        <v>0</v>
      </c>
      <c r="F1727" s="18"/>
      <c r="L1727" s="21"/>
      <c r="N1727" s="22"/>
      <c r="O1727" s="22"/>
      <c r="P1727" s="18"/>
      <c r="Q1727" s="22"/>
      <c r="R1727" s="22"/>
      <c r="S1727" s="22"/>
      <c r="Z1727" s="53"/>
      <c r="AA1727"/>
      <c r="AH1727" t="str">
        <f t="shared" si="256"/>
        <v>k yet</v>
      </c>
    </row>
    <row r="1728" spans="1:34">
      <c r="A1728" s="42" t="s">
        <v>264</v>
      </c>
      <c r="B1728" s="1" t="s">
        <v>20</v>
      </c>
      <c r="C1728" s="40" t="str">
        <f t="shared" si="253"/>
        <v>19-&gt;</v>
      </c>
      <c r="D1728" s="40" t="str">
        <f t="shared" si="254"/>
        <v xml:space="preserve">No pick yet                                                 </v>
      </c>
      <c r="E1728" s="52">
        <f t="shared" si="255"/>
        <v>0</v>
      </c>
      <c r="F1728" s="18"/>
      <c r="M1728" s="18"/>
      <c r="N1728" s="18"/>
      <c r="O1728" s="18"/>
      <c r="P1728" s="18"/>
      <c r="Q1728" s="22"/>
      <c r="R1728" s="21"/>
      <c r="S1728" s="21"/>
      <c r="T1728" s="21"/>
      <c r="AA1728"/>
      <c r="AH1728" t="str">
        <f t="shared" si="256"/>
        <v>k yet</v>
      </c>
    </row>
    <row r="1729" spans="1:39">
      <c r="A1729" s="42" t="s">
        <v>265</v>
      </c>
      <c r="B1729" s="1" t="s">
        <v>20</v>
      </c>
      <c r="C1729" s="40" t="str">
        <f t="shared" si="253"/>
        <v>20-&gt;</v>
      </c>
      <c r="D1729" s="40" t="str">
        <f t="shared" si="254"/>
        <v xml:space="preserve">No pick yet                                                 </v>
      </c>
      <c r="E1729" s="52">
        <f t="shared" si="255"/>
        <v>0</v>
      </c>
      <c r="F1729" s="18"/>
      <c r="M1729" s="18"/>
      <c r="N1729" s="18"/>
      <c r="O1729" s="18"/>
      <c r="P1729" s="18"/>
      <c r="Q1729" s="22"/>
      <c r="R1729" s="21"/>
      <c r="S1729" s="21"/>
      <c r="T1729" s="21"/>
      <c r="AA1729"/>
      <c r="AH1729" t="str">
        <f t="shared" si="256"/>
        <v>k yet</v>
      </c>
    </row>
    <row r="1730" spans="1:39">
      <c r="A1730" s="42" t="s">
        <v>266</v>
      </c>
      <c r="B1730" s="1" t="s">
        <v>20</v>
      </c>
      <c r="C1730" s="40" t="str">
        <f t="shared" si="253"/>
        <v>21-&gt;</v>
      </c>
      <c r="D1730" s="40" t="str">
        <f t="shared" si="254"/>
        <v xml:space="preserve">No pick yet                                                 </v>
      </c>
      <c r="E1730" s="52">
        <f t="shared" si="255"/>
        <v>0</v>
      </c>
      <c r="F1730" s="18"/>
      <c r="M1730" s="18"/>
      <c r="N1730" s="18"/>
      <c r="O1730" s="18"/>
      <c r="P1730" s="18"/>
      <c r="Q1730" s="22"/>
      <c r="R1730" s="21"/>
      <c r="S1730" s="21"/>
      <c r="T1730" s="21"/>
      <c r="AA1730"/>
      <c r="AH1730" t="str">
        <f t="shared" si="256"/>
        <v>k yet</v>
      </c>
    </row>
    <row r="1731" spans="1:39">
      <c r="A1731" s="42" t="s">
        <v>267</v>
      </c>
      <c r="B1731" s="1" t="s">
        <v>20</v>
      </c>
      <c r="C1731" s="40" t="str">
        <f t="shared" si="253"/>
        <v>22-&gt;</v>
      </c>
      <c r="D1731" s="40" t="str">
        <f t="shared" si="254"/>
        <v xml:space="preserve">No pick yet                                                 </v>
      </c>
      <c r="E1731" s="52">
        <f t="shared" si="255"/>
        <v>0</v>
      </c>
      <c r="F1731" s="18"/>
      <c r="M1731" s="18"/>
      <c r="N1731" s="18"/>
      <c r="O1731" s="18"/>
      <c r="P1731" s="18"/>
      <c r="Q1731" s="22"/>
      <c r="R1731" s="21"/>
      <c r="S1731" s="21"/>
      <c r="T1731" s="21"/>
      <c r="AA1731"/>
      <c r="AH1731" t="str">
        <f t="shared" si="256"/>
        <v>k yet</v>
      </c>
    </row>
    <row r="1732" spans="1:39">
      <c r="A1732" s="42" t="s">
        <v>268</v>
      </c>
      <c r="B1732" s="1" t="s">
        <v>20</v>
      </c>
      <c r="C1732" s="40" t="str">
        <f t="shared" si="253"/>
        <v>23-&gt;</v>
      </c>
      <c r="D1732" s="40" t="str">
        <f t="shared" si="254"/>
        <v xml:space="preserve">No pick yet                                                 </v>
      </c>
      <c r="E1732" s="52">
        <f t="shared" si="255"/>
        <v>0</v>
      </c>
      <c r="F1732" s="18"/>
      <c r="M1732" s="18"/>
      <c r="N1732" s="18"/>
      <c r="O1732" s="18"/>
      <c r="P1732" s="18"/>
      <c r="Q1732" s="22"/>
      <c r="R1732" s="21"/>
      <c r="S1732" s="21"/>
      <c r="T1732" s="21"/>
      <c r="AA1732"/>
      <c r="AH1732" t="str">
        <f t="shared" si="256"/>
        <v>k yet</v>
      </c>
    </row>
    <row r="1733" spans="1:39">
      <c r="A1733" s="42" t="s">
        <v>269</v>
      </c>
      <c r="B1733" s="1" t="s">
        <v>20</v>
      </c>
      <c r="C1733" s="40" t="str">
        <f t="shared" si="253"/>
        <v>24-&gt;</v>
      </c>
      <c r="D1733" s="40" t="str">
        <f t="shared" si="254"/>
        <v xml:space="preserve">No pick yet                                                 </v>
      </c>
      <c r="E1733" s="52">
        <f t="shared" si="255"/>
        <v>0</v>
      </c>
      <c r="F1733" s="18"/>
      <c r="M1733" s="18"/>
      <c r="N1733" s="18"/>
      <c r="O1733" s="18"/>
      <c r="P1733" s="18"/>
      <c r="Q1733" s="22"/>
      <c r="R1733" s="21"/>
      <c r="S1733" s="21"/>
      <c r="T1733" s="21"/>
      <c r="AA1733"/>
      <c r="AH1733" t="str">
        <f t="shared" si="256"/>
        <v>k yet</v>
      </c>
    </row>
    <row r="1734" spans="1:39">
      <c r="A1734" s="42" t="s">
        <v>270</v>
      </c>
      <c r="B1734" s="1" t="s">
        <v>20</v>
      </c>
      <c r="C1734" s="40" t="str">
        <f t="shared" si="253"/>
        <v>25-&gt;</v>
      </c>
      <c r="D1734" s="40" t="str">
        <f t="shared" si="254"/>
        <v xml:space="preserve">No pick yet                                                 </v>
      </c>
      <c r="E1734" s="52">
        <f t="shared" si="255"/>
        <v>0</v>
      </c>
      <c r="F1734" s="18"/>
      <c r="M1734" s="18"/>
      <c r="N1734" s="18"/>
      <c r="O1734" s="18"/>
      <c r="P1734" s="18"/>
      <c r="Q1734" s="22"/>
      <c r="R1734" s="21"/>
      <c r="S1734" s="21"/>
      <c r="T1734" s="21"/>
      <c r="AA1734"/>
      <c r="AH1734" t="str">
        <f t="shared" si="256"/>
        <v>k yet</v>
      </c>
    </row>
    <row r="1735" spans="1:39">
      <c r="A1735" s="42" t="s">
        <v>271</v>
      </c>
      <c r="B1735" s="1" t="s">
        <v>20</v>
      </c>
      <c r="C1735" s="40" t="str">
        <f t="shared" si="253"/>
        <v>26-&gt;</v>
      </c>
      <c r="D1735" s="40" t="str">
        <f t="shared" si="254"/>
        <v xml:space="preserve">No pick yet                                                 </v>
      </c>
      <c r="E1735" s="52">
        <f t="shared" si="255"/>
        <v>0</v>
      </c>
      <c r="F1735" s="18"/>
      <c r="M1735" s="18"/>
      <c r="N1735" s="18"/>
      <c r="O1735" s="18"/>
      <c r="P1735" s="18"/>
      <c r="Q1735" s="22"/>
      <c r="R1735" s="21"/>
      <c r="S1735" s="21"/>
      <c r="T1735" s="21"/>
      <c r="AA1735"/>
      <c r="AH1735" t="str">
        <f t="shared" si="256"/>
        <v>k yet</v>
      </c>
    </row>
    <row r="1736" spans="1:39">
      <c r="A1736" s="38"/>
      <c r="B1736" s="40"/>
      <c r="C1736" s="40"/>
      <c r="D1736" s="49"/>
      <c r="E1736" s="41" t="s">
        <v>69</v>
      </c>
      <c r="F1736" s="18"/>
      <c r="K1736" s="22" t="s">
        <v>73</v>
      </c>
      <c r="L1736" s="18" t="s">
        <v>74</v>
      </c>
      <c r="M1736" s="22" t="s">
        <v>78</v>
      </c>
      <c r="N1736" s="22" t="s">
        <v>79</v>
      </c>
      <c r="O1736" s="22" t="s">
        <v>80</v>
      </c>
      <c r="P1736" s="22" t="s">
        <v>81</v>
      </c>
      <c r="Q1736" s="22" t="s">
        <v>82</v>
      </c>
      <c r="R1736" s="22" t="s">
        <v>83</v>
      </c>
      <c r="S1736" s="22" t="s">
        <v>84</v>
      </c>
      <c r="T1736" s="18" t="s">
        <v>85</v>
      </c>
      <c r="U1736" s="18" t="s">
        <v>86</v>
      </c>
      <c r="V1736" s="18" t="s">
        <v>87</v>
      </c>
      <c r="W1736" s="18" t="s">
        <v>88</v>
      </c>
      <c r="X1736" s="18" t="s">
        <v>89</v>
      </c>
      <c r="Y1736" s="18" t="s">
        <v>90</v>
      </c>
      <c r="Z1736" s="18" t="s">
        <v>91</v>
      </c>
      <c r="AA1736" s="18" t="s">
        <v>92</v>
      </c>
      <c r="AB1736" s="18" t="s">
        <v>93</v>
      </c>
      <c r="AC1736" s="18" t="s">
        <v>94</v>
      </c>
      <c r="AD1736" s="18" t="s">
        <v>235</v>
      </c>
      <c r="AE1736" s="18" t="s">
        <v>236</v>
      </c>
      <c r="AF1736" s="18" t="s">
        <v>237</v>
      </c>
      <c r="AG1736" s="18" t="s">
        <v>238</v>
      </c>
      <c r="AH1736" s="18" t="s">
        <v>239</v>
      </c>
      <c r="AI1736" s="18" t="s">
        <v>240</v>
      </c>
      <c r="AJ1736" s="18" t="s">
        <v>241</v>
      </c>
      <c r="AK1736" s="18" t="s">
        <v>242</v>
      </c>
      <c r="AL1736" s="18" t="s">
        <v>243</v>
      </c>
      <c r="AM1736" s="50" t="s">
        <v>244</v>
      </c>
    </row>
    <row r="1737" spans="1:39">
      <c r="A1737" s="40" t="s">
        <v>245</v>
      </c>
      <c r="B1737" s="51" t="str">
        <f>D61</f>
        <v/>
      </c>
      <c r="C1737" s="40" t="str">
        <f t="shared" ref="C1737:C1763" si="257">A1737</f>
        <v>#</v>
      </c>
      <c r="D1737" s="40" t="str">
        <f>"   "&amp;B1737&amp;REPT(" ",$AH$70-LEN(B1737)-3)</f>
        <v xml:space="preserve">                                                            </v>
      </c>
      <c r="E1737" s="38" t="str">
        <f>SUM(E1738:E1763)&amp;" pts[/b]"</f>
        <v>0 pts[/b]</v>
      </c>
      <c r="F1737" s="21">
        <f>SUM(E1738:E1763)</f>
        <v>0</v>
      </c>
      <c r="K1737" s="18">
        <f>COUNTIF(E1738:E1763,"&gt;0")</f>
        <v>0</v>
      </c>
      <c r="L1737" s="21">
        <f>AM1737-K1737</f>
        <v>0</v>
      </c>
      <c r="M1737" s="22">
        <f>MAX(E1738:E1763)</f>
        <v>0</v>
      </c>
      <c r="N1737" s="22">
        <f>LARGE(E1738:E1763,2)</f>
        <v>0</v>
      </c>
      <c r="O1737" s="22">
        <f>LARGE(E1738:E1763,3)</f>
        <v>0</v>
      </c>
      <c r="P1737" s="18">
        <f>LARGE(E1738:E1763,4)</f>
        <v>0</v>
      </c>
      <c r="Q1737" s="22">
        <f>LARGE(E1738:E1763,5)</f>
        <v>0</v>
      </c>
      <c r="R1737" s="22">
        <f>LARGE(E1738:E1763,6)</f>
        <v>0</v>
      </c>
      <c r="S1737" s="22">
        <f>LARGE(E1738:E1763,7)</f>
        <v>0</v>
      </c>
      <c r="T1737" s="18">
        <f>LARGE(E1738:E1763,8)</f>
        <v>0</v>
      </c>
      <c r="U1737" s="18">
        <f>LARGE(E1738:E1763,9)</f>
        <v>0</v>
      </c>
      <c r="V1737" s="18">
        <f>LARGE(E1738:E1763,10)</f>
        <v>0</v>
      </c>
      <c r="W1737" s="18">
        <f>LARGE(E1738:E1763,11)</f>
        <v>0</v>
      </c>
      <c r="X1737" s="18">
        <f>LARGE(E1738:E1763,12)</f>
        <v>0</v>
      </c>
      <c r="Y1737" s="18">
        <f>LARGE(E1738:E1763,13)</f>
        <v>0</v>
      </c>
      <c r="Z1737" s="18">
        <f>LARGE(E1738:E1763,14)</f>
        <v>0</v>
      </c>
      <c r="AA1737" s="18">
        <f>LARGE(E1738:E1763,15)</f>
        <v>0</v>
      </c>
      <c r="AB1737" s="18">
        <f>LARGE(E1738:E1763,16)</f>
        <v>0</v>
      </c>
      <c r="AC1737" s="18">
        <f>LARGE(E1738:E1763,17)</f>
        <v>0</v>
      </c>
      <c r="AD1737" s="18">
        <f>LARGE(E1738:E1764,13)</f>
        <v>0</v>
      </c>
      <c r="AE1737" s="18">
        <f>LARGE(E1738:E1763,19)</f>
        <v>0</v>
      </c>
      <c r="AF1737" s="18">
        <f>LARGE(E1738:E1763,20)</f>
        <v>0</v>
      </c>
      <c r="AG1737" s="18">
        <f>LARGE(E1738:E1763,21)</f>
        <v>0</v>
      </c>
      <c r="AH1737" s="18">
        <f>LARGE(E1738:E1763,22)</f>
        <v>0</v>
      </c>
      <c r="AI1737" s="18">
        <f>LARGE(E1738:E1763,23)</f>
        <v>0</v>
      </c>
      <c r="AJ1737" s="18">
        <f>LARGE(E1738:E1763,24)</f>
        <v>0</v>
      </c>
      <c r="AK1737" s="18">
        <f>LARGE(E1738:E1763,25)</f>
        <v>0</v>
      </c>
      <c r="AL1737" s="18">
        <f>LARGE(E1738:E1763,26)</f>
        <v>0</v>
      </c>
      <c r="AM1737" s="50">
        <f>COUNTIF(AH1738:AH1763,"&lt;&gt;"&amp;$AH$76)-(26-COUNTIF(E1738:E1763,"&gt;=0"))</f>
        <v>0</v>
      </c>
    </row>
    <row r="1738" spans="1:39">
      <c r="A1738" s="42" t="s">
        <v>246</v>
      </c>
      <c r="B1738" s="1" t="s">
        <v>20</v>
      </c>
      <c r="C1738" s="40" t="str">
        <f t="shared" si="257"/>
        <v>01-&gt;</v>
      </c>
      <c r="D1738" s="40" t="str">
        <f t="shared" ref="D1738:D1763" si="258">B1738&amp;REPT(" ",$AH$70-LEN(B1738))</f>
        <v xml:space="preserve">No pick yet                                                 </v>
      </c>
      <c r="E1738" s="52">
        <f t="shared" ref="E1738:E1763" si="259">VLOOKUP(RIGHT(B1738,LEN(B1738)-$AH$66),$H$138:$I$420,2,0)</f>
        <v>0</v>
      </c>
      <c r="F1738" s="18"/>
      <c r="M1738" s="18"/>
      <c r="N1738" s="18"/>
      <c r="O1738" s="18"/>
      <c r="P1738" s="18"/>
      <c r="Q1738" s="22"/>
      <c r="R1738" s="21"/>
      <c r="S1738" s="21"/>
      <c r="T1738" s="21"/>
      <c r="AA1738"/>
      <c r="AH1738" t="str">
        <f t="shared" ref="AH1738:AH1763" si="260">RIGHT(B1738,LEN(B1738)-$AH$66)</f>
        <v>k yet</v>
      </c>
    </row>
    <row r="1739" spans="1:39">
      <c r="A1739" s="42" t="s">
        <v>247</v>
      </c>
      <c r="B1739" s="1" t="s">
        <v>20</v>
      </c>
      <c r="C1739" s="40" t="str">
        <f t="shared" si="257"/>
        <v>02-&gt;</v>
      </c>
      <c r="D1739" s="40" t="str">
        <f t="shared" si="258"/>
        <v xml:space="preserve">No pick yet                                                 </v>
      </c>
      <c r="E1739" s="52">
        <f t="shared" si="259"/>
        <v>0</v>
      </c>
      <c r="F1739" s="18"/>
      <c r="K1739" s="22"/>
      <c r="N1739" s="22"/>
      <c r="O1739" s="22"/>
      <c r="P1739" s="22"/>
      <c r="Q1739" s="22"/>
      <c r="R1739" s="22"/>
      <c r="S1739" s="22"/>
      <c r="Z1739" s="53"/>
      <c r="AA1739"/>
      <c r="AH1739" t="str">
        <f t="shared" si="260"/>
        <v>k yet</v>
      </c>
    </row>
    <row r="1740" spans="1:39">
      <c r="A1740" s="42" t="s">
        <v>248</v>
      </c>
      <c r="B1740" s="1" t="s">
        <v>20</v>
      </c>
      <c r="C1740" s="40" t="str">
        <f t="shared" si="257"/>
        <v>03-&gt;</v>
      </c>
      <c r="D1740" s="40" t="str">
        <f t="shared" si="258"/>
        <v xml:space="preserve">No pick yet                                                 </v>
      </c>
      <c r="E1740" s="52">
        <f t="shared" si="259"/>
        <v>0</v>
      </c>
      <c r="F1740" s="18"/>
      <c r="L1740" s="21"/>
      <c r="N1740" s="22"/>
      <c r="O1740" s="22"/>
      <c r="P1740" s="18"/>
      <c r="Q1740" s="22"/>
      <c r="R1740" s="22"/>
      <c r="S1740" s="22"/>
      <c r="Z1740" s="53"/>
      <c r="AA1740"/>
      <c r="AH1740" t="str">
        <f t="shared" si="260"/>
        <v>k yet</v>
      </c>
    </row>
    <row r="1741" spans="1:39">
      <c r="A1741" s="42" t="s">
        <v>249</v>
      </c>
      <c r="B1741" s="1" t="s">
        <v>20</v>
      </c>
      <c r="C1741" s="40" t="str">
        <f t="shared" si="257"/>
        <v>04-&gt;</v>
      </c>
      <c r="D1741" s="40" t="str">
        <f t="shared" si="258"/>
        <v xml:space="preserve">No pick yet                                                 </v>
      </c>
      <c r="E1741" s="52">
        <f t="shared" si="259"/>
        <v>0</v>
      </c>
      <c r="F1741" s="18"/>
      <c r="M1741" s="18"/>
      <c r="N1741" s="18"/>
      <c r="O1741" s="18"/>
      <c r="P1741" s="18"/>
      <c r="Q1741" s="22"/>
      <c r="R1741" s="21"/>
      <c r="S1741" s="21"/>
      <c r="T1741" s="21"/>
      <c r="AA1741"/>
      <c r="AH1741" t="str">
        <f t="shared" si="260"/>
        <v>k yet</v>
      </c>
    </row>
    <row r="1742" spans="1:39">
      <c r="A1742" s="42" t="s">
        <v>250</v>
      </c>
      <c r="B1742" s="1" t="s">
        <v>20</v>
      </c>
      <c r="C1742" s="40" t="str">
        <f t="shared" si="257"/>
        <v>05-&gt;</v>
      </c>
      <c r="D1742" s="40" t="str">
        <f t="shared" si="258"/>
        <v xml:space="preserve">No pick yet                                                 </v>
      </c>
      <c r="E1742" s="52">
        <f t="shared" si="259"/>
        <v>0</v>
      </c>
      <c r="F1742" s="18"/>
      <c r="M1742" s="18"/>
      <c r="N1742" s="18"/>
      <c r="O1742" s="18"/>
      <c r="P1742" s="18"/>
      <c r="Q1742" s="22"/>
      <c r="R1742" s="21"/>
      <c r="S1742" s="21"/>
      <c r="T1742" s="21"/>
      <c r="AA1742"/>
      <c r="AH1742" t="str">
        <f t="shared" si="260"/>
        <v>k yet</v>
      </c>
    </row>
    <row r="1743" spans="1:39">
      <c r="A1743" s="42" t="s">
        <v>251</v>
      </c>
      <c r="B1743" s="1" t="s">
        <v>20</v>
      </c>
      <c r="C1743" s="40" t="str">
        <f t="shared" si="257"/>
        <v>06-&gt;</v>
      </c>
      <c r="D1743" s="40" t="str">
        <f t="shared" si="258"/>
        <v xml:space="preserve">No pick yet                                                 </v>
      </c>
      <c r="E1743" s="52">
        <f t="shared" si="259"/>
        <v>0</v>
      </c>
      <c r="F1743" s="18"/>
      <c r="M1743" s="18"/>
      <c r="N1743" s="18"/>
      <c r="O1743" s="18"/>
      <c r="P1743" s="18"/>
      <c r="Q1743" s="22"/>
      <c r="R1743" s="21"/>
      <c r="S1743" s="21"/>
      <c r="T1743" s="21"/>
      <c r="AA1743"/>
      <c r="AH1743" t="str">
        <f t="shared" si="260"/>
        <v>k yet</v>
      </c>
    </row>
    <row r="1744" spans="1:39">
      <c r="A1744" s="42" t="s">
        <v>252</v>
      </c>
      <c r="B1744" s="1" t="s">
        <v>20</v>
      </c>
      <c r="C1744" s="40" t="str">
        <f t="shared" si="257"/>
        <v>07-&gt;</v>
      </c>
      <c r="D1744" s="40" t="str">
        <f t="shared" si="258"/>
        <v xml:space="preserve">No pick yet                                                 </v>
      </c>
      <c r="E1744" s="52">
        <f t="shared" si="259"/>
        <v>0</v>
      </c>
      <c r="F1744" s="18"/>
      <c r="M1744" s="18"/>
      <c r="N1744" s="18"/>
      <c r="O1744" s="18"/>
      <c r="P1744" s="18"/>
      <c r="Q1744" s="22"/>
      <c r="R1744" s="21"/>
      <c r="S1744" s="21"/>
      <c r="T1744" s="21"/>
      <c r="AA1744"/>
      <c r="AH1744" t="str">
        <f t="shared" si="260"/>
        <v>k yet</v>
      </c>
    </row>
    <row r="1745" spans="1:34">
      <c r="A1745" s="42" t="s">
        <v>253</v>
      </c>
      <c r="B1745" s="1" t="s">
        <v>20</v>
      </c>
      <c r="C1745" s="40" t="str">
        <f t="shared" si="257"/>
        <v>08-&gt;</v>
      </c>
      <c r="D1745" s="40" t="str">
        <f t="shared" si="258"/>
        <v xml:space="preserve">No pick yet                                                 </v>
      </c>
      <c r="E1745" s="52">
        <f t="shared" si="259"/>
        <v>0</v>
      </c>
      <c r="F1745" s="18"/>
      <c r="M1745" s="18"/>
      <c r="N1745" s="18"/>
      <c r="O1745" s="18"/>
      <c r="P1745" s="18"/>
      <c r="Q1745" s="22"/>
      <c r="R1745" s="21"/>
      <c r="S1745" s="21"/>
      <c r="T1745" s="21"/>
      <c r="AA1745"/>
      <c r="AH1745" t="str">
        <f t="shared" si="260"/>
        <v>k yet</v>
      </c>
    </row>
    <row r="1746" spans="1:34">
      <c r="A1746" s="42" t="s">
        <v>254</v>
      </c>
      <c r="B1746" s="1" t="s">
        <v>20</v>
      </c>
      <c r="C1746" s="40" t="str">
        <f t="shared" si="257"/>
        <v>09-&gt;</v>
      </c>
      <c r="D1746" s="40" t="str">
        <f t="shared" si="258"/>
        <v xml:space="preserve">No pick yet                                                 </v>
      </c>
      <c r="E1746" s="52">
        <f t="shared" si="259"/>
        <v>0</v>
      </c>
      <c r="F1746" s="18"/>
      <c r="M1746" s="18"/>
      <c r="N1746" s="18"/>
      <c r="O1746" s="18"/>
      <c r="P1746" s="18"/>
      <c r="Q1746" s="22"/>
      <c r="R1746" s="21"/>
      <c r="S1746" s="21"/>
      <c r="T1746" s="21"/>
      <c r="AA1746"/>
      <c r="AH1746" t="str">
        <f t="shared" si="260"/>
        <v>k yet</v>
      </c>
    </row>
    <row r="1747" spans="1:34">
      <c r="A1747" s="42" t="s">
        <v>255</v>
      </c>
      <c r="B1747" s="1" t="s">
        <v>20</v>
      </c>
      <c r="C1747" s="40" t="str">
        <f t="shared" si="257"/>
        <v>10-&gt;</v>
      </c>
      <c r="D1747" s="40" t="str">
        <f t="shared" si="258"/>
        <v xml:space="preserve">No pick yet                                                 </v>
      </c>
      <c r="E1747" s="52">
        <f t="shared" si="259"/>
        <v>0</v>
      </c>
      <c r="F1747" s="22"/>
      <c r="M1747" s="18"/>
      <c r="N1747" s="18"/>
      <c r="O1747" s="18"/>
      <c r="P1747" s="18"/>
      <c r="Q1747" s="22"/>
      <c r="R1747" s="21"/>
      <c r="S1747" s="21"/>
      <c r="T1747" s="21"/>
      <c r="AA1747"/>
      <c r="AH1747" t="str">
        <f t="shared" si="260"/>
        <v>k yet</v>
      </c>
    </row>
    <row r="1748" spans="1:34">
      <c r="A1748" s="42" t="s">
        <v>256</v>
      </c>
      <c r="B1748" s="1" t="s">
        <v>20</v>
      </c>
      <c r="C1748" s="40" t="str">
        <f t="shared" si="257"/>
        <v>11-&gt;</v>
      </c>
      <c r="D1748" s="40" t="str">
        <f t="shared" si="258"/>
        <v xml:space="preserve">No pick yet                                                 </v>
      </c>
      <c r="E1748" s="52">
        <f t="shared" si="259"/>
        <v>0</v>
      </c>
      <c r="M1748" s="18"/>
      <c r="N1748" s="18"/>
      <c r="O1748" s="18"/>
      <c r="P1748" s="18"/>
      <c r="Q1748" s="22"/>
      <c r="R1748" s="21"/>
      <c r="S1748" s="21"/>
      <c r="T1748" s="21"/>
      <c r="AA1748"/>
      <c r="AH1748" t="str">
        <f t="shared" si="260"/>
        <v>k yet</v>
      </c>
    </row>
    <row r="1749" spans="1:34">
      <c r="A1749" s="42" t="s">
        <v>257</v>
      </c>
      <c r="B1749" s="1" t="s">
        <v>20</v>
      </c>
      <c r="C1749" s="40" t="str">
        <f t="shared" si="257"/>
        <v>12-&gt;</v>
      </c>
      <c r="D1749" s="40" t="str">
        <f t="shared" si="258"/>
        <v xml:space="preserve">No pick yet                                                 </v>
      </c>
      <c r="E1749" s="52">
        <f t="shared" si="259"/>
        <v>0</v>
      </c>
      <c r="M1749" s="18"/>
      <c r="N1749" s="18"/>
      <c r="O1749" s="18"/>
      <c r="P1749" s="18"/>
      <c r="Q1749" s="22"/>
      <c r="R1749" s="21"/>
      <c r="S1749" s="21"/>
      <c r="T1749" s="21"/>
      <c r="AA1749"/>
      <c r="AH1749" t="str">
        <f t="shared" si="260"/>
        <v>k yet</v>
      </c>
    </row>
    <row r="1750" spans="1:34">
      <c r="A1750" s="42" t="s">
        <v>258</v>
      </c>
      <c r="B1750" s="1" t="s">
        <v>20</v>
      </c>
      <c r="C1750" s="40" t="str">
        <f t="shared" si="257"/>
        <v>13-&gt;</v>
      </c>
      <c r="D1750" s="40" t="str">
        <f t="shared" si="258"/>
        <v xml:space="preserve">No pick yet                                                 </v>
      </c>
      <c r="E1750" s="52">
        <f t="shared" si="259"/>
        <v>0</v>
      </c>
      <c r="M1750" s="18"/>
      <c r="N1750" s="18"/>
      <c r="O1750" s="18"/>
      <c r="P1750" s="18"/>
      <c r="Q1750" s="22"/>
      <c r="R1750" s="21"/>
      <c r="S1750" s="21"/>
      <c r="T1750" s="21"/>
      <c r="AA1750"/>
      <c r="AH1750" t="str">
        <f t="shared" si="260"/>
        <v>k yet</v>
      </c>
    </row>
    <row r="1751" spans="1:34">
      <c r="A1751" s="42" t="s">
        <v>259</v>
      </c>
      <c r="B1751" s="1" t="s">
        <v>20</v>
      </c>
      <c r="C1751" s="40" t="str">
        <f t="shared" si="257"/>
        <v>14-&gt;</v>
      </c>
      <c r="D1751" s="40" t="str">
        <f t="shared" si="258"/>
        <v xml:space="preserve">No pick yet                                                 </v>
      </c>
      <c r="E1751" s="52">
        <f t="shared" si="259"/>
        <v>0</v>
      </c>
      <c r="M1751" s="18"/>
      <c r="N1751" s="18"/>
      <c r="O1751" s="18"/>
      <c r="P1751" s="18"/>
      <c r="Q1751" s="22"/>
      <c r="R1751" s="21"/>
      <c r="S1751" s="21"/>
      <c r="T1751" s="21"/>
      <c r="AA1751"/>
      <c r="AH1751" t="str">
        <f t="shared" si="260"/>
        <v>k yet</v>
      </c>
    </row>
    <row r="1752" spans="1:34">
      <c r="A1752" s="42" t="s">
        <v>260</v>
      </c>
      <c r="B1752" s="1" t="s">
        <v>20</v>
      </c>
      <c r="C1752" s="40" t="str">
        <f t="shared" si="257"/>
        <v>15-&gt;</v>
      </c>
      <c r="D1752" s="40" t="str">
        <f t="shared" si="258"/>
        <v xml:space="preserve">No pick yet                                                 </v>
      </c>
      <c r="E1752" s="52">
        <f t="shared" si="259"/>
        <v>0</v>
      </c>
      <c r="M1752" s="18"/>
      <c r="N1752" s="18"/>
      <c r="O1752" s="18"/>
      <c r="P1752" s="18"/>
      <c r="Q1752" s="22"/>
      <c r="R1752" s="21"/>
      <c r="S1752" s="21"/>
      <c r="T1752" s="21"/>
      <c r="AA1752"/>
      <c r="AH1752" t="str">
        <f t="shared" si="260"/>
        <v>k yet</v>
      </c>
    </row>
    <row r="1753" spans="1:34">
      <c r="A1753" s="42" t="s">
        <v>261</v>
      </c>
      <c r="B1753" s="1" t="s">
        <v>20</v>
      </c>
      <c r="C1753" s="40" t="str">
        <f t="shared" si="257"/>
        <v>16-&gt;</v>
      </c>
      <c r="D1753" s="40" t="str">
        <f t="shared" si="258"/>
        <v xml:space="preserve">No pick yet                                                 </v>
      </c>
      <c r="E1753" s="52">
        <f t="shared" si="259"/>
        <v>0</v>
      </c>
      <c r="M1753" s="18"/>
      <c r="N1753" s="18"/>
      <c r="O1753" s="18"/>
      <c r="P1753" s="18"/>
      <c r="Q1753" s="22"/>
      <c r="R1753" s="21"/>
      <c r="S1753" s="21"/>
      <c r="T1753" s="21"/>
      <c r="AA1753"/>
      <c r="AH1753" t="str">
        <f t="shared" si="260"/>
        <v>k yet</v>
      </c>
    </row>
    <row r="1754" spans="1:34">
      <c r="A1754" s="42" t="s">
        <v>262</v>
      </c>
      <c r="B1754" s="1" t="s">
        <v>20</v>
      </c>
      <c r="C1754" s="40" t="str">
        <f t="shared" si="257"/>
        <v>17-&gt;</v>
      </c>
      <c r="D1754" s="40" t="str">
        <f t="shared" si="258"/>
        <v xml:space="preserve">No pick yet                                                 </v>
      </c>
      <c r="E1754" s="52">
        <f t="shared" si="259"/>
        <v>0</v>
      </c>
      <c r="K1754" s="22"/>
      <c r="N1754" s="22"/>
      <c r="O1754" s="22"/>
      <c r="P1754" s="22"/>
      <c r="Q1754" s="22"/>
      <c r="R1754" s="22"/>
      <c r="S1754" s="22"/>
      <c r="Z1754" s="53"/>
      <c r="AA1754"/>
      <c r="AH1754" t="str">
        <f t="shared" si="260"/>
        <v>k yet</v>
      </c>
    </row>
    <row r="1755" spans="1:34">
      <c r="A1755" s="42" t="s">
        <v>263</v>
      </c>
      <c r="B1755" s="1" t="s">
        <v>20</v>
      </c>
      <c r="C1755" s="40" t="str">
        <f t="shared" si="257"/>
        <v>18-&gt;</v>
      </c>
      <c r="D1755" s="40" t="str">
        <f t="shared" si="258"/>
        <v xml:space="preserve">No pick yet                                                 </v>
      </c>
      <c r="E1755" s="52">
        <f t="shared" si="259"/>
        <v>0</v>
      </c>
      <c r="F1755" s="18"/>
      <c r="L1755" s="21"/>
      <c r="N1755" s="22"/>
      <c r="O1755" s="22"/>
      <c r="P1755" s="18"/>
      <c r="Q1755" s="22"/>
      <c r="R1755" s="22"/>
      <c r="S1755" s="22"/>
      <c r="Z1755" s="53"/>
      <c r="AA1755"/>
      <c r="AH1755" t="str">
        <f t="shared" si="260"/>
        <v>k yet</v>
      </c>
    </row>
    <row r="1756" spans="1:34">
      <c r="A1756" s="42" t="s">
        <v>264</v>
      </c>
      <c r="B1756" s="1" t="s">
        <v>20</v>
      </c>
      <c r="C1756" s="40" t="str">
        <f t="shared" si="257"/>
        <v>19-&gt;</v>
      </c>
      <c r="D1756" s="40" t="str">
        <f t="shared" si="258"/>
        <v xml:space="preserve">No pick yet                                                 </v>
      </c>
      <c r="E1756" s="52">
        <f t="shared" si="259"/>
        <v>0</v>
      </c>
      <c r="F1756" s="18"/>
      <c r="M1756" s="18"/>
      <c r="N1756" s="18"/>
      <c r="O1756" s="18"/>
      <c r="P1756" s="18"/>
      <c r="Q1756" s="22"/>
      <c r="R1756" s="21"/>
      <c r="S1756" s="21"/>
      <c r="T1756" s="21"/>
      <c r="AA1756"/>
      <c r="AH1756" t="str">
        <f t="shared" si="260"/>
        <v>k yet</v>
      </c>
    </row>
    <row r="1757" spans="1:34">
      <c r="A1757" s="42" t="s">
        <v>265</v>
      </c>
      <c r="B1757" s="1" t="s">
        <v>20</v>
      </c>
      <c r="C1757" s="40" t="str">
        <f t="shared" si="257"/>
        <v>20-&gt;</v>
      </c>
      <c r="D1757" s="40" t="str">
        <f t="shared" si="258"/>
        <v xml:space="preserve">No pick yet                                                 </v>
      </c>
      <c r="E1757" s="52">
        <f t="shared" si="259"/>
        <v>0</v>
      </c>
      <c r="F1757" s="18"/>
      <c r="M1757" s="18"/>
      <c r="N1757" s="18"/>
      <c r="O1757" s="18"/>
      <c r="P1757" s="18"/>
      <c r="Q1757" s="22"/>
      <c r="R1757" s="21"/>
      <c r="S1757" s="21"/>
      <c r="T1757" s="21"/>
      <c r="AA1757"/>
      <c r="AH1757" t="str">
        <f t="shared" si="260"/>
        <v>k yet</v>
      </c>
    </row>
    <row r="1758" spans="1:34">
      <c r="A1758" s="42" t="s">
        <v>266</v>
      </c>
      <c r="B1758" s="1" t="s">
        <v>20</v>
      </c>
      <c r="C1758" s="40" t="str">
        <f t="shared" si="257"/>
        <v>21-&gt;</v>
      </c>
      <c r="D1758" s="40" t="str">
        <f t="shared" si="258"/>
        <v xml:space="preserve">No pick yet                                                 </v>
      </c>
      <c r="E1758" s="52">
        <f t="shared" si="259"/>
        <v>0</v>
      </c>
      <c r="F1758" s="18"/>
      <c r="M1758" s="18"/>
      <c r="N1758" s="18"/>
      <c r="O1758" s="18"/>
      <c r="P1758" s="18"/>
      <c r="Q1758" s="22"/>
      <c r="R1758" s="21"/>
      <c r="S1758" s="21"/>
      <c r="T1758" s="21"/>
      <c r="AA1758"/>
      <c r="AH1758" t="str">
        <f t="shared" si="260"/>
        <v>k yet</v>
      </c>
    </row>
    <row r="1759" spans="1:34">
      <c r="A1759" s="42" t="s">
        <v>267</v>
      </c>
      <c r="B1759" s="1" t="s">
        <v>20</v>
      </c>
      <c r="C1759" s="40" t="str">
        <f t="shared" si="257"/>
        <v>22-&gt;</v>
      </c>
      <c r="D1759" s="40" t="str">
        <f t="shared" si="258"/>
        <v xml:space="preserve">No pick yet                                                 </v>
      </c>
      <c r="E1759" s="52">
        <f t="shared" si="259"/>
        <v>0</v>
      </c>
      <c r="F1759" s="18"/>
      <c r="M1759" s="18"/>
      <c r="N1759" s="18"/>
      <c r="O1759" s="18"/>
      <c r="P1759" s="18"/>
      <c r="Q1759" s="22"/>
      <c r="R1759" s="21"/>
      <c r="S1759" s="21"/>
      <c r="T1759" s="21"/>
      <c r="AA1759"/>
      <c r="AH1759" t="str">
        <f t="shared" si="260"/>
        <v>k yet</v>
      </c>
    </row>
    <row r="1760" spans="1:34">
      <c r="A1760" s="42" t="s">
        <v>268</v>
      </c>
      <c r="B1760" s="1" t="s">
        <v>20</v>
      </c>
      <c r="C1760" s="40" t="str">
        <f t="shared" si="257"/>
        <v>23-&gt;</v>
      </c>
      <c r="D1760" s="40" t="str">
        <f t="shared" si="258"/>
        <v xml:space="preserve">No pick yet                                                 </v>
      </c>
      <c r="E1760" s="52">
        <f t="shared" si="259"/>
        <v>0</v>
      </c>
      <c r="F1760" s="18"/>
      <c r="M1760" s="18"/>
      <c r="N1760" s="18"/>
      <c r="O1760" s="18"/>
      <c r="P1760" s="18"/>
      <c r="Q1760" s="22"/>
      <c r="R1760" s="21"/>
      <c r="S1760" s="21"/>
      <c r="T1760" s="21"/>
      <c r="AA1760"/>
      <c r="AH1760" t="str">
        <f t="shared" si="260"/>
        <v>k yet</v>
      </c>
    </row>
    <row r="1761" spans="1:39">
      <c r="A1761" s="42" t="s">
        <v>269</v>
      </c>
      <c r="B1761" s="1" t="s">
        <v>20</v>
      </c>
      <c r="C1761" s="40" t="str">
        <f t="shared" si="257"/>
        <v>24-&gt;</v>
      </c>
      <c r="D1761" s="40" t="str">
        <f t="shared" si="258"/>
        <v xml:space="preserve">No pick yet                                                 </v>
      </c>
      <c r="E1761" s="52">
        <f t="shared" si="259"/>
        <v>0</v>
      </c>
      <c r="F1761" s="18"/>
      <c r="M1761" s="18"/>
      <c r="N1761" s="18"/>
      <c r="O1761" s="18"/>
      <c r="P1761" s="18"/>
      <c r="Q1761" s="22"/>
      <c r="R1761" s="21"/>
      <c r="S1761" s="21"/>
      <c r="T1761" s="21"/>
      <c r="AA1761"/>
      <c r="AH1761" t="str">
        <f t="shared" si="260"/>
        <v>k yet</v>
      </c>
    </row>
    <row r="1762" spans="1:39">
      <c r="A1762" s="42" t="s">
        <v>270</v>
      </c>
      <c r="B1762" s="1" t="s">
        <v>20</v>
      </c>
      <c r="C1762" s="40" t="str">
        <f t="shared" si="257"/>
        <v>25-&gt;</v>
      </c>
      <c r="D1762" s="40" t="str">
        <f t="shared" si="258"/>
        <v xml:space="preserve">No pick yet                                                 </v>
      </c>
      <c r="E1762" s="52">
        <f t="shared" si="259"/>
        <v>0</v>
      </c>
      <c r="F1762" s="18"/>
      <c r="M1762" s="18"/>
      <c r="N1762" s="18"/>
      <c r="O1762" s="18"/>
      <c r="P1762" s="18"/>
      <c r="Q1762" s="22"/>
      <c r="R1762" s="21"/>
      <c r="S1762" s="21"/>
      <c r="T1762" s="21"/>
      <c r="AA1762"/>
      <c r="AH1762" t="str">
        <f t="shared" si="260"/>
        <v>k yet</v>
      </c>
    </row>
    <row r="1763" spans="1:39">
      <c r="A1763" s="42" t="s">
        <v>271</v>
      </c>
      <c r="B1763" s="1" t="s">
        <v>20</v>
      </c>
      <c r="C1763" s="40" t="str">
        <f t="shared" si="257"/>
        <v>26-&gt;</v>
      </c>
      <c r="D1763" s="40" t="str">
        <f t="shared" si="258"/>
        <v xml:space="preserve">No pick yet                                                 </v>
      </c>
      <c r="E1763" s="52">
        <f t="shared" si="259"/>
        <v>0</v>
      </c>
      <c r="F1763" s="18"/>
      <c r="M1763" s="18"/>
      <c r="N1763" s="18"/>
      <c r="O1763" s="18"/>
      <c r="P1763" s="18"/>
      <c r="Q1763" s="22"/>
      <c r="R1763" s="21"/>
      <c r="S1763" s="21"/>
      <c r="T1763" s="21"/>
      <c r="AA1763"/>
      <c r="AH1763" t="str">
        <f t="shared" si="260"/>
        <v>k yet</v>
      </c>
    </row>
    <row r="1764" spans="1:39">
      <c r="A1764" s="38"/>
      <c r="B1764" s="40"/>
      <c r="C1764" s="40"/>
      <c r="D1764" s="49"/>
      <c r="E1764" s="41" t="s">
        <v>69</v>
      </c>
      <c r="F1764" s="18"/>
      <c r="K1764" s="22" t="s">
        <v>73</v>
      </c>
      <c r="L1764" s="18" t="s">
        <v>74</v>
      </c>
      <c r="M1764" s="22" t="s">
        <v>78</v>
      </c>
      <c r="N1764" s="22" t="s">
        <v>79</v>
      </c>
      <c r="O1764" s="22" t="s">
        <v>80</v>
      </c>
      <c r="P1764" s="22" t="s">
        <v>81</v>
      </c>
      <c r="Q1764" s="22" t="s">
        <v>82</v>
      </c>
      <c r="R1764" s="22" t="s">
        <v>83</v>
      </c>
      <c r="S1764" s="22" t="s">
        <v>84</v>
      </c>
      <c r="T1764" s="18" t="s">
        <v>85</v>
      </c>
      <c r="U1764" s="18" t="s">
        <v>86</v>
      </c>
      <c r="V1764" s="18" t="s">
        <v>87</v>
      </c>
      <c r="W1764" s="18" t="s">
        <v>88</v>
      </c>
      <c r="X1764" s="18" t="s">
        <v>89</v>
      </c>
      <c r="Y1764" s="18" t="s">
        <v>90</v>
      </c>
      <c r="Z1764" s="18" t="s">
        <v>91</v>
      </c>
      <c r="AA1764" s="18" t="s">
        <v>92</v>
      </c>
      <c r="AB1764" s="18" t="s">
        <v>93</v>
      </c>
      <c r="AC1764" s="18" t="s">
        <v>94</v>
      </c>
      <c r="AD1764" s="18" t="s">
        <v>235</v>
      </c>
      <c r="AE1764" s="18" t="s">
        <v>236</v>
      </c>
      <c r="AF1764" s="18" t="s">
        <v>237</v>
      </c>
      <c r="AG1764" s="18" t="s">
        <v>238</v>
      </c>
      <c r="AH1764" s="18" t="s">
        <v>239</v>
      </c>
      <c r="AI1764" s="18" t="s">
        <v>240</v>
      </c>
      <c r="AJ1764" s="18" t="s">
        <v>241</v>
      </c>
      <c r="AK1764" s="18" t="s">
        <v>242</v>
      </c>
      <c r="AL1764" s="18" t="s">
        <v>243</v>
      </c>
      <c r="AM1764" s="50" t="s">
        <v>244</v>
      </c>
    </row>
    <row r="1765" spans="1:39">
      <c r="A1765" s="40" t="s">
        <v>245</v>
      </c>
      <c r="B1765" s="51" t="str">
        <f>D62</f>
        <v/>
      </c>
      <c r="C1765" s="40" t="str">
        <f t="shared" ref="C1765:C1791" si="261">A1765</f>
        <v>#</v>
      </c>
      <c r="D1765" s="40" t="str">
        <f>"   "&amp;B1765&amp;REPT(" ",$AH$70-LEN(B1765)-3)</f>
        <v xml:space="preserve">                                                            </v>
      </c>
      <c r="E1765" s="38" t="str">
        <f>SUM(E1766:E1791)&amp;" pts[/b]"</f>
        <v>0 pts[/b]</v>
      </c>
      <c r="F1765" s="21">
        <f>SUM(E1766:E1791)</f>
        <v>0</v>
      </c>
      <c r="K1765" s="18">
        <f>COUNTIF(E1766:E1791,"&gt;0")</f>
        <v>0</v>
      </c>
      <c r="L1765" s="21">
        <f>AM1765-K1765</f>
        <v>0</v>
      </c>
      <c r="M1765" s="22">
        <f>MAX(E1766:E1791)</f>
        <v>0</v>
      </c>
      <c r="N1765" s="22">
        <f>LARGE(E1766:E1791,2)</f>
        <v>0</v>
      </c>
      <c r="O1765" s="22">
        <f>LARGE(E1766:E1791,3)</f>
        <v>0</v>
      </c>
      <c r="P1765" s="18">
        <f>LARGE(E1766:E1791,4)</f>
        <v>0</v>
      </c>
      <c r="Q1765" s="22">
        <f>LARGE(E1766:E1791,5)</f>
        <v>0</v>
      </c>
      <c r="R1765" s="22">
        <f>LARGE(E1766:E1791,6)</f>
        <v>0</v>
      </c>
      <c r="S1765" s="22">
        <f>LARGE(E1766:E1791,7)</f>
        <v>0</v>
      </c>
      <c r="T1765" s="18">
        <f>LARGE(E1766:E1791,8)</f>
        <v>0</v>
      </c>
      <c r="U1765" s="18">
        <f>LARGE(E1766:E1791,9)</f>
        <v>0</v>
      </c>
      <c r="V1765" s="18">
        <f>LARGE(E1766:E1791,10)</f>
        <v>0</v>
      </c>
      <c r="W1765" s="18">
        <f>LARGE(E1766:E1791,11)</f>
        <v>0</v>
      </c>
      <c r="X1765" s="18">
        <f>LARGE(E1766:E1791,12)</f>
        <v>0</v>
      </c>
      <c r="Y1765" s="18">
        <f>LARGE(E1766:E1791,13)</f>
        <v>0</v>
      </c>
      <c r="Z1765" s="18">
        <f>LARGE(E1766:E1791,14)</f>
        <v>0</v>
      </c>
      <c r="AA1765" s="18">
        <f>LARGE(E1766:E1791,15)</f>
        <v>0</v>
      </c>
      <c r="AB1765" s="18">
        <f>LARGE(E1766:E1791,16)</f>
        <v>0</v>
      </c>
      <c r="AC1765" s="18">
        <f>LARGE(E1766:E1791,17)</f>
        <v>0</v>
      </c>
      <c r="AD1765" s="18">
        <f>LARGE(E1766:E1792,13)</f>
        <v>0</v>
      </c>
      <c r="AE1765" s="18">
        <f>LARGE(E1766:E1791,19)</f>
        <v>0</v>
      </c>
      <c r="AF1765" s="18">
        <f>LARGE(E1766:E1791,20)</f>
        <v>0</v>
      </c>
      <c r="AG1765" s="18">
        <f>LARGE(E1766:E1791,21)</f>
        <v>0</v>
      </c>
      <c r="AH1765" s="18">
        <f>LARGE(E1766:E1791,22)</f>
        <v>0</v>
      </c>
      <c r="AI1765" s="18">
        <f>LARGE(E1766:E1791,23)</f>
        <v>0</v>
      </c>
      <c r="AJ1765" s="18">
        <f>LARGE(E1766:E1791,24)</f>
        <v>0</v>
      </c>
      <c r="AK1765" s="18">
        <f>LARGE(E1766:E1791,25)</f>
        <v>0</v>
      </c>
      <c r="AL1765" s="18">
        <f>LARGE(E1766:E1791,26)</f>
        <v>0</v>
      </c>
      <c r="AM1765" s="50">
        <f>COUNTIF(AH1766:AH1791,"&lt;&gt;"&amp;$AH$76)-(26-COUNTIF(E1766:E1791,"&gt;=0"))</f>
        <v>0</v>
      </c>
    </row>
    <row r="1766" spans="1:39">
      <c r="A1766" s="42" t="s">
        <v>246</v>
      </c>
      <c r="B1766" s="1" t="s">
        <v>20</v>
      </c>
      <c r="C1766" s="40" t="str">
        <f t="shared" si="261"/>
        <v>01-&gt;</v>
      </c>
      <c r="D1766" s="40" t="str">
        <f t="shared" ref="D1766:D1791" si="262">B1766&amp;REPT(" ",$AH$70-LEN(B1766))</f>
        <v xml:space="preserve">No pick yet                                                 </v>
      </c>
      <c r="E1766" s="52">
        <f t="shared" ref="E1766:E1791" si="263">VLOOKUP(RIGHT(B1766,LEN(B1766)-$AH$66),$H$138:$I$420,2,0)</f>
        <v>0</v>
      </c>
      <c r="F1766" s="18"/>
      <c r="M1766" s="18"/>
      <c r="N1766" s="18"/>
      <c r="O1766" s="18"/>
      <c r="P1766" s="18"/>
      <c r="Q1766" s="22"/>
      <c r="R1766" s="21"/>
      <c r="S1766" s="21"/>
      <c r="T1766" s="21"/>
      <c r="AA1766"/>
      <c r="AH1766" t="str">
        <f t="shared" ref="AH1766:AH1791" si="264">RIGHT(B1766,LEN(B1766)-$AH$66)</f>
        <v>k yet</v>
      </c>
    </row>
    <row r="1767" spans="1:39">
      <c r="A1767" s="42" t="s">
        <v>247</v>
      </c>
      <c r="B1767" s="1" t="s">
        <v>20</v>
      </c>
      <c r="C1767" s="40" t="str">
        <f t="shared" si="261"/>
        <v>02-&gt;</v>
      </c>
      <c r="D1767" s="40" t="str">
        <f t="shared" si="262"/>
        <v xml:space="preserve">No pick yet                                                 </v>
      </c>
      <c r="E1767" s="52">
        <f t="shared" si="263"/>
        <v>0</v>
      </c>
      <c r="F1767" s="18"/>
      <c r="K1767" s="22"/>
      <c r="N1767" s="22"/>
      <c r="O1767" s="22"/>
      <c r="P1767" s="22"/>
      <c r="Q1767" s="22"/>
      <c r="R1767" s="22"/>
      <c r="S1767" s="22"/>
      <c r="Z1767" s="53"/>
      <c r="AA1767"/>
      <c r="AH1767" t="str">
        <f t="shared" si="264"/>
        <v>k yet</v>
      </c>
    </row>
    <row r="1768" spans="1:39">
      <c r="A1768" s="42" t="s">
        <v>248</v>
      </c>
      <c r="B1768" s="1" t="s">
        <v>20</v>
      </c>
      <c r="C1768" s="40" t="str">
        <f t="shared" si="261"/>
        <v>03-&gt;</v>
      </c>
      <c r="D1768" s="40" t="str">
        <f t="shared" si="262"/>
        <v xml:space="preserve">No pick yet                                                 </v>
      </c>
      <c r="E1768" s="52">
        <f t="shared" si="263"/>
        <v>0</v>
      </c>
      <c r="F1768" s="18"/>
      <c r="L1768" s="21"/>
      <c r="N1768" s="22"/>
      <c r="O1768" s="22"/>
      <c r="P1768" s="18"/>
      <c r="Q1768" s="22"/>
      <c r="R1768" s="22"/>
      <c r="S1768" s="22"/>
      <c r="Z1768" s="53"/>
      <c r="AA1768"/>
      <c r="AH1768" t="str">
        <f t="shared" si="264"/>
        <v>k yet</v>
      </c>
    </row>
    <row r="1769" spans="1:39">
      <c r="A1769" s="42" t="s">
        <v>249</v>
      </c>
      <c r="B1769" s="1" t="s">
        <v>20</v>
      </c>
      <c r="C1769" s="40" t="str">
        <f t="shared" si="261"/>
        <v>04-&gt;</v>
      </c>
      <c r="D1769" s="40" t="str">
        <f t="shared" si="262"/>
        <v xml:space="preserve">No pick yet                                                 </v>
      </c>
      <c r="E1769" s="52">
        <f t="shared" si="263"/>
        <v>0</v>
      </c>
      <c r="F1769" s="18"/>
      <c r="M1769" s="18"/>
      <c r="N1769" s="18"/>
      <c r="O1769" s="18"/>
      <c r="P1769" s="18"/>
      <c r="Q1769" s="22"/>
      <c r="R1769" s="21"/>
      <c r="S1769" s="21"/>
      <c r="T1769" s="21"/>
      <c r="AA1769"/>
      <c r="AH1769" t="str">
        <f t="shared" si="264"/>
        <v>k yet</v>
      </c>
    </row>
    <row r="1770" spans="1:39">
      <c r="A1770" s="42" t="s">
        <v>250</v>
      </c>
      <c r="B1770" s="1" t="s">
        <v>20</v>
      </c>
      <c r="C1770" s="40" t="str">
        <f t="shared" si="261"/>
        <v>05-&gt;</v>
      </c>
      <c r="D1770" s="40" t="str">
        <f t="shared" si="262"/>
        <v xml:space="preserve">No pick yet                                                 </v>
      </c>
      <c r="E1770" s="52">
        <f t="shared" si="263"/>
        <v>0</v>
      </c>
      <c r="F1770" s="18"/>
      <c r="M1770" s="18"/>
      <c r="N1770" s="18"/>
      <c r="O1770" s="18"/>
      <c r="P1770" s="18"/>
      <c r="Q1770" s="22"/>
      <c r="R1770" s="21"/>
      <c r="S1770" s="21"/>
      <c r="T1770" s="21"/>
      <c r="AA1770"/>
      <c r="AH1770" t="str">
        <f t="shared" si="264"/>
        <v>k yet</v>
      </c>
    </row>
    <row r="1771" spans="1:39">
      <c r="A1771" s="42" t="s">
        <v>251</v>
      </c>
      <c r="B1771" s="1" t="s">
        <v>20</v>
      </c>
      <c r="C1771" s="40" t="str">
        <f t="shared" si="261"/>
        <v>06-&gt;</v>
      </c>
      <c r="D1771" s="40" t="str">
        <f t="shared" si="262"/>
        <v xml:space="preserve">No pick yet                                                 </v>
      </c>
      <c r="E1771" s="52">
        <f t="shared" si="263"/>
        <v>0</v>
      </c>
      <c r="F1771" s="18"/>
      <c r="M1771" s="18"/>
      <c r="N1771" s="18"/>
      <c r="O1771" s="18"/>
      <c r="P1771" s="18"/>
      <c r="Q1771" s="22"/>
      <c r="R1771" s="21"/>
      <c r="S1771" s="21"/>
      <c r="T1771" s="21"/>
      <c r="AA1771"/>
      <c r="AH1771" t="str">
        <f t="shared" si="264"/>
        <v>k yet</v>
      </c>
    </row>
    <row r="1772" spans="1:39">
      <c r="A1772" s="42" t="s">
        <v>252</v>
      </c>
      <c r="B1772" s="1" t="s">
        <v>20</v>
      </c>
      <c r="C1772" s="40" t="str">
        <f t="shared" si="261"/>
        <v>07-&gt;</v>
      </c>
      <c r="D1772" s="40" t="str">
        <f t="shared" si="262"/>
        <v xml:space="preserve">No pick yet                                                 </v>
      </c>
      <c r="E1772" s="52">
        <f t="shared" si="263"/>
        <v>0</v>
      </c>
      <c r="F1772" s="18"/>
      <c r="M1772" s="18"/>
      <c r="N1772" s="18"/>
      <c r="O1772" s="18"/>
      <c r="P1772" s="18"/>
      <c r="Q1772" s="22"/>
      <c r="R1772" s="21"/>
      <c r="S1772" s="21"/>
      <c r="T1772" s="21"/>
      <c r="AA1772"/>
      <c r="AH1772" t="str">
        <f t="shared" si="264"/>
        <v>k yet</v>
      </c>
    </row>
    <row r="1773" spans="1:39">
      <c r="A1773" s="42" t="s">
        <v>253</v>
      </c>
      <c r="B1773" s="1" t="s">
        <v>20</v>
      </c>
      <c r="C1773" s="40" t="str">
        <f t="shared" si="261"/>
        <v>08-&gt;</v>
      </c>
      <c r="D1773" s="40" t="str">
        <f t="shared" si="262"/>
        <v xml:space="preserve">No pick yet                                                 </v>
      </c>
      <c r="E1773" s="52">
        <f t="shared" si="263"/>
        <v>0</v>
      </c>
      <c r="F1773" s="18"/>
      <c r="M1773" s="18"/>
      <c r="N1773" s="18"/>
      <c r="O1773" s="18"/>
      <c r="P1773" s="18"/>
      <c r="Q1773" s="22"/>
      <c r="R1773" s="21"/>
      <c r="S1773" s="21"/>
      <c r="T1773" s="21"/>
      <c r="AA1773"/>
      <c r="AH1773" t="str">
        <f t="shared" si="264"/>
        <v>k yet</v>
      </c>
    </row>
    <row r="1774" spans="1:39">
      <c r="A1774" s="42" t="s">
        <v>254</v>
      </c>
      <c r="B1774" s="1" t="s">
        <v>20</v>
      </c>
      <c r="C1774" s="40" t="str">
        <f t="shared" si="261"/>
        <v>09-&gt;</v>
      </c>
      <c r="D1774" s="40" t="str">
        <f t="shared" si="262"/>
        <v xml:space="preserve">No pick yet                                                 </v>
      </c>
      <c r="E1774" s="52">
        <f t="shared" si="263"/>
        <v>0</v>
      </c>
      <c r="F1774" s="18"/>
      <c r="M1774" s="18"/>
      <c r="N1774" s="18"/>
      <c r="O1774" s="18"/>
      <c r="P1774" s="18"/>
      <c r="Q1774" s="22"/>
      <c r="R1774" s="21"/>
      <c r="S1774" s="21"/>
      <c r="T1774" s="21"/>
      <c r="AA1774"/>
      <c r="AH1774" t="str">
        <f t="shared" si="264"/>
        <v>k yet</v>
      </c>
    </row>
    <row r="1775" spans="1:39">
      <c r="A1775" s="42" t="s">
        <v>255</v>
      </c>
      <c r="B1775" s="1" t="s">
        <v>20</v>
      </c>
      <c r="C1775" s="40" t="str">
        <f t="shared" si="261"/>
        <v>10-&gt;</v>
      </c>
      <c r="D1775" s="40" t="str">
        <f t="shared" si="262"/>
        <v xml:space="preserve">No pick yet                                                 </v>
      </c>
      <c r="E1775" s="52">
        <f t="shared" si="263"/>
        <v>0</v>
      </c>
      <c r="F1775" s="22"/>
      <c r="M1775" s="18"/>
      <c r="N1775" s="18"/>
      <c r="O1775" s="18"/>
      <c r="P1775" s="18"/>
      <c r="Q1775" s="22"/>
      <c r="R1775" s="21"/>
      <c r="S1775" s="21"/>
      <c r="T1775" s="21"/>
      <c r="AA1775"/>
      <c r="AH1775" t="str">
        <f t="shared" si="264"/>
        <v>k yet</v>
      </c>
    </row>
    <row r="1776" spans="1:39">
      <c r="A1776" s="42" t="s">
        <v>256</v>
      </c>
      <c r="B1776" s="1" t="s">
        <v>20</v>
      </c>
      <c r="C1776" s="40" t="str">
        <f t="shared" si="261"/>
        <v>11-&gt;</v>
      </c>
      <c r="D1776" s="40" t="str">
        <f t="shared" si="262"/>
        <v xml:space="preserve">No pick yet                                                 </v>
      </c>
      <c r="E1776" s="52">
        <f t="shared" si="263"/>
        <v>0</v>
      </c>
      <c r="M1776" s="18"/>
      <c r="N1776" s="18"/>
      <c r="O1776" s="18"/>
      <c r="P1776" s="18"/>
      <c r="Q1776" s="22"/>
      <c r="R1776" s="21"/>
      <c r="S1776" s="21"/>
      <c r="T1776" s="21"/>
      <c r="AA1776"/>
      <c r="AH1776" t="str">
        <f t="shared" si="264"/>
        <v>k yet</v>
      </c>
    </row>
    <row r="1777" spans="1:39">
      <c r="A1777" s="42" t="s">
        <v>257</v>
      </c>
      <c r="B1777" s="1" t="s">
        <v>20</v>
      </c>
      <c r="C1777" s="40" t="str">
        <f t="shared" si="261"/>
        <v>12-&gt;</v>
      </c>
      <c r="D1777" s="40" t="str">
        <f t="shared" si="262"/>
        <v xml:space="preserve">No pick yet                                                 </v>
      </c>
      <c r="E1777" s="52">
        <f t="shared" si="263"/>
        <v>0</v>
      </c>
      <c r="M1777" s="18"/>
      <c r="N1777" s="18"/>
      <c r="O1777" s="18"/>
      <c r="P1777" s="18"/>
      <c r="Q1777" s="22"/>
      <c r="R1777" s="21"/>
      <c r="S1777" s="21"/>
      <c r="T1777" s="21"/>
      <c r="AA1777"/>
      <c r="AH1777" t="str">
        <f t="shared" si="264"/>
        <v>k yet</v>
      </c>
    </row>
    <row r="1778" spans="1:39">
      <c r="A1778" s="42" t="s">
        <v>258</v>
      </c>
      <c r="B1778" s="1" t="s">
        <v>20</v>
      </c>
      <c r="C1778" s="40" t="str">
        <f t="shared" si="261"/>
        <v>13-&gt;</v>
      </c>
      <c r="D1778" s="40" t="str">
        <f t="shared" si="262"/>
        <v xml:space="preserve">No pick yet                                                 </v>
      </c>
      <c r="E1778" s="52">
        <f t="shared" si="263"/>
        <v>0</v>
      </c>
      <c r="M1778" s="18"/>
      <c r="N1778" s="18"/>
      <c r="O1778" s="18"/>
      <c r="P1778" s="18"/>
      <c r="Q1778" s="22"/>
      <c r="R1778" s="21"/>
      <c r="S1778" s="21"/>
      <c r="T1778" s="21"/>
      <c r="AA1778"/>
      <c r="AH1778" t="str">
        <f t="shared" si="264"/>
        <v>k yet</v>
      </c>
    </row>
    <row r="1779" spans="1:39">
      <c r="A1779" s="42" t="s">
        <v>259</v>
      </c>
      <c r="B1779" s="1" t="s">
        <v>20</v>
      </c>
      <c r="C1779" s="40" t="str">
        <f t="shared" si="261"/>
        <v>14-&gt;</v>
      </c>
      <c r="D1779" s="40" t="str">
        <f t="shared" si="262"/>
        <v xml:space="preserve">No pick yet                                                 </v>
      </c>
      <c r="E1779" s="52">
        <f t="shared" si="263"/>
        <v>0</v>
      </c>
      <c r="M1779" s="18"/>
      <c r="N1779" s="18"/>
      <c r="O1779" s="18"/>
      <c r="P1779" s="18"/>
      <c r="Q1779" s="22"/>
      <c r="R1779" s="21"/>
      <c r="S1779" s="21"/>
      <c r="T1779" s="21"/>
      <c r="AA1779"/>
      <c r="AH1779" t="str">
        <f t="shared" si="264"/>
        <v>k yet</v>
      </c>
    </row>
    <row r="1780" spans="1:39">
      <c r="A1780" s="42" t="s">
        <v>260</v>
      </c>
      <c r="B1780" s="1" t="s">
        <v>20</v>
      </c>
      <c r="C1780" s="40" t="str">
        <f t="shared" si="261"/>
        <v>15-&gt;</v>
      </c>
      <c r="D1780" s="40" t="str">
        <f t="shared" si="262"/>
        <v xml:space="preserve">No pick yet                                                 </v>
      </c>
      <c r="E1780" s="52">
        <f t="shared" si="263"/>
        <v>0</v>
      </c>
      <c r="M1780" s="18"/>
      <c r="N1780" s="18"/>
      <c r="O1780" s="18"/>
      <c r="P1780" s="18"/>
      <c r="Q1780" s="22"/>
      <c r="R1780" s="21"/>
      <c r="S1780" s="21"/>
      <c r="T1780" s="21"/>
      <c r="AA1780"/>
      <c r="AH1780" t="str">
        <f t="shared" si="264"/>
        <v>k yet</v>
      </c>
    </row>
    <row r="1781" spans="1:39">
      <c r="A1781" s="42" t="s">
        <v>261</v>
      </c>
      <c r="B1781" s="1" t="s">
        <v>20</v>
      </c>
      <c r="C1781" s="40" t="str">
        <f t="shared" si="261"/>
        <v>16-&gt;</v>
      </c>
      <c r="D1781" s="40" t="str">
        <f t="shared" si="262"/>
        <v xml:space="preserve">No pick yet                                                 </v>
      </c>
      <c r="E1781" s="52">
        <f t="shared" si="263"/>
        <v>0</v>
      </c>
      <c r="M1781" s="18"/>
      <c r="N1781" s="18"/>
      <c r="O1781" s="18"/>
      <c r="P1781" s="18"/>
      <c r="Q1781" s="22"/>
      <c r="R1781" s="21"/>
      <c r="S1781" s="21"/>
      <c r="T1781" s="21"/>
      <c r="AA1781"/>
      <c r="AH1781" t="str">
        <f t="shared" si="264"/>
        <v>k yet</v>
      </c>
    </row>
    <row r="1782" spans="1:39">
      <c r="A1782" s="42" t="s">
        <v>262</v>
      </c>
      <c r="B1782" s="1" t="s">
        <v>20</v>
      </c>
      <c r="C1782" s="40" t="str">
        <f t="shared" si="261"/>
        <v>17-&gt;</v>
      </c>
      <c r="D1782" s="40" t="str">
        <f t="shared" si="262"/>
        <v xml:space="preserve">No pick yet                                                 </v>
      </c>
      <c r="E1782" s="52">
        <f t="shared" si="263"/>
        <v>0</v>
      </c>
      <c r="K1782" s="22"/>
      <c r="N1782" s="22"/>
      <c r="O1782" s="22"/>
      <c r="P1782" s="22"/>
      <c r="Q1782" s="22"/>
      <c r="R1782" s="22"/>
      <c r="S1782" s="22"/>
      <c r="Z1782" s="53"/>
      <c r="AA1782"/>
      <c r="AH1782" t="str">
        <f t="shared" si="264"/>
        <v>k yet</v>
      </c>
    </row>
    <row r="1783" spans="1:39">
      <c r="A1783" s="42" t="s">
        <v>263</v>
      </c>
      <c r="B1783" s="1" t="s">
        <v>20</v>
      </c>
      <c r="C1783" s="40" t="str">
        <f t="shared" si="261"/>
        <v>18-&gt;</v>
      </c>
      <c r="D1783" s="40" t="str">
        <f t="shared" si="262"/>
        <v xml:space="preserve">No pick yet                                                 </v>
      </c>
      <c r="E1783" s="52">
        <f t="shared" si="263"/>
        <v>0</v>
      </c>
      <c r="F1783" s="18"/>
      <c r="L1783" s="21"/>
      <c r="N1783" s="22"/>
      <c r="O1783" s="22"/>
      <c r="P1783" s="18"/>
      <c r="Q1783" s="22"/>
      <c r="R1783" s="22"/>
      <c r="S1783" s="22"/>
      <c r="Z1783" s="53"/>
      <c r="AA1783"/>
      <c r="AH1783" t="str">
        <f t="shared" si="264"/>
        <v>k yet</v>
      </c>
    </row>
    <row r="1784" spans="1:39">
      <c r="A1784" s="42" t="s">
        <v>264</v>
      </c>
      <c r="B1784" s="1" t="s">
        <v>20</v>
      </c>
      <c r="C1784" s="40" t="str">
        <f t="shared" si="261"/>
        <v>19-&gt;</v>
      </c>
      <c r="D1784" s="40" t="str">
        <f t="shared" si="262"/>
        <v xml:space="preserve">No pick yet                                                 </v>
      </c>
      <c r="E1784" s="52">
        <f t="shared" si="263"/>
        <v>0</v>
      </c>
      <c r="F1784" s="18"/>
      <c r="M1784" s="18"/>
      <c r="N1784" s="18"/>
      <c r="O1784" s="18"/>
      <c r="P1784" s="18"/>
      <c r="Q1784" s="22"/>
      <c r="R1784" s="21"/>
      <c r="S1784" s="21"/>
      <c r="T1784" s="21"/>
      <c r="AA1784"/>
      <c r="AH1784" t="str">
        <f t="shared" si="264"/>
        <v>k yet</v>
      </c>
    </row>
    <row r="1785" spans="1:39">
      <c r="A1785" s="42" t="s">
        <v>265</v>
      </c>
      <c r="B1785" s="1" t="s">
        <v>20</v>
      </c>
      <c r="C1785" s="40" t="str">
        <f t="shared" si="261"/>
        <v>20-&gt;</v>
      </c>
      <c r="D1785" s="40" t="str">
        <f t="shared" si="262"/>
        <v xml:space="preserve">No pick yet                                                 </v>
      </c>
      <c r="E1785" s="52">
        <f t="shared" si="263"/>
        <v>0</v>
      </c>
      <c r="F1785" s="18"/>
      <c r="M1785" s="18"/>
      <c r="N1785" s="18"/>
      <c r="O1785" s="18"/>
      <c r="P1785" s="18"/>
      <c r="Q1785" s="22"/>
      <c r="R1785" s="21"/>
      <c r="S1785" s="21"/>
      <c r="T1785" s="21"/>
      <c r="AA1785"/>
      <c r="AH1785" t="str">
        <f t="shared" si="264"/>
        <v>k yet</v>
      </c>
    </row>
    <row r="1786" spans="1:39">
      <c r="A1786" s="42" t="s">
        <v>266</v>
      </c>
      <c r="B1786" s="1" t="s">
        <v>20</v>
      </c>
      <c r="C1786" s="40" t="str">
        <f t="shared" si="261"/>
        <v>21-&gt;</v>
      </c>
      <c r="D1786" s="40" t="str">
        <f t="shared" si="262"/>
        <v xml:space="preserve">No pick yet                                                 </v>
      </c>
      <c r="E1786" s="52">
        <f t="shared" si="263"/>
        <v>0</v>
      </c>
      <c r="F1786" s="18"/>
      <c r="M1786" s="18"/>
      <c r="N1786" s="18"/>
      <c r="O1786" s="18"/>
      <c r="P1786" s="18"/>
      <c r="Q1786" s="22"/>
      <c r="R1786" s="21"/>
      <c r="S1786" s="21"/>
      <c r="T1786" s="21"/>
      <c r="AA1786"/>
      <c r="AH1786" t="str">
        <f t="shared" si="264"/>
        <v>k yet</v>
      </c>
    </row>
    <row r="1787" spans="1:39">
      <c r="A1787" s="42" t="s">
        <v>267</v>
      </c>
      <c r="B1787" s="1" t="s">
        <v>20</v>
      </c>
      <c r="C1787" s="40" t="str">
        <f t="shared" si="261"/>
        <v>22-&gt;</v>
      </c>
      <c r="D1787" s="40" t="str">
        <f t="shared" si="262"/>
        <v xml:space="preserve">No pick yet                                                 </v>
      </c>
      <c r="E1787" s="52">
        <f t="shared" si="263"/>
        <v>0</v>
      </c>
      <c r="F1787" s="18"/>
      <c r="M1787" s="18"/>
      <c r="N1787" s="18"/>
      <c r="O1787" s="18"/>
      <c r="P1787" s="18"/>
      <c r="Q1787" s="22"/>
      <c r="R1787" s="21"/>
      <c r="S1787" s="21"/>
      <c r="T1787" s="21"/>
      <c r="AA1787"/>
      <c r="AH1787" t="str">
        <f t="shared" si="264"/>
        <v>k yet</v>
      </c>
    </row>
    <row r="1788" spans="1:39">
      <c r="A1788" s="42" t="s">
        <v>268</v>
      </c>
      <c r="B1788" s="1" t="s">
        <v>20</v>
      </c>
      <c r="C1788" s="40" t="str">
        <f t="shared" si="261"/>
        <v>23-&gt;</v>
      </c>
      <c r="D1788" s="40" t="str">
        <f t="shared" si="262"/>
        <v xml:space="preserve">No pick yet                                                 </v>
      </c>
      <c r="E1788" s="52">
        <f t="shared" si="263"/>
        <v>0</v>
      </c>
      <c r="F1788" s="18"/>
      <c r="M1788" s="18"/>
      <c r="N1788" s="18"/>
      <c r="O1788" s="18"/>
      <c r="P1788" s="18"/>
      <c r="Q1788" s="22"/>
      <c r="R1788" s="21"/>
      <c r="S1788" s="21"/>
      <c r="T1788" s="21"/>
      <c r="AA1788"/>
      <c r="AH1788" t="str">
        <f t="shared" si="264"/>
        <v>k yet</v>
      </c>
    </row>
    <row r="1789" spans="1:39">
      <c r="A1789" s="42" t="s">
        <v>269</v>
      </c>
      <c r="B1789" s="1" t="s">
        <v>20</v>
      </c>
      <c r="C1789" s="40" t="str">
        <f t="shared" si="261"/>
        <v>24-&gt;</v>
      </c>
      <c r="D1789" s="40" t="str">
        <f t="shared" si="262"/>
        <v xml:space="preserve">No pick yet                                                 </v>
      </c>
      <c r="E1789" s="52">
        <f t="shared" si="263"/>
        <v>0</v>
      </c>
      <c r="F1789" s="18"/>
      <c r="M1789" s="18"/>
      <c r="N1789" s="18"/>
      <c r="O1789" s="18"/>
      <c r="P1789" s="18"/>
      <c r="Q1789" s="22"/>
      <c r="R1789" s="21"/>
      <c r="S1789" s="21"/>
      <c r="T1789" s="21"/>
      <c r="AA1789"/>
      <c r="AH1789" t="str">
        <f t="shared" si="264"/>
        <v>k yet</v>
      </c>
    </row>
    <row r="1790" spans="1:39">
      <c r="A1790" s="42" t="s">
        <v>270</v>
      </c>
      <c r="B1790" s="1" t="s">
        <v>20</v>
      </c>
      <c r="C1790" s="40" t="str">
        <f t="shared" si="261"/>
        <v>25-&gt;</v>
      </c>
      <c r="D1790" s="40" t="str">
        <f t="shared" si="262"/>
        <v xml:space="preserve">No pick yet                                                 </v>
      </c>
      <c r="E1790" s="52">
        <f t="shared" si="263"/>
        <v>0</v>
      </c>
      <c r="F1790" s="18"/>
      <c r="M1790" s="18"/>
      <c r="N1790" s="18"/>
      <c r="O1790" s="18"/>
      <c r="P1790" s="18"/>
      <c r="Q1790" s="22"/>
      <c r="R1790" s="21"/>
      <c r="S1790" s="21"/>
      <c r="T1790" s="21"/>
      <c r="AA1790"/>
      <c r="AH1790" t="str">
        <f t="shared" si="264"/>
        <v>k yet</v>
      </c>
    </row>
    <row r="1791" spans="1:39">
      <c r="A1791" s="42" t="s">
        <v>271</v>
      </c>
      <c r="B1791" s="1" t="s">
        <v>20</v>
      </c>
      <c r="C1791" s="40" t="str">
        <f t="shared" si="261"/>
        <v>26-&gt;</v>
      </c>
      <c r="D1791" s="40" t="str">
        <f t="shared" si="262"/>
        <v xml:space="preserve">No pick yet                                                 </v>
      </c>
      <c r="E1791" s="52">
        <f t="shared" si="263"/>
        <v>0</v>
      </c>
      <c r="F1791" s="18"/>
      <c r="M1791" s="18"/>
      <c r="N1791" s="18"/>
      <c r="O1791" s="18"/>
      <c r="P1791" s="18"/>
      <c r="Q1791" s="22"/>
      <c r="R1791" s="21"/>
      <c r="S1791" s="21"/>
      <c r="T1791" s="21"/>
      <c r="AA1791"/>
      <c r="AH1791" t="str">
        <f t="shared" si="264"/>
        <v>k yet</v>
      </c>
    </row>
    <row r="1792" spans="1:39">
      <c r="A1792" s="38"/>
      <c r="B1792" s="40"/>
      <c r="C1792" s="40"/>
      <c r="D1792" s="49"/>
      <c r="E1792" s="41" t="s">
        <v>69</v>
      </c>
      <c r="F1792" s="18"/>
      <c r="K1792" s="22" t="s">
        <v>73</v>
      </c>
      <c r="L1792" s="18" t="s">
        <v>74</v>
      </c>
      <c r="M1792" s="22" t="s">
        <v>78</v>
      </c>
      <c r="N1792" s="22" t="s">
        <v>79</v>
      </c>
      <c r="O1792" s="22" t="s">
        <v>80</v>
      </c>
      <c r="P1792" s="22" t="s">
        <v>81</v>
      </c>
      <c r="Q1792" s="22" t="s">
        <v>82</v>
      </c>
      <c r="R1792" s="22" t="s">
        <v>83</v>
      </c>
      <c r="S1792" s="22" t="s">
        <v>84</v>
      </c>
      <c r="T1792" s="18" t="s">
        <v>85</v>
      </c>
      <c r="U1792" s="18" t="s">
        <v>86</v>
      </c>
      <c r="V1792" s="18" t="s">
        <v>87</v>
      </c>
      <c r="W1792" s="18" t="s">
        <v>88</v>
      </c>
      <c r="X1792" s="18" t="s">
        <v>89</v>
      </c>
      <c r="Y1792" s="18" t="s">
        <v>90</v>
      </c>
      <c r="Z1792" s="18" t="s">
        <v>91</v>
      </c>
      <c r="AA1792" s="18" t="s">
        <v>92</v>
      </c>
      <c r="AB1792" s="18" t="s">
        <v>93</v>
      </c>
      <c r="AC1792" s="18" t="s">
        <v>94</v>
      </c>
      <c r="AD1792" s="18" t="s">
        <v>235</v>
      </c>
      <c r="AE1792" s="18" t="s">
        <v>236</v>
      </c>
      <c r="AF1792" s="18" t="s">
        <v>237</v>
      </c>
      <c r="AG1792" s="18" t="s">
        <v>238</v>
      </c>
      <c r="AH1792" s="18" t="s">
        <v>239</v>
      </c>
      <c r="AI1792" s="18" t="s">
        <v>240</v>
      </c>
      <c r="AJ1792" s="18" t="s">
        <v>241</v>
      </c>
      <c r="AK1792" s="18" t="s">
        <v>242</v>
      </c>
      <c r="AL1792" s="18" t="s">
        <v>243</v>
      </c>
      <c r="AM1792" s="50" t="s">
        <v>244</v>
      </c>
    </row>
    <row r="1793" spans="1:39">
      <c r="A1793" s="40" t="s">
        <v>245</v>
      </c>
      <c r="B1793" s="51" t="str">
        <f>D63</f>
        <v/>
      </c>
      <c r="C1793" s="40" t="str">
        <f t="shared" ref="C1793:C1819" si="265">A1793</f>
        <v>#</v>
      </c>
      <c r="D1793" s="40" t="str">
        <f>"   "&amp;B1793&amp;REPT(" ",$AH$70-LEN(B1793)-3)</f>
        <v xml:space="preserve">                                                            </v>
      </c>
      <c r="E1793" s="38" t="str">
        <f>SUM(E1794:E1819)&amp;" pts[/b]"</f>
        <v>0 pts[/b]</v>
      </c>
      <c r="F1793" s="21">
        <f>SUM(E1794:E1819)</f>
        <v>0</v>
      </c>
      <c r="K1793" s="18">
        <f>COUNTIF(E1794:E1819,"&gt;0")</f>
        <v>0</v>
      </c>
      <c r="L1793" s="21">
        <f>AM1793-K1793</f>
        <v>0</v>
      </c>
      <c r="M1793" s="22">
        <f>MAX(E1794:E1819)</f>
        <v>0</v>
      </c>
      <c r="N1793" s="22">
        <f>LARGE(E1794:E1819,2)</f>
        <v>0</v>
      </c>
      <c r="O1793" s="22">
        <f>LARGE(E1794:E1819,3)</f>
        <v>0</v>
      </c>
      <c r="P1793" s="18">
        <f>LARGE(E1794:E1819,4)</f>
        <v>0</v>
      </c>
      <c r="Q1793" s="22">
        <f>LARGE(E1794:E1819,5)</f>
        <v>0</v>
      </c>
      <c r="R1793" s="22">
        <f>LARGE(E1794:E1819,6)</f>
        <v>0</v>
      </c>
      <c r="S1793" s="22">
        <f>LARGE(E1794:E1819,7)</f>
        <v>0</v>
      </c>
      <c r="T1793" s="18">
        <f>LARGE(E1794:E1819,8)</f>
        <v>0</v>
      </c>
      <c r="U1793" s="18">
        <f>LARGE(E1794:E1819,9)</f>
        <v>0</v>
      </c>
      <c r="V1793" s="18">
        <f>LARGE(E1794:E1819,10)</f>
        <v>0</v>
      </c>
      <c r="W1793" s="18">
        <f>LARGE(E1794:E1819,11)</f>
        <v>0</v>
      </c>
      <c r="X1793" s="18">
        <f>LARGE(E1794:E1819,12)</f>
        <v>0</v>
      </c>
      <c r="Y1793" s="18">
        <f>LARGE(E1794:E1819,13)</f>
        <v>0</v>
      </c>
      <c r="Z1793" s="18">
        <f>LARGE(E1794:E1819,14)</f>
        <v>0</v>
      </c>
      <c r="AA1793" s="18">
        <f>LARGE(E1794:E1819,15)</f>
        <v>0</v>
      </c>
      <c r="AB1793" s="18">
        <f>LARGE(E1794:E1819,16)</f>
        <v>0</v>
      </c>
      <c r="AC1793" s="18">
        <f>LARGE(E1794:E1819,17)</f>
        <v>0</v>
      </c>
      <c r="AD1793" s="18">
        <f>LARGE(E1794:E1820,13)</f>
        <v>0</v>
      </c>
      <c r="AE1793" s="18">
        <f>LARGE(E1794:E1819,19)</f>
        <v>0</v>
      </c>
      <c r="AF1793" s="18">
        <f>LARGE(E1794:E1819,20)</f>
        <v>0</v>
      </c>
      <c r="AG1793" s="18">
        <f>LARGE(E1794:E1819,21)</f>
        <v>0</v>
      </c>
      <c r="AH1793" s="18">
        <f>LARGE(E1794:E1819,22)</f>
        <v>0</v>
      </c>
      <c r="AI1793" s="18">
        <f>LARGE(E1794:E1819,23)</f>
        <v>0</v>
      </c>
      <c r="AJ1793" s="18">
        <f>LARGE(E1794:E1819,24)</f>
        <v>0</v>
      </c>
      <c r="AK1793" s="18">
        <f>LARGE(E1794:E1819,25)</f>
        <v>0</v>
      </c>
      <c r="AL1793" s="18">
        <f>LARGE(E1794:E1819,26)</f>
        <v>0</v>
      </c>
      <c r="AM1793" s="50">
        <f>COUNTIF(AH1794:AH1819,"&lt;&gt;"&amp;$AH$76)-(26-COUNTIF(E1794:E1819,"&gt;=0"))</f>
        <v>0</v>
      </c>
    </row>
    <row r="1794" spans="1:39">
      <c r="A1794" s="42" t="s">
        <v>246</v>
      </c>
      <c r="B1794" s="1" t="s">
        <v>20</v>
      </c>
      <c r="C1794" s="40" t="str">
        <f t="shared" si="265"/>
        <v>01-&gt;</v>
      </c>
      <c r="D1794" s="40" t="str">
        <f t="shared" ref="D1794:D1819" si="266">B1794&amp;REPT(" ",$AH$70-LEN(B1794))</f>
        <v xml:space="preserve">No pick yet                                                 </v>
      </c>
      <c r="E1794" s="52">
        <f t="shared" ref="E1794:E1819" si="267">VLOOKUP(RIGHT(B1794,LEN(B1794)-$AH$66),$H$138:$I$420,2,0)</f>
        <v>0</v>
      </c>
      <c r="F1794" s="18"/>
      <c r="M1794" s="18"/>
      <c r="N1794" s="18"/>
      <c r="O1794" s="18"/>
      <c r="P1794" s="18"/>
      <c r="Q1794" s="22"/>
      <c r="R1794" s="21"/>
      <c r="S1794" s="21"/>
      <c r="T1794" s="21"/>
      <c r="AA1794"/>
      <c r="AH1794" t="str">
        <f t="shared" ref="AH1794:AH1819" si="268">RIGHT(B1794,LEN(B1794)-$AH$66)</f>
        <v>k yet</v>
      </c>
    </row>
    <row r="1795" spans="1:39">
      <c r="A1795" s="42" t="s">
        <v>247</v>
      </c>
      <c r="B1795" s="1" t="s">
        <v>20</v>
      </c>
      <c r="C1795" s="40" t="str">
        <f t="shared" si="265"/>
        <v>02-&gt;</v>
      </c>
      <c r="D1795" s="40" t="str">
        <f t="shared" si="266"/>
        <v xml:space="preserve">No pick yet                                                 </v>
      </c>
      <c r="E1795" s="52">
        <f t="shared" si="267"/>
        <v>0</v>
      </c>
      <c r="F1795" s="18"/>
      <c r="K1795" s="22"/>
      <c r="N1795" s="22"/>
      <c r="O1795" s="22"/>
      <c r="P1795" s="22"/>
      <c r="Q1795" s="22"/>
      <c r="R1795" s="22"/>
      <c r="S1795" s="22"/>
      <c r="Z1795" s="53"/>
      <c r="AA1795"/>
      <c r="AH1795" t="str">
        <f t="shared" si="268"/>
        <v>k yet</v>
      </c>
    </row>
    <row r="1796" spans="1:39">
      <c r="A1796" s="42" t="s">
        <v>248</v>
      </c>
      <c r="B1796" s="1" t="s">
        <v>20</v>
      </c>
      <c r="C1796" s="40" t="str">
        <f t="shared" si="265"/>
        <v>03-&gt;</v>
      </c>
      <c r="D1796" s="40" t="str">
        <f t="shared" si="266"/>
        <v xml:space="preserve">No pick yet                                                 </v>
      </c>
      <c r="E1796" s="52">
        <f t="shared" si="267"/>
        <v>0</v>
      </c>
      <c r="F1796" s="18"/>
      <c r="L1796" s="21"/>
      <c r="N1796" s="22"/>
      <c r="O1796" s="22"/>
      <c r="P1796" s="18"/>
      <c r="Q1796" s="22"/>
      <c r="R1796" s="22"/>
      <c r="S1796" s="22"/>
      <c r="Z1796" s="53"/>
      <c r="AA1796"/>
      <c r="AH1796" t="str">
        <f t="shared" si="268"/>
        <v>k yet</v>
      </c>
    </row>
    <row r="1797" spans="1:39">
      <c r="A1797" s="42" t="s">
        <v>249</v>
      </c>
      <c r="B1797" s="1" t="s">
        <v>20</v>
      </c>
      <c r="C1797" s="40" t="str">
        <f t="shared" si="265"/>
        <v>04-&gt;</v>
      </c>
      <c r="D1797" s="40" t="str">
        <f t="shared" si="266"/>
        <v xml:space="preserve">No pick yet                                                 </v>
      </c>
      <c r="E1797" s="52">
        <f t="shared" si="267"/>
        <v>0</v>
      </c>
      <c r="F1797" s="18"/>
      <c r="M1797" s="18"/>
      <c r="N1797" s="18"/>
      <c r="O1797" s="18"/>
      <c r="P1797" s="18"/>
      <c r="Q1797" s="22"/>
      <c r="R1797" s="21"/>
      <c r="S1797" s="21"/>
      <c r="T1797" s="21"/>
      <c r="AA1797"/>
      <c r="AH1797" t="str">
        <f t="shared" si="268"/>
        <v>k yet</v>
      </c>
    </row>
    <row r="1798" spans="1:39">
      <c r="A1798" s="42" t="s">
        <v>250</v>
      </c>
      <c r="B1798" s="1" t="s">
        <v>20</v>
      </c>
      <c r="C1798" s="40" t="str">
        <f t="shared" si="265"/>
        <v>05-&gt;</v>
      </c>
      <c r="D1798" s="40" t="str">
        <f t="shared" si="266"/>
        <v xml:space="preserve">No pick yet                                                 </v>
      </c>
      <c r="E1798" s="52">
        <f t="shared" si="267"/>
        <v>0</v>
      </c>
      <c r="F1798" s="18"/>
      <c r="M1798" s="18"/>
      <c r="N1798" s="18"/>
      <c r="O1798" s="18"/>
      <c r="P1798" s="18"/>
      <c r="Q1798" s="22"/>
      <c r="R1798" s="21"/>
      <c r="S1798" s="21"/>
      <c r="T1798" s="21"/>
      <c r="AA1798"/>
      <c r="AH1798" t="str">
        <f t="shared" si="268"/>
        <v>k yet</v>
      </c>
    </row>
    <row r="1799" spans="1:39">
      <c r="A1799" s="42" t="s">
        <v>251</v>
      </c>
      <c r="B1799" s="1" t="s">
        <v>20</v>
      </c>
      <c r="C1799" s="40" t="str">
        <f t="shared" si="265"/>
        <v>06-&gt;</v>
      </c>
      <c r="D1799" s="40" t="str">
        <f t="shared" si="266"/>
        <v xml:space="preserve">No pick yet                                                 </v>
      </c>
      <c r="E1799" s="52">
        <f t="shared" si="267"/>
        <v>0</v>
      </c>
      <c r="F1799" s="18"/>
      <c r="M1799" s="18"/>
      <c r="N1799" s="18"/>
      <c r="O1799" s="18"/>
      <c r="P1799" s="18"/>
      <c r="Q1799" s="22"/>
      <c r="R1799" s="21"/>
      <c r="S1799" s="21"/>
      <c r="T1799" s="21"/>
      <c r="AA1799"/>
      <c r="AH1799" t="str">
        <f t="shared" si="268"/>
        <v>k yet</v>
      </c>
    </row>
    <row r="1800" spans="1:39">
      <c r="A1800" s="42" t="s">
        <v>252</v>
      </c>
      <c r="B1800" s="1" t="s">
        <v>20</v>
      </c>
      <c r="C1800" s="40" t="str">
        <f t="shared" si="265"/>
        <v>07-&gt;</v>
      </c>
      <c r="D1800" s="40" t="str">
        <f t="shared" si="266"/>
        <v xml:space="preserve">No pick yet                                                 </v>
      </c>
      <c r="E1800" s="52">
        <f t="shared" si="267"/>
        <v>0</v>
      </c>
      <c r="F1800" s="18"/>
      <c r="M1800" s="18"/>
      <c r="N1800" s="18"/>
      <c r="O1800" s="18"/>
      <c r="P1800" s="18"/>
      <c r="Q1800" s="22"/>
      <c r="R1800" s="21"/>
      <c r="S1800" s="21"/>
      <c r="T1800" s="21"/>
      <c r="AA1800"/>
      <c r="AH1800" t="str">
        <f t="shared" si="268"/>
        <v>k yet</v>
      </c>
    </row>
    <row r="1801" spans="1:39">
      <c r="A1801" s="42" t="s">
        <v>253</v>
      </c>
      <c r="B1801" s="1" t="s">
        <v>20</v>
      </c>
      <c r="C1801" s="40" t="str">
        <f t="shared" si="265"/>
        <v>08-&gt;</v>
      </c>
      <c r="D1801" s="40" t="str">
        <f t="shared" si="266"/>
        <v xml:space="preserve">No pick yet                                                 </v>
      </c>
      <c r="E1801" s="52">
        <f t="shared" si="267"/>
        <v>0</v>
      </c>
      <c r="F1801" s="18"/>
      <c r="M1801" s="18"/>
      <c r="N1801" s="18"/>
      <c r="O1801" s="18"/>
      <c r="P1801" s="18"/>
      <c r="Q1801" s="22"/>
      <c r="R1801" s="21"/>
      <c r="S1801" s="21"/>
      <c r="T1801" s="21"/>
      <c r="AA1801"/>
      <c r="AH1801" t="str">
        <f t="shared" si="268"/>
        <v>k yet</v>
      </c>
    </row>
    <row r="1802" spans="1:39">
      <c r="A1802" s="42" t="s">
        <v>254</v>
      </c>
      <c r="B1802" s="1" t="s">
        <v>20</v>
      </c>
      <c r="C1802" s="40" t="str">
        <f t="shared" si="265"/>
        <v>09-&gt;</v>
      </c>
      <c r="D1802" s="40" t="str">
        <f t="shared" si="266"/>
        <v xml:space="preserve">No pick yet                                                 </v>
      </c>
      <c r="E1802" s="52">
        <f t="shared" si="267"/>
        <v>0</v>
      </c>
      <c r="F1802" s="18"/>
      <c r="M1802" s="18"/>
      <c r="N1802" s="18"/>
      <c r="O1802" s="18"/>
      <c r="P1802" s="18"/>
      <c r="Q1802" s="22"/>
      <c r="R1802" s="21"/>
      <c r="S1802" s="21"/>
      <c r="T1802" s="21"/>
      <c r="AA1802"/>
      <c r="AH1802" t="str">
        <f t="shared" si="268"/>
        <v>k yet</v>
      </c>
    </row>
    <row r="1803" spans="1:39">
      <c r="A1803" s="42" t="s">
        <v>255</v>
      </c>
      <c r="B1803" s="1" t="s">
        <v>20</v>
      </c>
      <c r="C1803" s="40" t="str">
        <f t="shared" si="265"/>
        <v>10-&gt;</v>
      </c>
      <c r="D1803" s="40" t="str">
        <f t="shared" si="266"/>
        <v xml:space="preserve">No pick yet                                                 </v>
      </c>
      <c r="E1803" s="52">
        <f t="shared" si="267"/>
        <v>0</v>
      </c>
      <c r="F1803" s="22"/>
      <c r="M1803" s="18"/>
      <c r="N1803" s="18"/>
      <c r="O1803" s="18"/>
      <c r="P1803" s="18"/>
      <c r="Q1803" s="22"/>
      <c r="R1803" s="21"/>
      <c r="S1803" s="21"/>
      <c r="T1803" s="21"/>
      <c r="AA1803"/>
      <c r="AH1803" t="str">
        <f t="shared" si="268"/>
        <v>k yet</v>
      </c>
    </row>
    <row r="1804" spans="1:39">
      <c r="A1804" s="42" t="s">
        <v>256</v>
      </c>
      <c r="B1804" s="1" t="s">
        <v>20</v>
      </c>
      <c r="C1804" s="40" t="str">
        <f t="shared" si="265"/>
        <v>11-&gt;</v>
      </c>
      <c r="D1804" s="40" t="str">
        <f t="shared" si="266"/>
        <v xml:space="preserve">No pick yet                                                 </v>
      </c>
      <c r="E1804" s="52">
        <f t="shared" si="267"/>
        <v>0</v>
      </c>
      <c r="M1804" s="18"/>
      <c r="N1804" s="18"/>
      <c r="O1804" s="18"/>
      <c r="P1804" s="18"/>
      <c r="Q1804" s="22"/>
      <c r="R1804" s="21"/>
      <c r="S1804" s="21"/>
      <c r="T1804" s="21"/>
      <c r="AA1804"/>
      <c r="AH1804" t="str">
        <f t="shared" si="268"/>
        <v>k yet</v>
      </c>
    </row>
    <row r="1805" spans="1:39">
      <c r="A1805" s="42" t="s">
        <v>257</v>
      </c>
      <c r="B1805" s="1" t="s">
        <v>20</v>
      </c>
      <c r="C1805" s="40" t="str">
        <f t="shared" si="265"/>
        <v>12-&gt;</v>
      </c>
      <c r="D1805" s="40" t="str">
        <f t="shared" si="266"/>
        <v xml:space="preserve">No pick yet                                                 </v>
      </c>
      <c r="E1805" s="52">
        <f t="shared" si="267"/>
        <v>0</v>
      </c>
      <c r="M1805" s="18"/>
      <c r="N1805" s="18"/>
      <c r="O1805" s="18"/>
      <c r="P1805" s="18"/>
      <c r="Q1805" s="22"/>
      <c r="R1805" s="21"/>
      <c r="S1805" s="21"/>
      <c r="T1805" s="21"/>
      <c r="AA1805"/>
      <c r="AH1805" t="str">
        <f t="shared" si="268"/>
        <v>k yet</v>
      </c>
    </row>
    <row r="1806" spans="1:39">
      <c r="A1806" s="42" t="s">
        <v>258</v>
      </c>
      <c r="B1806" s="1" t="s">
        <v>20</v>
      </c>
      <c r="C1806" s="40" t="str">
        <f t="shared" si="265"/>
        <v>13-&gt;</v>
      </c>
      <c r="D1806" s="40" t="str">
        <f t="shared" si="266"/>
        <v xml:space="preserve">No pick yet                                                 </v>
      </c>
      <c r="E1806" s="52">
        <f t="shared" si="267"/>
        <v>0</v>
      </c>
      <c r="M1806" s="18"/>
      <c r="N1806" s="18"/>
      <c r="O1806" s="18"/>
      <c r="P1806" s="18"/>
      <c r="Q1806" s="22"/>
      <c r="R1806" s="21"/>
      <c r="S1806" s="21"/>
      <c r="T1806" s="21"/>
      <c r="AA1806"/>
      <c r="AH1806" t="str">
        <f t="shared" si="268"/>
        <v>k yet</v>
      </c>
    </row>
    <row r="1807" spans="1:39">
      <c r="A1807" s="42" t="s">
        <v>259</v>
      </c>
      <c r="B1807" s="1" t="s">
        <v>20</v>
      </c>
      <c r="C1807" s="40" t="str">
        <f t="shared" si="265"/>
        <v>14-&gt;</v>
      </c>
      <c r="D1807" s="40" t="str">
        <f t="shared" si="266"/>
        <v xml:space="preserve">No pick yet                                                 </v>
      </c>
      <c r="E1807" s="52">
        <f t="shared" si="267"/>
        <v>0</v>
      </c>
      <c r="M1807" s="18"/>
      <c r="N1807" s="18"/>
      <c r="O1807" s="18"/>
      <c r="P1807" s="18"/>
      <c r="Q1807" s="22"/>
      <c r="R1807" s="21"/>
      <c r="S1807" s="21"/>
      <c r="T1807" s="21"/>
      <c r="AA1807"/>
      <c r="AH1807" t="str">
        <f t="shared" si="268"/>
        <v>k yet</v>
      </c>
    </row>
    <row r="1808" spans="1:39">
      <c r="A1808" s="42" t="s">
        <v>260</v>
      </c>
      <c r="B1808" s="1" t="s">
        <v>20</v>
      </c>
      <c r="C1808" s="40" t="str">
        <f t="shared" si="265"/>
        <v>15-&gt;</v>
      </c>
      <c r="D1808" s="40" t="str">
        <f t="shared" si="266"/>
        <v xml:space="preserve">No pick yet                                                 </v>
      </c>
      <c r="E1808" s="52">
        <f t="shared" si="267"/>
        <v>0</v>
      </c>
      <c r="M1808" s="18"/>
      <c r="N1808" s="18"/>
      <c r="O1808" s="18"/>
      <c r="P1808" s="18"/>
      <c r="Q1808" s="22"/>
      <c r="R1808" s="21"/>
      <c r="S1808" s="21"/>
      <c r="T1808" s="21"/>
      <c r="AA1808"/>
      <c r="AH1808" t="str">
        <f t="shared" si="268"/>
        <v>k yet</v>
      </c>
    </row>
    <row r="1809" spans="1:39">
      <c r="A1809" s="42" t="s">
        <v>261</v>
      </c>
      <c r="B1809" s="1" t="s">
        <v>20</v>
      </c>
      <c r="C1809" s="40" t="str">
        <f t="shared" si="265"/>
        <v>16-&gt;</v>
      </c>
      <c r="D1809" s="40" t="str">
        <f t="shared" si="266"/>
        <v xml:space="preserve">No pick yet                                                 </v>
      </c>
      <c r="E1809" s="52">
        <f t="shared" si="267"/>
        <v>0</v>
      </c>
      <c r="M1809" s="18"/>
      <c r="N1809" s="18"/>
      <c r="O1809" s="18"/>
      <c r="P1809" s="18"/>
      <c r="Q1809" s="22"/>
      <c r="R1809" s="21"/>
      <c r="S1809" s="21"/>
      <c r="T1809" s="21"/>
      <c r="AA1809"/>
      <c r="AH1809" t="str">
        <f t="shared" si="268"/>
        <v>k yet</v>
      </c>
    </row>
    <row r="1810" spans="1:39">
      <c r="A1810" s="42" t="s">
        <v>262</v>
      </c>
      <c r="B1810" s="1" t="s">
        <v>20</v>
      </c>
      <c r="C1810" s="40" t="str">
        <f t="shared" si="265"/>
        <v>17-&gt;</v>
      </c>
      <c r="D1810" s="40" t="str">
        <f t="shared" si="266"/>
        <v xml:space="preserve">No pick yet                                                 </v>
      </c>
      <c r="E1810" s="52">
        <f t="shared" si="267"/>
        <v>0</v>
      </c>
      <c r="K1810" s="22"/>
      <c r="N1810" s="22"/>
      <c r="O1810" s="22"/>
      <c r="P1810" s="22"/>
      <c r="Q1810" s="22"/>
      <c r="R1810" s="22"/>
      <c r="S1810" s="22"/>
      <c r="Z1810" s="53"/>
      <c r="AA1810"/>
      <c r="AH1810" t="str">
        <f t="shared" si="268"/>
        <v>k yet</v>
      </c>
    </row>
    <row r="1811" spans="1:39">
      <c r="A1811" s="42" t="s">
        <v>263</v>
      </c>
      <c r="B1811" s="1" t="s">
        <v>20</v>
      </c>
      <c r="C1811" s="40" t="str">
        <f t="shared" si="265"/>
        <v>18-&gt;</v>
      </c>
      <c r="D1811" s="40" t="str">
        <f t="shared" si="266"/>
        <v xml:space="preserve">No pick yet                                                 </v>
      </c>
      <c r="E1811" s="52">
        <f t="shared" si="267"/>
        <v>0</v>
      </c>
      <c r="F1811" s="18"/>
      <c r="L1811" s="21"/>
      <c r="N1811" s="22"/>
      <c r="O1811" s="22"/>
      <c r="P1811" s="18"/>
      <c r="Q1811" s="22"/>
      <c r="R1811" s="22"/>
      <c r="S1811" s="22"/>
      <c r="Z1811" s="53"/>
      <c r="AA1811"/>
      <c r="AH1811" t="str">
        <f t="shared" si="268"/>
        <v>k yet</v>
      </c>
    </row>
    <row r="1812" spans="1:39">
      <c r="A1812" s="42" t="s">
        <v>264</v>
      </c>
      <c r="B1812" s="1" t="s">
        <v>20</v>
      </c>
      <c r="C1812" s="40" t="str">
        <f t="shared" si="265"/>
        <v>19-&gt;</v>
      </c>
      <c r="D1812" s="40" t="str">
        <f t="shared" si="266"/>
        <v xml:space="preserve">No pick yet                                                 </v>
      </c>
      <c r="E1812" s="52">
        <f t="shared" si="267"/>
        <v>0</v>
      </c>
      <c r="F1812" s="18"/>
      <c r="M1812" s="18"/>
      <c r="N1812" s="18"/>
      <c r="O1812" s="18"/>
      <c r="P1812" s="18"/>
      <c r="Q1812" s="22"/>
      <c r="R1812" s="21"/>
      <c r="S1812" s="21"/>
      <c r="T1812" s="21"/>
      <c r="AA1812"/>
      <c r="AH1812" t="str">
        <f t="shared" si="268"/>
        <v>k yet</v>
      </c>
    </row>
    <row r="1813" spans="1:39">
      <c r="A1813" s="42" t="s">
        <v>265</v>
      </c>
      <c r="B1813" s="1" t="s">
        <v>20</v>
      </c>
      <c r="C1813" s="40" t="str">
        <f t="shared" si="265"/>
        <v>20-&gt;</v>
      </c>
      <c r="D1813" s="40" t="str">
        <f t="shared" si="266"/>
        <v xml:space="preserve">No pick yet                                                 </v>
      </c>
      <c r="E1813" s="52">
        <f t="shared" si="267"/>
        <v>0</v>
      </c>
      <c r="F1813" s="18"/>
      <c r="M1813" s="18"/>
      <c r="N1813" s="18"/>
      <c r="O1813" s="18"/>
      <c r="P1813" s="18"/>
      <c r="Q1813" s="22"/>
      <c r="R1813" s="21"/>
      <c r="S1813" s="21"/>
      <c r="T1813" s="21"/>
      <c r="AA1813"/>
      <c r="AH1813" t="str">
        <f t="shared" si="268"/>
        <v>k yet</v>
      </c>
    </row>
    <row r="1814" spans="1:39">
      <c r="A1814" s="42" t="s">
        <v>266</v>
      </c>
      <c r="B1814" s="1" t="s">
        <v>20</v>
      </c>
      <c r="C1814" s="40" t="str">
        <f t="shared" si="265"/>
        <v>21-&gt;</v>
      </c>
      <c r="D1814" s="40" t="str">
        <f t="shared" si="266"/>
        <v xml:space="preserve">No pick yet                                                 </v>
      </c>
      <c r="E1814" s="52">
        <f t="shared" si="267"/>
        <v>0</v>
      </c>
      <c r="F1814" s="18"/>
      <c r="M1814" s="18"/>
      <c r="N1814" s="18"/>
      <c r="O1814" s="18"/>
      <c r="P1814" s="18"/>
      <c r="Q1814" s="22"/>
      <c r="R1814" s="21"/>
      <c r="S1814" s="21"/>
      <c r="T1814" s="21"/>
      <c r="AA1814"/>
      <c r="AH1814" t="str">
        <f t="shared" si="268"/>
        <v>k yet</v>
      </c>
    </row>
    <row r="1815" spans="1:39">
      <c r="A1815" s="42" t="s">
        <v>267</v>
      </c>
      <c r="B1815" s="1" t="s">
        <v>20</v>
      </c>
      <c r="C1815" s="40" t="str">
        <f t="shared" si="265"/>
        <v>22-&gt;</v>
      </c>
      <c r="D1815" s="40" t="str">
        <f t="shared" si="266"/>
        <v xml:space="preserve">No pick yet                                                 </v>
      </c>
      <c r="E1815" s="52">
        <f t="shared" si="267"/>
        <v>0</v>
      </c>
      <c r="F1815" s="18"/>
      <c r="M1815" s="18"/>
      <c r="N1815" s="18"/>
      <c r="O1815" s="18"/>
      <c r="P1815" s="18"/>
      <c r="Q1815" s="22"/>
      <c r="R1815" s="21"/>
      <c r="S1815" s="21"/>
      <c r="T1815" s="21"/>
      <c r="AA1815"/>
      <c r="AH1815" t="str">
        <f t="shared" si="268"/>
        <v>k yet</v>
      </c>
    </row>
    <row r="1816" spans="1:39">
      <c r="A1816" s="42" t="s">
        <v>268</v>
      </c>
      <c r="B1816" s="1" t="s">
        <v>20</v>
      </c>
      <c r="C1816" s="40" t="str">
        <f t="shared" si="265"/>
        <v>23-&gt;</v>
      </c>
      <c r="D1816" s="40" t="str">
        <f t="shared" si="266"/>
        <v xml:space="preserve">No pick yet                                                 </v>
      </c>
      <c r="E1816" s="52">
        <f t="shared" si="267"/>
        <v>0</v>
      </c>
      <c r="F1816" s="18"/>
      <c r="M1816" s="18"/>
      <c r="N1816" s="18"/>
      <c r="O1816" s="18"/>
      <c r="P1816" s="18"/>
      <c r="Q1816" s="22"/>
      <c r="R1816" s="21"/>
      <c r="S1816" s="21"/>
      <c r="T1816" s="21"/>
      <c r="AA1816"/>
      <c r="AH1816" t="str">
        <f t="shared" si="268"/>
        <v>k yet</v>
      </c>
    </row>
    <row r="1817" spans="1:39">
      <c r="A1817" s="42" t="s">
        <v>269</v>
      </c>
      <c r="B1817" s="1" t="s">
        <v>20</v>
      </c>
      <c r="C1817" s="40" t="str">
        <f t="shared" si="265"/>
        <v>24-&gt;</v>
      </c>
      <c r="D1817" s="40" t="str">
        <f t="shared" si="266"/>
        <v xml:space="preserve">No pick yet                                                 </v>
      </c>
      <c r="E1817" s="52">
        <f t="shared" si="267"/>
        <v>0</v>
      </c>
      <c r="F1817" s="18"/>
      <c r="M1817" s="18"/>
      <c r="N1817" s="18"/>
      <c r="O1817" s="18"/>
      <c r="P1817" s="18"/>
      <c r="Q1817" s="22"/>
      <c r="R1817" s="21"/>
      <c r="S1817" s="21"/>
      <c r="T1817" s="21"/>
      <c r="AA1817"/>
      <c r="AH1817" t="str">
        <f t="shared" si="268"/>
        <v>k yet</v>
      </c>
    </row>
    <row r="1818" spans="1:39">
      <c r="A1818" s="42" t="s">
        <v>270</v>
      </c>
      <c r="B1818" s="1" t="s">
        <v>20</v>
      </c>
      <c r="C1818" s="40" t="str">
        <f t="shared" si="265"/>
        <v>25-&gt;</v>
      </c>
      <c r="D1818" s="40" t="str">
        <f t="shared" si="266"/>
        <v xml:space="preserve">No pick yet                                                 </v>
      </c>
      <c r="E1818" s="52">
        <f t="shared" si="267"/>
        <v>0</v>
      </c>
      <c r="F1818" s="18"/>
      <c r="M1818" s="18"/>
      <c r="N1818" s="18"/>
      <c r="O1818" s="18"/>
      <c r="P1818" s="18"/>
      <c r="Q1818" s="22"/>
      <c r="R1818" s="21"/>
      <c r="S1818" s="21"/>
      <c r="T1818" s="21"/>
      <c r="AA1818"/>
      <c r="AH1818" t="str">
        <f t="shared" si="268"/>
        <v>k yet</v>
      </c>
    </row>
    <row r="1819" spans="1:39">
      <c r="A1819" s="42" t="s">
        <v>271</v>
      </c>
      <c r="B1819" s="1" t="s">
        <v>20</v>
      </c>
      <c r="C1819" s="40" t="str">
        <f t="shared" si="265"/>
        <v>26-&gt;</v>
      </c>
      <c r="D1819" s="40" t="str">
        <f t="shared" si="266"/>
        <v xml:space="preserve">No pick yet                                                 </v>
      </c>
      <c r="E1819" s="52">
        <f t="shared" si="267"/>
        <v>0</v>
      </c>
      <c r="F1819" s="18"/>
      <c r="M1819" s="18"/>
      <c r="N1819" s="18"/>
      <c r="O1819" s="18"/>
      <c r="P1819" s="18"/>
      <c r="Q1819" s="22"/>
      <c r="R1819" s="21"/>
      <c r="S1819" s="21"/>
      <c r="T1819" s="21"/>
      <c r="AA1819"/>
      <c r="AH1819" t="str">
        <f t="shared" si="268"/>
        <v>k yet</v>
      </c>
    </row>
    <row r="1820" spans="1:39">
      <c r="A1820" s="38"/>
      <c r="B1820" s="40"/>
      <c r="C1820" s="40"/>
      <c r="D1820" s="49"/>
      <c r="E1820" s="41" t="s">
        <v>69</v>
      </c>
      <c r="F1820" s="18"/>
      <c r="K1820" s="22" t="s">
        <v>73</v>
      </c>
      <c r="L1820" s="18" t="s">
        <v>74</v>
      </c>
      <c r="M1820" s="22" t="s">
        <v>78</v>
      </c>
      <c r="N1820" s="22" t="s">
        <v>79</v>
      </c>
      <c r="O1820" s="22" t="s">
        <v>80</v>
      </c>
      <c r="P1820" s="22" t="s">
        <v>81</v>
      </c>
      <c r="Q1820" s="22" t="s">
        <v>82</v>
      </c>
      <c r="R1820" s="22" t="s">
        <v>83</v>
      </c>
      <c r="S1820" s="22" t="s">
        <v>84</v>
      </c>
      <c r="T1820" s="18" t="s">
        <v>85</v>
      </c>
      <c r="U1820" s="18" t="s">
        <v>86</v>
      </c>
      <c r="V1820" s="18" t="s">
        <v>87</v>
      </c>
      <c r="W1820" s="18" t="s">
        <v>88</v>
      </c>
      <c r="X1820" s="18" t="s">
        <v>89</v>
      </c>
      <c r="Y1820" s="18" t="s">
        <v>90</v>
      </c>
      <c r="Z1820" s="18" t="s">
        <v>91</v>
      </c>
      <c r="AA1820" s="18" t="s">
        <v>92</v>
      </c>
      <c r="AB1820" s="18" t="s">
        <v>93</v>
      </c>
      <c r="AC1820" s="18" t="s">
        <v>94</v>
      </c>
      <c r="AD1820" s="18" t="s">
        <v>235</v>
      </c>
      <c r="AE1820" s="18" t="s">
        <v>236</v>
      </c>
      <c r="AF1820" s="18" t="s">
        <v>237</v>
      </c>
      <c r="AG1820" s="18" t="s">
        <v>238</v>
      </c>
      <c r="AH1820" s="18" t="s">
        <v>239</v>
      </c>
      <c r="AI1820" s="18" t="s">
        <v>240</v>
      </c>
      <c r="AJ1820" s="18" t="s">
        <v>241</v>
      </c>
      <c r="AK1820" s="18" t="s">
        <v>242</v>
      </c>
      <c r="AL1820" s="18" t="s">
        <v>243</v>
      </c>
      <c r="AM1820" s="50" t="s">
        <v>244</v>
      </c>
    </row>
    <row r="1821" spans="1:39">
      <c r="A1821" s="40" t="s">
        <v>245</v>
      </c>
      <c r="B1821" s="51" t="str">
        <f>D64</f>
        <v/>
      </c>
      <c r="C1821" s="40" t="str">
        <f t="shared" ref="C1821:C1847" si="269">A1821</f>
        <v>#</v>
      </c>
      <c r="D1821" s="40" t="str">
        <f>"   "&amp;B1821&amp;REPT(" ",$AH$70-LEN(B1821)-3)</f>
        <v xml:space="preserve">                                                            </v>
      </c>
      <c r="E1821" s="38" t="str">
        <f>SUM(E1822:E1847)&amp;" pts[/b]"</f>
        <v>0 pts[/b]</v>
      </c>
      <c r="F1821" s="21">
        <f>SUM(E1822:E1847)</f>
        <v>0</v>
      </c>
      <c r="K1821" s="18">
        <f>COUNTIF(E1822:E1847,"&gt;0")</f>
        <v>0</v>
      </c>
      <c r="L1821" s="21">
        <f>AM1821-K1821</f>
        <v>0</v>
      </c>
      <c r="M1821" s="22">
        <f>MAX(E1822:E1847)</f>
        <v>0</v>
      </c>
      <c r="N1821" s="22">
        <f>LARGE(E1822:E1847,2)</f>
        <v>0</v>
      </c>
      <c r="O1821" s="22">
        <f>LARGE(E1822:E1847,3)</f>
        <v>0</v>
      </c>
      <c r="P1821" s="18">
        <f>LARGE(E1822:E1847,4)</f>
        <v>0</v>
      </c>
      <c r="Q1821" s="22">
        <f>LARGE(E1822:E1847,5)</f>
        <v>0</v>
      </c>
      <c r="R1821" s="22">
        <f>LARGE(E1822:E1847,6)</f>
        <v>0</v>
      </c>
      <c r="S1821" s="22">
        <f>LARGE(E1822:E1847,7)</f>
        <v>0</v>
      </c>
      <c r="T1821" s="18">
        <f>LARGE(E1822:E1847,8)</f>
        <v>0</v>
      </c>
      <c r="U1821" s="18">
        <f>LARGE(E1822:E1847,9)</f>
        <v>0</v>
      </c>
      <c r="V1821" s="18">
        <f>LARGE(E1822:E1847,10)</f>
        <v>0</v>
      </c>
      <c r="W1821" s="18">
        <f>LARGE(E1822:E1847,11)</f>
        <v>0</v>
      </c>
      <c r="X1821" s="18">
        <f>LARGE(E1822:E1847,12)</f>
        <v>0</v>
      </c>
      <c r="Y1821" s="18">
        <f>LARGE(E1822:E1847,13)</f>
        <v>0</v>
      </c>
      <c r="Z1821" s="18">
        <f>LARGE(E1822:E1847,14)</f>
        <v>0</v>
      </c>
      <c r="AA1821" s="18">
        <f>LARGE(E1822:E1847,15)</f>
        <v>0</v>
      </c>
      <c r="AB1821" s="18">
        <f>LARGE(E1822:E1847,16)</f>
        <v>0</v>
      </c>
      <c r="AC1821" s="18">
        <f>LARGE(E1822:E1847,17)</f>
        <v>0</v>
      </c>
      <c r="AD1821" s="18">
        <f>LARGE(E1822:E1848,13)</f>
        <v>0</v>
      </c>
      <c r="AE1821" s="18">
        <f>LARGE(E1822:E1847,19)</f>
        <v>0</v>
      </c>
      <c r="AF1821" s="18">
        <f>LARGE(E1822:E1847,20)</f>
        <v>0</v>
      </c>
      <c r="AG1821" s="18">
        <f>LARGE(E1822:E1847,21)</f>
        <v>0</v>
      </c>
      <c r="AH1821" s="18">
        <f>LARGE(E1822:E1847,22)</f>
        <v>0</v>
      </c>
      <c r="AI1821" s="18">
        <f>LARGE(E1822:E1847,23)</f>
        <v>0</v>
      </c>
      <c r="AJ1821" s="18">
        <f>LARGE(E1822:E1847,24)</f>
        <v>0</v>
      </c>
      <c r="AK1821" s="18">
        <f>LARGE(E1822:E1847,25)</f>
        <v>0</v>
      </c>
      <c r="AL1821" s="18">
        <f>LARGE(E1822:E1847,26)</f>
        <v>0</v>
      </c>
      <c r="AM1821" s="50">
        <f>COUNTIF(AH1822:AH1847,"&lt;&gt;"&amp;$AH$76)-(26-COUNTIF(E1822:E1847,"&gt;=0"))</f>
        <v>0</v>
      </c>
    </row>
    <row r="1822" spans="1:39">
      <c r="A1822" s="42" t="s">
        <v>246</v>
      </c>
      <c r="B1822" s="1" t="s">
        <v>20</v>
      </c>
      <c r="C1822" s="40" t="str">
        <f t="shared" si="269"/>
        <v>01-&gt;</v>
      </c>
      <c r="D1822" s="40" t="str">
        <f t="shared" ref="D1822:D1847" si="270">B1822&amp;REPT(" ",$AH$70-LEN(B1822))</f>
        <v xml:space="preserve">No pick yet                                                 </v>
      </c>
      <c r="E1822" s="52">
        <f t="shared" ref="E1822:E1847" si="271">VLOOKUP(RIGHT(B1822,LEN(B1822)-$AH$66),$H$138:$I$420,2,0)</f>
        <v>0</v>
      </c>
      <c r="F1822" s="18"/>
      <c r="M1822" s="18"/>
      <c r="N1822" s="18"/>
      <c r="O1822" s="18"/>
      <c r="P1822" s="18"/>
      <c r="Q1822" s="22"/>
      <c r="R1822" s="21"/>
      <c r="S1822" s="21"/>
      <c r="T1822" s="21"/>
      <c r="AA1822"/>
      <c r="AH1822" t="str">
        <f t="shared" ref="AH1822:AH1847" si="272">RIGHT(B1822,LEN(B1822)-$AH$66)</f>
        <v>k yet</v>
      </c>
    </row>
    <row r="1823" spans="1:39">
      <c r="A1823" s="42" t="s">
        <v>247</v>
      </c>
      <c r="B1823" s="1" t="s">
        <v>20</v>
      </c>
      <c r="C1823" s="40" t="str">
        <f t="shared" si="269"/>
        <v>02-&gt;</v>
      </c>
      <c r="D1823" s="40" t="str">
        <f t="shared" si="270"/>
        <v xml:space="preserve">No pick yet                                                 </v>
      </c>
      <c r="E1823" s="52">
        <f t="shared" si="271"/>
        <v>0</v>
      </c>
      <c r="F1823" s="18"/>
      <c r="K1823" s="22"/>
      <c r="N1823" s="22"/>
      <c r="O1823" s="22"/>
      <c r="P1823" s="22"/>
      <c r="Q1823" s="22"/>
      <c r="R1823" s="22"/>
      <c r="S1823" s="22"/>
      <c r="Z1823" s="53"/>
      <c r="AA1823"/>
      <c r="AH1823" t="str">
        <f t="shared" si="272"/>
        <v>k yet</v>
      </c>
    </row>
    <row r="1824" spans="1:39">
      <c r="A1824" s="42" t="s">
        <v>248</v>
      </c>
      <c r="B1824" s="1" t="s">
        <v>20</v>
      </c>
      <c r="C1824" s="40" t="str">
        <f t="shared" si="269"/>
        <v>03-&gt;</v>
      </c>
      <c r="D1824" s="40" t="str">
        <f t="shared" si="270"/>
        <v xml:space="preserve">No pick yet                                                 </v>
      </c>
      <c r="E1824" s="52">
        <f t="shared" si="271"/>
        <v>0</v>
      </c>
      <c r="F1824" s="18"/>
      <c r="L1824" s="21"/>
      <c r="N1824" s="22"/>
      <c r="O1824" s="22"/>
      <c r="P1824" s="18"/>
      <c r="Q1824" s="22"/>
      <c r="R1824" s="22"/>
      <c r="S1824" s="22"/>
      <c r="Z1824" s="53"/>
      <c r="AA1824"/>
      <c r="AH1824" t="str">
        <f t="shared" si="272"/>
        <v>k yet</v>
      </c>
    </row>
    <row r="1825" spans="1:34">
      <c r="A1825" s="42" t="s">
        <v>249</v>
      </c>
      <c r="B1825" s="1" t="s">
        <v>20</v>
      </c>
      <c r="C1825" s="40" t="str">
        <f t="shared" si="269"/>
        <v>04-&gt;</v>
      </c>
      <c r="D1825" s="40" t="str">
        <f t="shared" si="270"/>
        <v xml:space="preserve">No pick yet                                                 </v>
      </c>
      <c r="E1825" s="52">
        <f t="shared" si="271"/>
        <v>0</v>
      </c>
      <c r="F1825" s="18"/>
      <c r="M1825" s="18"/>
      <c r="N1825" s="18"/>
      <c r="O1825" s="18"/>
      <c r="P1825" s="18"/>
      <c r="Q1825" s="22"/>
      <c r="R1825" s="21"/>
      <c r="S1825" s="21"/>
      <c r="T1825" s="21"/>
      <c r="AA1825"/>
      <c r="AH1825" t="str">
        <f t="shared" si="272"/>
        <v>k yet</v>
      </c>
    </row>
    <row r="1826" spans="1:34">
      <c r="A1826" s="42" t="s">
        <v>250</v>
      </c>
      <c r="B1826" s="1" t="s">
        <v>20</v>
      </c>
      <c r="C1826" s="40" t="str">
        <f t="shared" si="269"/>
        <v>05-&gt;</v>
      </c>
      <c r="D1826" s="40" t="str">
        <f t="shared" si="270"/>
        <v xml:space="preserve">No pick yet                                                 </v>
      </c>
      <c r="E1826" s="52">
        <f t="shared" si="271"/>
        <v>0</v>
      </c>
      <c r="F1826" s="18"/>
      <c r="M1826" s="18"/>
      <c r="N1826" s="18"/>
      <c r="O1826" s="18"/>
      <c r="P1826" s="18"/>
      <c r="Q1826" s="22"/>
      <c r="R1826" s="21"/>
      <c r="S1826" s="21"/>
      <c r="T1826" s="21"/>
      <c r="AA1826"/>
      <c r="AH1826" t="str">
        <f t="shared" si="272"/>
        <v>k yet</v>
      </c>
    </row>
    <row r="1827" spans="1:34">
      <c r="A1827" s="42" t="s">
        <v>251</v>
      </c>
      <c r="B1827" s="1" t="s">
        <v>20</v>
      </c>
      <c r="C1827" s="40" t="str">
        <f t="shared" si="269"/>
        <v>06-&gt;</v>
      </c>
      <c r="D1827" s="40" t="str">
        <f t="shared" si="270"/>
        <v xml:space="preserve">No pick yet                                                 </v>
      </c>
      <c r="E1827" s="52">
        <f t="shared" si="271"/>
        <v>0</v>
      </c>
      <c r="F1827" s="18"/>
      <c r="M1827" s="18"/>
      <c r="N1827" s="18"/>
      <c r="O1827" s="18"/>
      <c r="P1827" s="18"/>
      <c r="Q1827" s="22"/>
      <c r="R1827" s="21"/>
      <c r="S1827" s="21"/>
      <c r="T1827" s="21"/>
      <c r="AA1827"/>
      <c r="AH1827" t="str">
        <f t="shared" si="272"/>
        <v>k yet</v>
      </c>
    </row>
    <row r="1828" spans="1:34">
      <c r="A1828" s="42" t="s">
        <v>252</v>
      </c>
      <c r="B1828" s="1" t="s">
        <v>20</v>
      </c>
      <c r="C1828" s="40" t="str">
        <f t="shared" si="269"/>
        <v>07-&gt;</v>
      </c>
      <c r="D1828" s="40" t="str">
        <f t="shared" si="270"/>
        <v xml:space="preserve">No pick yet                                                 </v>
      </c>
      <c r="E1828" s="52">
        <f t="shared" si="271"/>
        <v>0</v>
      </c>
      <c r="F1828" s="18"/>
      <c r="M1828" s="18"/>
      <c r="N1828" s="18"/>
      <c r="O1828" s="18"/>
      <c r="P1828" s="18"/>
      <c r="Q1828" s="22"/>
      <c r="R1828" s="21"/>
      <c r="S1828" s="21"/>
      <c r="T1828" s="21"/>
      <c r="AA1828"/>
      <c r="AH1828" t="str">
        <f t="shared" si="272"/>
        <v>k yet</v>
      </c>
    </row>
    <row r="1829" spans="1:34">
      <c r="A1829" s="42" t="s">
        <v>253</v>
      </c>
      <c r="B1829" s="1" t="s">
        <v>20</v>
      </c>
      <c r="C1829" s="40" t="str">
        <f t="shared" si="269"/>
        <v>08-&gt;</v>
      </c>
      <c r="D1829" s="40" t="str">
        <f t="shared" si="270"/>
        <v xml:space="preserve">No pick yet                                                 </v>
      </c>
      <c r="E1829" s="52">
        <f t="shared" si="271"/>
        <v>0</v>
      </c>
      <c r="F1829" s="18"/>
      <c r="M1829" s="18"/>
      <c r="N1829" s="18"/>
      <c r="O1829" s="18"/>
      <c r="P1829" s="18"/>
      <c r="Q1829" s="22"/>
      <c r="R1829" s="21"/>
      <c r="S1829" s="21"/>
      <c r="T1829" s="21"/>
      <c r="AA1829"/>
      <c r="AH1829" t="str">
        <f t="shared" si="272"/>
        <v>k yet</v>
      </c>
    </row>
    <row r="1830" spans="1:34">
      <c r="A1830" s="42" t="s">
        <v>254</v>
      </c>
      <c r="B1830" s="1" t="s">
        <v>20</v>
      </c>
      <c r="C1830" s="40" t="str">
        <f t="shared" si="269"/>
        <v>09-&gt;</v>
      </c>
      <c r="D1830" s="40" t="str">
        <f t="shared" si="270"/>
        <v xml:space="preserve">No pick yet                                                 </v>
      </c>
      <c r="E1830" s="52">
        <f t="shared" si="271"/>
        <v>0</v>
      </c>
      <c r="F1830" s="18"/>
      <c r="M1830" s="18"/>
      <c r="N1830" s="18"/>
      <c r="O1830" s="18"/>
      <c r="P1830" s="18"/>
      <c r="Q1830" s="22"/>
      <c r="R1830" s="21"/>
      <c r="S1830" s="21"/>
      <c r="T1830" s="21"/>
      <c r="AA1830"/>
      <c r="AH1830" t="str">
        <f t="shared" si="272"/>
        <v>k yet</v>
      </c>
    </row>
    <row r="1831" spans="1:34">
      <c r="A1831" s="42" t="s">
        <v>255</v>
      </c>
      <c r="B1831" s="1" t="s">
        <v>20</v>
      </c>
      <c r="C1831" s="40" t="str">
        <f t="shared" si="269"/>
        <v>10-&gt;</v>
      </c>
      <c r="D1831" s="40" t="str">
        <f t="shared" si="270"/>
        <v xml:space="preserve">No pick yet                                                 </v>
      </c>
      <c r="E1831" s="52">
        <f t="shared" si="271"/>
        <v>0</v>
      </c>
      <c r="F1831" s="22"/>
      <c r="M1831" s="18"/>
      <c r="N1831" s="18"/>
      <c r="O1831" s="18"/>
      <c r="P1831" s="18"/>
      <c r="Q1831" s="22"/>
      <c r="R1831" s="21"/>
      <c r="S1831" s="21"/>
      <c r="T1831" s="21"/>
      <c r="AA1831"/>
      <c r="AH1831" t="str">
        <f t="shared" si="272"/>
        <v>k yet</v>
      </c>
    </row>
    <row r="1832" spans="1:34">
      <c r="A1832" s="42" t="s">
        <v>256</v>
      </c>
      <c r="B1832" s="1" t="s">
        <v>20</v>
      </c>
      <c r="C1832" s="40" t="str">
        <f t="shared" si="269"/>
        <v>11-&gt;</v>
      </c>
      <c r="D1832" s="40" t="str">
        <f t="shared" si="270"/>
        <v xml:space="preserve">No pick yet                                                 </v>
      </c>
      <c r="E1832" s="52">
        <f t="shared" si="271"/>
        <v>0</v>
      </c>
      <c r="M1832" s="18"/>
      <c r="N1832" s="18"/>
      <c r="O1832" s="18"/>
      <c r="P1832" s="18"/>
      <c r="Q1832" s="22"/>
      <c r="R1832" s="21"/>
      <c r="S1832" s="21"/>
      <c r="T1832" s="21"/>
      <c r="AA1832"/>
      <c r="AH1832" t="str">
        <f t="shared" si="272"/>
        <v>k yet</v>
      </c>
    </row>
    <row r="1833" spans="1:34">
      <c r="A1833" s="42" t="s">
        <v>257</v>
      </c>
      <c r="B1833" s="1" t="s">
        <v>20</v>
      </c>
      <c r="C1833" s="40" t="str">
        <f t="shared" si="269"/>
        <v>12-&gt;</v>
      </c>
      <c r="D1833" s="40" t="str">
        <f t="shared" si="270"/>
        <v xml:space="preserve">No pick yet                                                 </v>
      </c>
      <c r="E1833" s="52">
        <f t="shared" si="271"/>
        <v>0</v>
      </c>
      <c r="M1833" s="18"/>
      <c r="N1833" s="18"/>
      <c r="O1833" s="18"/>
      <c r="P1833" s="18"/>
      <c r="Q1833" s="22"/>
      <c r="R1833" s="21"/>
      <c r="S1833" s="21"/>
      <c r="T1833" s="21"/>
      <c r="AA1833"/>
      <c r="AH1833" t="str">
        <f t="shared" si="272"/>
        <v>k yet</v>
      </c>
    </row>
    <row r="1834" spans="1:34">
      <c r="A1834" s="42" t="s">
        <v>258</v>
      </c>
      <c r="B1834" s="1" t="s">
        <v>20</v>
      </c>
      <c r="C1834" s="40" t="str">
        <f t="shared" si="269"/>
        <v>13-&gt;</v>
      </c>
      <c r="D1834" s="40" t="str">
        <f t="shared" si="270"/>
        <v xml:space="preserve">No pick yet                                                 </v>
      </c>
      <c r="E1834" s="52">
        <f t="shared" si="271"/>
        <v>0</v>
      </c>
      <c r="M1834" s="18"/>
      <c r="N1834" s="18"/>
      <c r="O1834" s="18"/>
      <c r="P1834" s="18"/>
      <c r="Q1834" s="22"/>
      <c r="R1834" s="21"/>
      <c r="S1834" s="21"/>
      <c r="T1834" s="21"/>
      <c r="AA1834"/>
      <c r="AH1834" t="str">
        <f t="shared" si="272"/>
        <v>k yet</v>
      </c>
    </row>
    <row r="1835" spans="1:34">
      <c r="A1835" s="42" t="s">
        <v>259</v>
      </c>
      <c r="B1835" s="1" t="s">
        <v>20</v>
      </c>
      <c r="C1835" s="40" t="str">
        <f t="shared" si="269"/>
        <v>14-&gt;</v>
      </c>
      <c r="D1835" s="40" t="str">
        <f t="shared" si="270"/>
        <v xml:space="preserve">No pick yet                                                 </v>
      </c>
      <c r="E1835" s="52">
        <f t="shared" si="271"/>
        <v>0</v>
      </c>
      <c r="M1835" s="18"/>
      <c r="N1835" s="18"/>
      <c r="O1835" s="18"/>
      <c r="P1835" s="18"/>
      <c r="Q1835" s="22"/>
      <c r="R1835" s="21"/>
      <c r="S1835" s="21"/>
      <c r="T1835" s="21"/>
      <c r="AA1835"/>
      <c r="AH1835" t="str">
        <f t="shared" si="272"/>
        <v>k yet</v>
      </c>
    </row>
    <row r="1836" spans="1:34">
      <c r="A1836" s="42" t="s">
        <v>260</v>
      </c>
      <c r="B1836" s="1" t="s">
        <v>20</v>
      </c>
      <c r="C1836" s="40" t="str">
        <f t="shared" si="269"/>
        <v>15-&gt;</v>
      </c>
      <c r="D1836" s="40" t="str">
        <f t="shared" si="270"/>
        <v xml:space="preserve">No pick yet                                                 </v>
      </c>
      <c r="E1836" s="52">
        <f t="shared" si="271"/>
        <v>0</v>
      </c>
      <c r="M1836" s="18"/>
      <c r="N1836" s="18"/>
      <c r="O1836" s="18"/>
      <c r="P1836" s="18"/>
      <c r="Q1836" s="22"/>
      <c r="R1836" s="21"/>
      <c r="S1836" s="21"/>
      <c r="T1836" s="21"/>
      <c r="AA1836"/>
      <c r="AH1836" t="str">
        <f t="shared" si="272"/>
        <v>k yet</v>
      </c>
    </row>
    <row r="1837" spans="1:34">
      <c r="A1837" s="42" t="s">
        <v>261</v>
      </c>
      <c r="B1837" s="1" t="s">
        <v>20</v>
      </c>
      <c r="C1837" s="40" t="str">
        <f t="shared" si="269"/>
        <v>16-&gt;</v>
      </c>
      <c r="D1837" s="40" t="str">
        <f t="shared" si="270"/>
        <v xml:space="preserve">No pick yet                                                 </v>
      </c>
      <c r="E1837" s="52">
        <f t="shared" si="271"/>
        <v>0</v>
      </c>
      <c r="M1837" s="18"/>
      <c r="N1837" s="18"/>
      <c r="O1837" s="18"/>
      <c r="P1837" s="18"/>
      <c r="Q1837" s="22"/>
      <c r="R1837" s="21"/>
      <c r="S1837" s="21"/>
      <c r="T1837" s="21"/>
      <c r="AA1837"/>
      <c r="AH1837" t="str">
        <f t="shared" si="272"/>
        <v>k yet</v>
      </c>
    </row>
    <row r="1838" spans="1:34">
      <c r="A1838" s="42" t="s">
        <v>262</v>
      </c>
      <c r="B1838" s="1" t="s">
        <v>20</v>
      </c>
      <c r="C1838" s="40" t="str">
        <f t="shared" si="269"/>
        <v>17-&gt;</v>
      </c>
      <c r="D1838" s="40" t="str">
        <f t="shared" si="270"/>
        <v xml:space="preserve">No pick yet                                                 </v>
      </c>
      <c r="E1838" s="52">
        <f t="shared" si="271"/>
        <v>0</v>
      </c>
      <c r="K1838" s="22"/>
      <c r="N1838" s="22"/>
      <c r="O1838" s="22"/>
      <c r="P1838" s="22"/>
      <c r="Q1838" s="22"/>
      <c r="R1838" s="22"/>
      <c r="S1838" s="22"/>
      <c r="Z1838" s="53"/>
      <c r="AA1838"/>
      <c r="AH1838" t="str">
        <f t="shared" si="272"/>
        <v>k yet</v>
      </c>
    </row>
    <row r="1839" spans="1:34">
      <c r="A1839" s="42" t="s">
        <v>263</v>
      </c>
      <c r="B1839" s="1" t="s">
        <v>20</v>
      </c>
      <c r="C1839" s="40" t="str">
        <f t="shared" si="269"/>
        <v>18-&gt;</v>
      </c>
      <c r="D1839" s="40" t="str">
        <f t="shared" si="270"/>
        <v xml:space="preserve">No pick yet                                                 </v>
      </c>
      <c r="E1839" s="52">
        <f t="shared" si="271"/>
        <v>0</v>
      </c>
      <c r="F1839" s="18"/>
      <c r="L1839" s="21"/>
      <c r="N1839" s="22"/>
      <c r="O1839" s="22"/>
      <c r="P1839" s="18"/>
      <c r="Q1839" s="22"/>
      <c r="R1839" s="22"/>
      <c r="S1839" s="22"/>
      <c r="Z1839" s="53"/>
      <c r="AA1839"/>
      <c r="AH1839" t="str">
        <f t="shared" si="272"/>
        <v>k yet</v>
      </c>
    </row>
    <row r="1840" spans="1:34">
      <c r="A1840" s="42" t="s">
        <v>264</v>
      </c>
      <c r="B1840" s="1" t="s">
        <v>20</v>
      </c>
      <c r="C1840" s="40" t="str">
        <f t="shared" si="269"/>
        <v>19-&gt;</v>
      </c>
      <c r="D1840" s="40" t="str">
        <f t="shared" si="270"/>
        <v xml:space="preserve">No pick yet                                                 </v>
      </c>
      <c r="E1840" s="52">
        <f t="shared" si="271"/>
        <v>0</v>
      </c>
      <c r="F1840" s="18"/>
      <c r="M1840" s="18"/>
      <c r="N1840" s="18"/>
      <c r="O1840" s="18"/>
      <c r="P1840" s="18"/>
      <c r="Q1840" s="22"/>
      <c r="R1840" s="21"/>
      <c r="S1840" s="21"/>
      <c r="T1840" s="21"/>
      <c r="AA1840"/>
      <c r="AH1840" t="str">
        <f t="shared" si="272"/>
        <v>k yet</v>
      </c>
    </row>
    <row r="1841" spans="1:39">
      <c r="A1841" s="42" t="s">
        <v>265</v>
      </c>
      <c r="B1841" s="1" t="s">
        <v>20</v>
      </c>
      <c r="C1841" s="40" t="str">
        <f t="shared" si="269"/>
        <v>20-&gt;</v>
      </c>
      <c r="D1841" s="40" t="str">
        <f t="shared" si="270"/>
        <v xml:space="preserve">No pick yet                                                 </v>
      </c>
      <c r="E1841" s="52">
        <f t="shared" si="271"/>
        <v>0</v>
      </c>
      <c r="F1841" s="18"/>
      <c r="M1841" s="18"/>
      <c r="N1841" s="18"/>
      <c r="O1841" s="18"/>
      <c r="P1841" s="18"/>
      <c r="Q1841" s="22"/>
      <c r="R1841" s="21"/>
      <c r="S1841" s="21"/>
      <c r="T1841" s="21"/>
      <c r="AA1841"/>
      <c r="AH1841" t="str">
        <f t="shared" si="272"/>
        <v>k yet</v>
      </c>
    </row>
    <row r="1842" spans="1:39">
      <c r="A1842" s="42" t="s">
        <v>266</v>
      </c>
      <c r="B1842" s="1" t="s">
        <v>20</v>
      </c>
      <c r="C1842" s="40" t="str">
        <f t="shared" si="269"/>
        <v>21-&gt;</v>
      </c>
      <c r="D1842" s="40" t="str">
        <f t="shared" si="270"/>
        <v xml:space="preserve">No pick yet                                                 </v>
      </c>
      <c r="E1842" s="52">
        <f t="shared" si="271"/>
        <v>0</v>
      </c>
      <c r="F1842" s="18"/>
      <c r="M1842" s="18"/>
      <c r="N1842" s="18"/>
      <c r="O1842" s="18"/>
      <c r="P1842" s="18"/>
      <c r="Q1842" s="22"/>
      <c r="R1842" s="21"/>
      <c r="S1842" s="21"/>
      <c r="T1842" s="21"/>
      <c r="AA1842"/>
      <c r="AH1842" t="str">
        <f t="shared" si="272"/>
        <v>k yet</v>
      </c>
    </row>
    <row r="1843" spans="1:39">
      <c r="A1843" s="42" t="s">
        <v>267</v>
      </c>
      <c r="B1843" s="1" t="s">
        <v>20</v>
      </c>
      <c r="C1843" s="40" t="str">
        <f t="shared" si="269"/>
        <v>22-&gt;</v>
      </c>
      <c r="D1843" s="40" t="str">
        <f t="shared" si="270"/>
        <v xml:space="preserve">No pick yet                                                 </v>
      </c>
      <c r="E1843" s="52">
        <f t="shared" si="271"/>
        <v>0</v>
      </c>
      <c r="F1843" s="18"/>
      <c r="M1843" s="18"/>
      <c r="N1843" s="18"/>
      <c r="O1843" s="18"/>
      <c r="P1843" s="18"/>
      <c r="Q1843" s="22"/>
      <c r="R1843" s="21"/>
      <c r="S1843" s="21"/>
      <c r="T1843" s="21"/>
      <c r="AA1843"/>
      <c r="AH1843" t="str">
        <f t="shared" si="272"/>
        <v>k yet</v>
      </c>
    </row>
    <row r="1844" spans="1:39">
      <c r="A1844" s="42" t="s">
        <v>268</v>
      </c>
      <c r="B1844" s="1" t="s">
        <v>20</v>
      </c>
      <c r="C1844" s="40" t="str">
        <f t="shared" si="269"/>
        <v>23-&gt;</v>
      </c>
      <c r="D1844" s="40" t="str">
        <f t="shared" si="270"/>
        <v xml:space="preserve">No pick yet                                                 </v>
      </c>
      <c r="E1844" s="52">
        <f t="shared" si="271"/>
        <v>0</v>
      </c>
      <c r="F1844" s="18"/>
      <c r="M1844" s="18"/>
      <c r="N1844" s="18"/>
      <c r="O1844" s="18"/>
      <c r="P1844" s="18"/>
      <c r="Q1844" s="22"/>
      <c r="R1844" s="21"/>
      <c r="S1844" s="21"/>
      <c r="T1844" s="21"/>
      <c r="AA1844"/>
      <c r="AH1844" t="str">
        <f t="shared" si="272"/>
        <v>k yet</v>
      </c>
    </row>
    <row r="1845" spans="1:39">
      <c r="A1845" s="42" t="s">
        <v>269</v>
      </c>
      <c r="B1845" s="1" t="s">
        <v>20</v>
      </c>
      <c r="C1845" s="40" t="str">
        <f t="shared" si="269"/>
        <v>24-&gt;</v>
      </c>
      <c r="D1845" s="40" t="str">
        <f t="shared" si="270"/>
        <v xml:space="preserve">No pick yet                                                 </v>
      </c>
      <c r="E1845" s="52">
        <f t="shared" si="271"/>
        <v>0</v>
      </c>
      <c r="F1845" s="18"/>
      <c r="M1845" s="18"/>
      <c r="N1845" s="18"/>
      <c r="O1845" s="18"/>
      <c r="P1845" s="18"/>
      <c r="Q1845" s="22"/>
      <c r="R1845" s="21"/>
      <c r="S1845" s="21"/>
      <c r="T1845" s="21"/>
      <c r="AA1845"/>
      <c r="AH1845" t="str">
        <f t="shared" si="272"/>
        <v>k yet</v>
      </c>
    </row>
    <row r="1846" spans="1:39">
      <c r="A1846" s="42" t="s">
        <v>270</v>
      </c>
      <c r="B1846" s="1" t="s">
        <v>20</v>
      </c>
      <c r="C1846" s="40" t="str">
        <f t="shared" si="269"/>
        <v>25-&gt;</v>
      </c>
      <c r="D1846" s="40" t="str">
        <f t="shared" si="270"/>
        <v xml:space="preserve">No pick yet                                                 </v>
      </c>
      <c r="E1846" s="52">
        <f t="shared" si="271"/>
        <v>0</v>
      </c>
      <c r="F1846" s="18"/>
      <c r="M1846" s="18"/>
      <c r="N1846" s="18"/>
      <c r="O1846" s="18"/>
      <c r="P1846" s="18"/>
      <c r="Q1846" s="22"/>
      <c r="R1846" s="21"/>
      <c r="S1846" s="21"/>
      <c r="T1846" s="21"/>
      <c r="AA1846"/>
      <c r="AH1846" t="str">
        <f t="shared" si="272"/>
        <v>k yet</v>
      </c>
    </row>
    <row r="1847" spans="1:39">
      <c r="A1847" s="42" t="s">
        <v>271</v>
      </c>
      <c r="B1847" s="1" t="s">
        <v>20</v>
      </c>
      <c r="C1847" s="40" t="str">
        <f t="shared" si="269"/>
        <v>26-&gt;</v>
      </c>
      <c r="D1847" s="40" t="str">
        <f t="shared" si="270"/>
        <v xml:space="preserve">No pick yet                                                 </v>
      </c>
      <c r="E1847" s="52">
        <f t="shared" si="271"/>
        <v>0</v>
      </c>
      <c r="F1847" s="18"/>
      <c r="M1847" s="18"/>
      <c r="N1847" s="18"/>
      <c r="O1847" s="18"/>
      <c r="P1847" s="18"/>
      <c r="Q1847" s="22"/>
      <c r="R1847" s="21"/>
      <c r="S1847" s="21"/>
      <c r="T1847" s="21"/>
      <c r="AA1847"/>
      <c r="AH1847" t="str">
        <f t="shared" si="272"/>
        <v>k yet</v>
      </c>
    </row>
    <row r="1848" spans="1:39">
      <c r="A1848" s="38"/>
      <c r="B1848" s="40"/>
      <c r="C1848" s="40"/>
      <c r="D1848" s="49"/>
      <c r="E1848" s="41" t="s">
        <v>69</v>
      </c>
      <c r="F1848" s="18"/>
      <c r="K1848" s="22" t="s">
        <v>73</v>
      </c>
      <c r="L1848" s="18" t="s">
        <v>74</v>
      </c>
      <c r="M1848" s="22" t="s">
        <v>78</v>
      </c>
      <c r="N1848" s="22" t="s">
        <v>79</v>
      </c>
      <c r="O1848" s="22" t="s">
        <v>80</v>
      </c>
      <c r="P1848" s="22" t="s">
        <v>81</v>
      </c>
      <c r="Q1848" s="22" t="s">
        <v>82</v>
      </c>
      <c r="R1848" s="22" t="s">
        <v>83</v>
      </c>
      <c r="S1848" s="22" t="s">
        <v>84</v>
      </c>
      <c r="T1848" s="18" t="s">
        <v>85</v>
      </c>
      <c r="U1848" s="18" t="s">
        <v>86</v>
      </c>
      <c r="V1848" s="18" t="s">
        <v>87</v>
      </c>
      <c r="W1848" s="18" t="s">
        <v>88</v>
      </c>
      <c r="X1848" s="18" t="s">
        <v>89</v>
      </c>
      <c r="Y1848" s="18" t="s">
        <v>90</v>
      </c>
      <c r="Z1848" s="18" t="s">
        <v>91</v>
      </c>
      <c r="AA1848" s="18" t="s">
        <v>92</v>
      </c>
      <c r="AB1848" s="18" t="s">
        <v>93</v>
      </c>
      <c r="AC1848" s="18" t="s">
        <v>94</v>
      </c>
      <c r="AD1848" s="18" t="s">
        <v>235</v>
      </c>
      <c r="AE1848" s="18" t="s">
        <v>236</v>
      </c>
      <c r="AF1848" s="18" t="s">
        <v>237</v>
      </c>
      <c r="AG1848" s="18" t="s">
        <v>238</v>
      </c>
      <c r="AH1848" s="18" t="s">
        <v>239</v>
      </c>
      <c r="AI1848" s="18" t="s">
        <v>240</v>
      </c>
      <c r="AJ1848" s="18" t="s">
        <v>241</v>
      </c>
      <c r="AK1848" s="18" t="s">
        <v>242</v>
      </c>
      <c r="AL1848" s="18" t="s">
        <v>243</v>
      </c>
      <c r="AM1848" s="50" t="s">
        <v>244</v>
      </c>
    </row>
    <row r="1849" spans="1:39">
      <c r="A1849" s="40" t="s">
        <v>245</v>
      </c>
      <c r="B1849" s="51" t="str">
        <f>D65</f>
        <v/>
      </c>
      <c r="C1849" s="40" t="str">
        <f t="shared" ref="C1849:C1875" si="273">A1849</f>
        <v>#</v>
      </c>
      <c r="D1849" s="40" t="str">
        <f>"   "&amp;B1849&amp;REPT(" ",$AH$70-LEN(B1849)-3)</f>
        <v xml:space="preserve">                                                            </v>
      </c>
      <c r="E1849" s="38" t="str">
        <f>SUM(E1850:E1875)&amp;" pts[/b]"</f>
        <v>0 pts[/b]</v>
      </c>
      <c r="F1849" s="21">
        <f>SUM(E1850:E1875)</f>
        <v>0</v>
      </c>
      <c r="K1849" s="18">
        <f>COUNTIF(E1850:E1875,"&gt;0")</f>
        <v>0</v>
      </c>
      <c r="L1849" s="21">
        <f>AM1849-K1849</f>
        <v>0</v>
      </c>
      <c r="M1849" s="22">
        <f>MAX(E1850:E1875)</f>
        <v>0</v>
      </c>
      <c r="N1849" s="22">
        <f>LARGE(E1850:E1875,2)</f>
        <v>0</v>
      </c>
      <c r="O1849" s="22">
        <f>LARGE(E1850:E1875,3)</f>
        <v>0</v>
      </c>
      <c r="P1849" s="18">
        <f>LARGE(E1850:E1875,4)</f>
        <v>0</v>
      </c>
      <c r="Q1849" s="22">
        <f>LARGE(E1850:E1875,5)</f>
        <v>0</v>
      </c>
      <c r="R1849" s="22">
        <f>LARGE(E1850:E1875,6)</f>
        <v>0</v>
      </c>
      <c r="S1849" s="22">
        <f>LARGE(E1850:E1875,7)</f>
        <v>0</v>
      </c>
      <c r="T1849" s="18">
        <f>LARGE(E1850:E1875,8)</f>
        <v>0</v>
      </c>
      <c r="U1849" s="18">
        <f>LARGE(E1850:E1875,9)</f>
        <v>0</v>
      </c>
      <c r="V1849" s="18">
        <f>LARGE(E1850:E1875,10)</f>
        <v>0</v>
      </c>
      <c r="W1849" s="18">
        <f>LARGE(E1850:E1875,11)</f>
        <v>0</v>
      </c>
      <c r="X1849" s="18">
        <f>LARGE(E1850:E1875,12)</f>
        <v>0</v>
      </c>
      <c r="Y1849" s="18">
        <f>LARGE(E1850:E1875,13)</f>
        <v>0</v>
      </c>
      <c r="Z1849" s="18">
        <f>LARGE(E1850:E1875,14)</f>
        <v>0</v>
      </c>
      <c r="AA1849" s="18">
        <f>LARGE(E1850:E1875,15)</f>
        <v>0</v>
      </c>
      <c r="AB1849" s="18">
        <f>LARGE(E1850:E1875,16)</f>
        <v>0</v>
      </c>
      <c r="AC1849" s="18">
        <f>LARGE(E1850:E1875,17)</f>
        <v>0</v>
      </c>
      <c r="AD1849" s="18">
        <f>LARGE(E1850:E1876,13)</f>
        <v>0</v>
      </c>
      <c r="AE1849" s="18">
        <f>LARGE(E1850:E1875,19)</f>
        <v>0</v>
      </c>
      <c r="AF1849" s="18">
        <f>LARGE(E1850:E1875,20)</f>
        <v>0</v>
      </c>
      <c r="AG1849" s="18">
        <f>LARGE(E1850:E1875,21)</f>
        <v>0</v>
      </c>
      <c r="AH1849" s="18">
        <f>LARGE(E1850:E1875,22)</f>
        <v>0</v>
      </c>
      <c r="AI1849" s="18">
        <f>LARGE(E1850:E1875,23)</f>
        <v>0</v>
      </c>
      <c r="AJ1849" s="18">
        <f>LARGE(E1850:E1875,24)</f>
        <v>0</v>
      </c>
      <c r="AK1849" s="18">
        <f>LARGE(E1850:E1875,25)</f>
        <v>0</v>
      </c>
      <c r="AL1849" s="18">
        <f>LARGE(E1850:E1875,26)</f>
        <v>0</v>
      </c>
      <c r="AM1849" s="50">
        <f>COUNTIF(AH1850:AH1875,"&lt;&gt;"&amp;$AH$76)-(26-COUNTIF(E1850:E1875,"&gt;=0"))</f>
        <v>0</v>
      </c>
    </row>
    <row r="1850" spans="1:39">
      <c r="A1850" s="42" t="s">
        <v>246</v>
      </c>
      <c r="B1850" s="1" t="s">
        <v>20</v>
      </c>
      <c r="C1850" s="40" t="str">
        <f t="shared" si="273"/>
        <v>01-&gt;</v>
      </c>
      <c r="D1850" s="40" t="str">
        <f t="shared" ref="D1850:D1875" si="274">B1850&amp;REPT(" ",$AH$70-LEN(B1850))</f>
        <v xml:space="preserve">No pick yet                                                 </v>
      </c>
      <c r="E1850" s="52">
        <f t="shared" ref="E1850:E1875" si="275">VLOOKUP(RIGHT(B1850,LEN(B1850)-$AH$66),$H$138:$I$420,2,0)</f>
        <v>0</v>
      </c>
      <c r="F1850" s="18"/>
      <c r="M1850" s="18"/>
      <c r="N1850" s="18"/>
      <c r="O1850" s="18"/>
      <c r="P1850" s="18"/>
      <c r="Q1850" s="22"/>
      <c r="R1850" s="21"/>
      <c r="S1850" s="21"/>
      <c r="T1850" s="21"/>
      <c r="AA1850"/>
      <c r="AH1850" t="str">
        <f t="shared" ref="AH1850:AH1875" si="276">RIGHT(B1850,LEN(B1850)-$AH$66)</f>
        <v>k yet</v>
      </c>
    </row>
    <row r="1851" spans="1:39">
      <c r="A1851" s="42" t="s">
        <v>247</v>
      </c>
      <c r="B1851" s="1" t="s">
        <v>20</v>
      </c>
      <c r="C1851" s="40" t="str">
        <f t="shared" si="273"/>
        <v>02-&gt;</v>
      </c>
      <c r="D1851" s="40" t="str">
        <f t="shared" si="274"/>
        <v xml:space="preserve">No pick yet                                                 </v>
      </c>
      <c r="E1851" s="52">
        <f t="shared" si="275"/>
        <v>0</v>
      </c>
      <c r="F1851" s="18"/>
      <c r="K1851" s="22"/>
      <c r="N1851" s="22"/>
      <c r="O1851" s="22"/>
      <c r="P1851" s="22"/>
      <c r="Q1851" s="22"/>
      <c r="R1851" s="22"/>
      <c r="S1851" s="22"/>
      <c r="Z1851" s="53"/>
      <c r="AA1851"/>
      <c r="AH1851" t="str">
        <f t="shared" si="276"/>
        <v>k yet</v>
      </c>
    </row>
    <row r="1852" spans="1:39">
      <c r="A1852" s="42" t="s">
        <v>248</v>
      </c>
      <c r="B1852" s="1" t="s">
        <v>20</v>
      </c>
      <c r="C1852" s="40" t="str">
        <f t="shared" si="273"/>
        <v>03-&gt;</v>
      </c>
      <c r="D1852" s="40" t="str">
        <f t="shared" si="274"/>
        <v xml:space="preserve">No pick yet                                                 </v>
      </c>
      <c r="E1852" s="52">
        <f t="shared" si="275"/>
        <v>0</v>
      </c>
      <c r="F1852" s="18"/>
      <c r="L1852" s="21"/>
      <c r="N1852" s="22"/>
      <c r="O1852" s="22"/>
      <c r="P1852" s="18"/>
      <c r="Q1852" s="22"/>
      <c r="R1852" s="22"/>
      <c r="S1852" s="22"/>
      <c r="Z1852" s="53"/>
      <c r="AA1852"/>
      <c r="AH1852" t="str">
        <f t="shared" si="276"/>
        <v>k yet</v>
      </c>
    </row>
    <row r="1853" spans="1:39">
      <c r="A1853" s="42" t="s">
        <v>249</v>
      </c>
      <c r="B1853" s="1" t="s">
        <v>20</v>
      </c>
      <c r="C1853" s="40" t="str">
        <f t="shared" si="273"/>
        <v>04-&gt;</v>
      </c>
      <c r="D1853" s="40" t="str">
        <f t="shared" si="274"/>
        <v xml:space="preserve">No pick yet                                                 </v>
      </c>
      <c r="E1853" s="52">
        <f t="shared" si="275"/>
        <v>0</v>
      </c>
      <c r="F1853" s="18"/>
      <c r="M1853" s="18"/>
      <c r="N1853" s="18"/>
      <c r="O1853" s="18"/>
      <c r="P1853" s="18"/>
      <c r="Q1853" s="22"/>
      <c r="R1853" s="21"/>
      <c r="S1853" s="21"/>
      <c r="T1853" s="21"/>
      <c r="AA1853"/>
      <c r="AH1853" t="str">
        <f t="shared" si="276"/>
        <v>k yet</v>
      </c>
    </row>
    <row r="1854" spans="1:39">
      <c r="A1854" s="42" t="s">
        <v>250</v>
      </c>
      <c r="B1854" s="1" t="s">
        <v>20</v>
      </c>
      <c r="C1854" s="40" t="str">
        <f t="shared" si="273"/>
        <v>05-&gt;</v>
      </c>
      <c r="D1854" s="40" t="str">
        <f t="shared" si="274"/>
        <v xml:space="preserve">No pick yet                                                 </v>
      </c>
      <c r="E1854" s="52">
        <f t="shared" si="275"/>
        <v>0</v>
      </c>
      <c r="F1854" s="18"/>
      <c r="M1854" s="18"/>
      <c r="N1854" s="18"/>
      <c r="O1854" s="18"/>
      <c r="P1854" s="18"/>
      <c r="Q1854" s="22"/>
      <c r="R1854" s="21"/>
      <c r="S1854" s="21"/>
      <c r="T1854" s="21"/>
      <c r="AA1854"/>
      <c r="AH1854" t="str">
        <f t="shared" si="276"/>
        <v>k yet</v>
      </c>
    </row>
    <row r="1855" spans="1:39">
      <c r="A1855" s="42" t="s">
        <v>251</v>
      </c>
      <c r="B1855" s="1" t="s">
        <v>20</v>
      </c>
      <c r="C1855" s="40" t="str">
        <f t="shared" si="273"/>
        <v>06-&gt;</v>
      </c>
      <c r="D1855" s="40" t="str">
        <f t="shared" si="274"/>
        <v xml:space="preserve">No pick yet                                                 </v>
      </c>
      <c r="E1855" s="52">
        <f t="shared" si="275"/>
        <v>0</v>
      </c>
      <c r="F1855" s="18"/>
      <c r="M1855" s="18"/>
      <c r="N1855" s="18"/>
      <c r="O1855" s="18"/>
      <c r="P1855" s="18"/>
      <c r="Q1855" s="22"/>
      <c r="R1855" s="21"/>
      <c r="S1855" s="21"/>
      <c r="T1855" s="21"/>
      <c r="AA1855"/>
      <c r="AH1855" t="str">
        <f t="shared" si="276"/>
        <v>k yet</v>
      </c>
    </row>
    <row r="1856" spans="1:39">
      <c r="A1856" s="42" t="s">
        <v>252</v>
      </c>
      <c r="B1856" s="1" t="s">
        <v>20</v>
      </c>
      <c r="C1856" s="40" t="str">
        <f t="shared" si="273"/>
        <v>07-&gt;</v>
      </c>
      <c r="D1856" s="40" t="str">
        <f t="shared" si="274"/>
        <v xml:space="preserve">No pick yet                                                 </v>
      </c>
      <c r="E1856" s="52">
        <f t="shared" si="275"/>
        <v>0</v>
      </c>
      <c r="F1856" s="18"/>
      <c r="M1856" s="18"/>
      <c r="N1856" s="18"/>
      <c r="O1856" s="18"/>
      <c r="P1856" s="18"/>
      <c r="Q1856" s="22"/>
      <c r="R1856" s="21"/>
      <c r="S1856" s="21"/>
      <c r="T1856" s="21"/>
      <c r="AA1856"/>
      <c r="AH1856" t="str">
        <f t="shared" si="276"/>
        <v>k yet</v>
      </c>
    </row>
    <row r="1857" spans="1:34">
      <c r="A1857" s="42" t="s">
        <v>253</v>
      </c>
      <c r="B1857" s="1" t="s">
        <v>20</v>
      </c>
      <c r="C1857" s="40" t="str">
        <f t="shared" si="273"/>
        <v>08-&gt;</v>
      </c>
      <c r="D1857" s="40" t="str">
        <f t="shared" si="274"/>
        <v xml:space="preserve">No pick yet                                                 </v>
      </c>
      <c r="E1857" s="52">
        <f t="shared" si="275"/>
        <v>0</v>
      </c>
      <c r="F1857" s="18"/>
      <c r="M1857" s="18"/>
      <c r="N1857" s="18"/>
      <c r="O1857" s="18"/>
      <c r="P1857" s="18"/>
      <c r="Q1857" s="22"/>
      <c r="R1857" s="21"/>
      <c r="S1857" s="21"/>
      <c r="T1857" s="21"/>
      <c r="AA1857"/>
      <c r="AH1857" t="str">
        <f t="shared" si="276"/>
        <v>k yet</v>
      </c>
    </row>
    <row r="1858" spans="1:34">
      <c r="A1858" s="42" t="s">
        <v>254</v>
      </c>
      <c r="B1858" s="1" t="s">
        <v>20</v>
      </c>
      <c r="C1858" s="40" t="str">
        <f t="shared" si="273"/>
        <v>09-&gt;</v>
      </c>
      <c r="D1858" s="40" t="str">
        <f t="shared" si="274"/>
        <v xml:space="preserve">No pick yet                                                 </v>
      </c>
      <c r="E1858" s="52">
        <f t="shared" si="275"/>
        <v>0</v>
      </c>
      <c r="F1858" s="18"/>
      <c r="M1858" s="18"/>
      <c r="N1858" s="18"/>
      <c r="O1858" s="18"/>
      <c r="P1858" s="18"/>
      <c r="Q1858" s="22"/>
      <c r="R1858" s="21"/>
      <c r="S1858" s="21"/>
      <c r="T1858" s="21"/>
      <c r="AA1858"/>
      <c r="AH1858" t="str">
        <f t="shared" si="276"/>
        <v>k yet</v>
      </c>
    </row>
    <row r="1859" spans="1:34">
      <c r="A1859" s="42" t="s">
        <v>255</v>
      </c>
      <c r="B1859" s="1" t="s">
        <v>20</v>
      </c>
      <c r="C1859" s="40" t="str">
        <f t="shared" si="273"/>
        <v>10-&gt;</v>
      </c>
      <c r="D1859" s="40" t="str">
        <f t="shared" si="274"/>
        <v xml:space="preserve">No pick yet                                                 </v>
      </c>
      <c r="E1859" s="52">
        <f t="shared" si="275"/>
        <v>0</v>
      </c>
      <c r="F1859" s="22"/>
      <c r="M1859" s="18"/>
      <c r="N1859" s="18"/>
      <c r="O1859" s="18"/>
      <c r="P1859" s="18"/>
      <c r="Q1859" s="22"/>
      <c r="R1859" s="21"/>
      <c r="S1859" s="21"/>
      <c r="T1859" s="21"/>
      <c r="AA1859"/>
      <c r="AH1859" t="str">
        <f t="shared" si="276"/>
        <v>k yet</v>
      </c>
    </row>
    <row r="1860" spans="1:34">
      <c r="A1860" s="42" t="s">
        <v>256</v>
      </c>
      <c r="B1860" s="1" t="s">
        <v>20</v>
      </c>
      <c r="C1860" s="40" t="str">
        <f t="shared" si="273"/>
        <v>11-&gt;</v>
      </c>
      <c r="D1860" s="40" t="str">
        <f t="shared" si="274"/>
        <v xml:space="preserve">No pick yet                                                 </v>
      </c>
      <c r="E1860" s="52">
        <f t="shared" si="275"/>
        <v>0</v>
      </c>
      <c r="M1860" s="18"/>
      <c r="N1860" s="18"/>
      <c r="O1860" s="18"/>
      <c r="P1860" s="18"/>
      <c r="Q1860" s="22"/>
      <c r="R1860" s="21"/>
      <c r="S1860" s="21"/>
      <c r="T1860" s="21"/>
      <c r="AA1860"/>
      <c r="AH1860" t="str">
        <f t="shared" si="276"/>
        <v>k yet</v>
      </c>
    </row>
    <row r="1861" spans="1:34">
      <c r="A1861" s="42" t="s">
        <v>257</v>
      </c>
      <c r="B1861" s="1" t="s">
        <v>20</v>
      </c>
      <c r="C1861" s="40" t="str">
        <f t="shared" si="273"/>
        <v>12-&gt;</v>
      </c>
      <c r="D1861" s="40" t="str">
        <f t="shared" si="274"/>
        <v xml:space="preserve">No pick yet                                                 </v>
      </c>
      <c r="E1861" s="52">
        <f t="shared" si="275"/>
        <v>0</v>
      </c>
      <c r="M1861" s="18"/>
      <c r="N1861" s="18"/>
      <c r="O1861" s="18"/>
      <c r="P1861" s="18"/>
      <c r="Q1861" s="22"/>
      <c r="R1861" s="21"/>
      <c r="S1861" s="21"/>
      <c r="T1861" s="21"/>
      <c r="AA1861"/>
      <c r="AH1861" t="str">
        <f t="shared" si="276"/>
        <v>k yet</v>
      </c>
    </row>
    <row r="1862" spans="1:34">
      <c r="A1862" s="42" t="s">
        <v>258</v>
      </c>
      <c r="B1862" s="1" t="s">
        <v>20</v>
      </c>
      <c r="C1862" s="40" t="str">
        <f t="shared" si="273"/>
        <v>13-&gt;</v>
      </c>
      <c r="D1862" s="40" t="str">
        <f t="shared" si="274"/>
        <v xml:space="preserve">No pick yet                                                 </v>
      </c>
      <c r="E1862" s="52">
        <f t="shared" si="275"/>
        <v>0</v>
      </c>
      <c r="M1862" s="18"/>
      <c r="N1862" s="18"/>
      <c r="O1862" s="18"/>
      <c r="P1862" s="18"/>
      <c r="Q1862" s="22"/>
      <c r="R1862" s="21"/>
      <c r="S1862" s="21"/>
      <c r="T1862" s="21"/>
      <c r="AA1862"/>
      <c r="AH1862" t="str">
        <f t="shared" si="276"/>
        <v>k yet</v>
      </c>
    </row>
    <row r="1863" spans="1:34">
      <c r="A1863" s="42" t="s">
        <v>259</v>
      </c>
      <c r="B1863" s="1" t="s">
        <v>20</v>
      </c>
      <c r="C1863" s="40" t="str">
        <f t="shared" si="273"/>
        <v>14-&gt;</v>
      </c>
      <c r="D1863" s="40" t="str">
        <f t="shared" si="274"/>
        <v xml:space="preserve">No pick yet                                                 </v>
      </c>
      <c r="E1863" s="52">
        <f t="shared" si="275"/>
        <v>0</v>
      </c>
      <c r="M1863" s="18"/>
      <c r="N1863" s="18"/>
      <c r="O1863" s="18"/>
      <c r="P1863" s="18"/>
      <c r="Q1863" s="22"/>
      <c r="R1863" s="21"/>
      <c r="S1863" s="21"/>
      <c r="T1863" s="21"/>
      <c r="AA1863"/>
      <c r="AH1863" t="str">
        <f t="shared" si="276"/>
        <v>k yet</v>
      </c>
    </row>
    <row r="1864" spans="1:34">
      <c r="A1864" s="42" t="s">
        <v>260</v>
      </c>
      <c r="B1864" s="1" t="s">
        <v>20</v>
      </c>
      <c r="C1864" s="40" t="str">
        <f t="shared" si="273"/>
        <v>15-&gt;</v>
      </c>
      <c r="D1864" s="40" t="str">
        <f t="shared" si="274"/>
        <v xml:space="preserve">No pick yet                                                 </v>
      </c>
      <c r="E1864" s="52">
        <f t="shared" si="275"/>
        <v>0</v>
      </c>
      <c r="M1864" s="18"/>
      <c r="N1864" s="18"/>
      <c r="O1864" s="18"/>
      <c r="P1864" s="18"/>
      <c r="Q1864" s="22"/>
      <c r="R1864" s="21"/>
      <c r="S1864" s="21"/>
      <c r="T1864" s="21"/>
      <c r="AA1864"/>
      <c r="AH1864" t="str">
        <f t="shared" si="276"/>
        <v>k yet</v>
      </c>
    </row>
    <row r="1865" spans="1:34">
      <c r="A1865" s="42" t="s">
        <v>261</v>
      </c>
      <c r="B1865" s="1" t="s">
        <v>20</v>
      </c>
      <c r="C1865" s="40" t="str">
        <f t="shared" si="273"/>
        <v>16-&gt;</v>
      </c>
      <c r="D1865" s="40" t="str">
        <f t="shared" si="274"/>
        <v xml:space="preserve">No pick yet                                                 </v>
      </c>
      <c r="E1865" s="52">
        <f t="shared" si="275"/>
        <v>0</v>
      </c>
      <c r="M1865" s="18"/>
      <c r="N1865" s="18"/>
      <c r="O1865" s="18"/>
      <c r="P1865" s="18"/>
      <c r="Q1865" s="22"/>
      <c r="R1865" s="21"/>
      <c r="S1865" s="21"/>
      <c r="T1865" s="21"/>
      <c r="AA1865"/>
      <c r="AH1865" t="str">
        <f t="shared" si="276"/>
        <v>k yet</v>
      </c>
    </row>
    <row r="1866" spans="1:34">
      <c r="A1866" s="42" t="s">
        <v>262</v>
      </c>
      <c r="B1866" s="1" t="s">
        <v>20</v>
      </c>
      <c r="C1866" s="40" t="str">
        <f t="shared" si="273"/>
        <v>17-&gt;</v>
      </c>
      <c r="D1866" s="40" t="str">
        <f t="shared" si="274"/>
        <v xml:space="preserve">No pick yet                                                 </v>
      </c>
      <c r="E1866" s="52">
        <f t="shared" si="275"/>
        <v>0</v>
      </c>
      <c r="K1866" s="22"/>
      <c r="N1866" s="22"/>
      <c r="O1866" s="22"/>
      <c r="P1866" s="22"/>
      <c r="Q1866" s="22"/>
      <c r="R1866" s="22"/>
      <c r="S1866" s="22"/>
      <c r="Z1866" s="53"/>
      <c r="AA1866"/>
      <c r="AH1866" t="str">
        <f t="shared" si="276"/>
        <v>k yet</v>
      </c>
    </row>
    <row r="1867" spans="1:34">
      <c r="A1867" s="42" t="s">
        <v>263</v>
      </c>
      <c r="B1867" s="1" t="s">
        <v>20</v>
      </c>
      <c r="C1867" s="40" t="str">
        <f t="shared" si="273"/>
        <v>18-&gt;</v>
      </c>
      <c r="D1867" s="40" t="str">
        <f t="shared" si="274"/>
        <v xml:space="preserve">No pick yet                                                 </v>
      </c>
      <c r="E1867" s="52">
        <f t="shared" si="275"/>
        <v>0</v>
      </c>
      <c r="F1867" s="18"/>
      <c r="L1867" s="21"/>
      <c r="N1867" s="22"/>
      <c r="O1867" s="22"/>
      <c r="P1867" s="18"/>
      <c r="Q1867" s="22"/>
      <c r="R1867" s="22"/>
      <c r="S1867" s="22"/>
      <c r="Z1867" s="53"/>
      <c r="AA1867"/>
      <c r="AH1867" t="str">
        <f t="shared" si="276"/>
        <v>k yet</v>
      </c>
    </row>
    <row r="1868" spans="1:34">
      <c r="A1868" s="42" t="s">
        <v>264</v>
      </c>
      <c r="B1868" s="1" t="s">
        <v>20</v>
      </c>
      <c r="C1868" s="40" t="str">
        <f t="shared" si="273"/>
        <v>19-&gt;</v>
      </c>
      <c r="D1868" s="40" t="str">
        <f t="shared" si="274"/>
        <v xml:space="preserve">No pick yet                                                 </v>
      </c>
      <c r="E1868" s="52">
        <f t="shared" si="275"/>
        <v>0</v>
      </c>
      <c r="F1868" s="18"/>
      <c r="M1868" s="18"/>
      <c r="N1868" s="18"/>
      <c r="O1868" s="18"/>
      <c r="P1868" s="18"/>
      <c r="Q1868" s="22"/>
      <c r="R1868" s="21"/>
      <c r="S1868" s="21"/>
      <c r="T1868" s="21"/>
      <c r="AA1868"/>
      <c r="AH1868" t="str">
        <f t="shared" si="276"/>
        <v>k yet</v>
      </c>
    </row>
    <row r="1869" spans="1:34">
      <c r="A1869" s="42" t="s">
        <v>265</v>
      </c>
      <c r="B1869" s="1" t="s">
        <v>20</v>
      </c>
      <c r="C1869" s="40" t="str">
        <f t="shared" si="273"/>
        <v>20-&gt;</v>
      </c>
      <c r="D1869" s="40" t="str">
        <f t="shared" si="274"/>
        <v xml:space="preserve">No pick yet                                                 </v>
      </c>
      <c r="E1869" s="52">
        <f t="shared" si="275"/>
        <v>0</v>
      </c>
      <c r="F1869" s="18"/>
      <c r="M1869" s="18"/>
      <c r="N1869" s="18"/>
      <c r="O1869" s="18"/>
      <c r="P1869" s="18"/>
      <c r="Q1869" s="22"/>
      <c r="R1869" s="21"/>
      <c r="S1869" s="21"/>
      <c r="T1869" s="21"/>
      <c r="AA1869"/>
      <c r="AH1869" t="str">
        <f t="shared" si="276"/>
        <v>k yet</v>
      </c>
    </row>
    <row r="1870" spans="1:34">
      <c r="A1870" s="42" t="s">
        <v>266</v>
      </c>
      <c r="B1870" s="1" t="s">
        <v>20</v>
      </c>
      <c r="C1870" s="40" t="str">
        <f t="shared" si="273"/>
        <v>21-&gt;</v>
      </c>
      <c r="D1870" s="40" t="str">
        <f t="shared" si="274"/>
        <v xml:space="preserve">No pick yet                                                 </v>
      </c>
      <c r="E1870" s="52">
        <f t="shared" si="275"/>
        <v>0</v>
      </c>
      <c r="F1870" s="18"/>
      <c r="M1870" s="18"/>
      <c r="N1870" s="18"/>
      <c r="O1870" s="18"/>
      <c r="P1870" s="18"/>
      <c r="Q1870" s="22"/>
      <c r="R1870" s="21"/>
      <c r="S1870" s="21"/>
      <c r="T1870" s="21"/>
      <c r="AA1870"/>
      <c r="AH1870" t="str">
        <f t="shared" si="276"/>
        <v>k yet</v>
      </c>
    </row>
    <row r="1871" spans="1:34">
      <c r="A1871" s="42" t="s">
        <v>267</v>
      </c>
      <c r="B1871" s="1" t="s">
        <v>20</v>
      </c>
      <c r="C1871" s="40" t="str">
        <f t="shared" si="273"/>
        <v>22-&gt;</v>
      </c>
      <c r="D1871" s="40" t="str">
        <f t="shared" si="274"/>
        <v xml:space="preserve">No pick yet                                                 </v>
      </c>
      <c r="E1871" s="52">
        <f t="shared" si="275"/>
        <v>0</v>
      </c>
      <c r="F1871" s="18"/>
      <c r="M1871" s="18"/>
      <c r="N1871" s="18"/>
      <c r="O1871" s="18"/>
      <c r="P1871" s="18"/>
      <c r="Q1871" s="22"/>
      <c r="R1871" s="21"/>
      <c r="S1871" s="21"/>
      <c r="T1871" s="21"/>
      <c r="AA1871"/>
      <c r="AH1871" t="str">
        <f t="shared" si="276"/>
        <v>k yet</v>
      </c>
    </row>
    <row r="1872" spans="1:34">
      <c r="A1872" s="42" t="s">
        <v>268</v>
      </c>
      <c r="B1872" s="1" t="s">
        <v>20</v>
      </c>
      <c r="C1872" s="40" t="str">
        <f t="shared" si="273"/>
        <v>23-&gt;</v>
      </c>
      <c r="D1872" s="40" t="str">
        <f t="shared" si="274"/>
        <v xml:space="preserve">No pick yet                                                 </v>
      </c>
      <c r="E1872" s="52">
        <f t="shared" si="275"/>
        <v>0</v>
      </c>
      <c r="F1872" s="18"/>
      <c r="M1872" s="18"/>
      <c r="N1872" s="18"/>
      <c r="O1872" s="18"/>
      <c r="P1872" s="18"/>
      <c r="Q1872" s="22"/>
      <c r="R1872" s="21"/>
      <c r="S1872" s="21"/>
      <c r="T1872" s="21"/>
      <c r="AA1872"/>
      <c r="AH1872" t="str">
        <f t="shared" si="276"/>
        <v>k yet</v>
      </c>
    </row>
    <row r="1873" spans="1:39">
      <c r="A1873" s="42" t="s">
        <v>269</v>
      </c>
      <c r="B1873" s="1" t="s">
        <v>20</v>
      </c>
      <c r="C1873" s="40" t="str">
        <f t="shared" si="273"/>
        <v>24-&gt;</v>
      </c>
      <c r="D1873" s="40" t="str">
        <f t="shared" si="274"/>
        <v xml:space="preserve">No pick yet                                                 </v>
      </c>
      <c r="E1873" s="52">
        <f t="shared" si="275"/>
        <v>0</v>
      </c>
      <c r="F1873" s="18"/>
      <c r="M1873" s="18"/>
      <c r="N1873" s="18"/>
      <c r="O1873" s="18"/>
      <c r="P1873" s="18"/>
      <c r="Q1873" s="22"/>
      <c r="R1873" s="21"/>
      <c r="S1873" s="21"/>
      <c r="T1873" s="21"/>
      <c r="AA1873"/>
      <c r="AH1873" t="str">
        <f t="shared" si="276"/>
        <v>k yet</v>
      </c>
    </row>
    <row r="1874" spans="1:39">
      <c r="A1874" s="42" t="s">
        <v>270</v>
      </c>
      <c r="B1874" s="1" t="s">
        <v>20</v>
      </c>
      <c r="C1874" s="40" t="str">
        <f t="shared" si="273"/>
        <v>25-&gt;</v>
      </c>
      <c r="D1874" s="40" t="str">
        <f t="shared" si="274"/>
        <v xml:space="preserve">No pick yet                                                 </v>
      </c>
      <c r="E1874" s="52">
        <f t="shared" si="275"/>
        <v>0</v>
      </c>
      <c r="F1874" s="18"/>
      <c r="M1874" s="18"/>
      <c r="N1874" s="18"/>
      <c r="O1874" s="18"/>
      <c r="P1874" s="18"/>
      <c r="Q1874" s="22"/>
      <c r="R1874" s="21"/>
      <c r="S1874" s="21"/>
      <c r="T1874" s="21"/>
      <c r="AA1874"/>
      <c r="AH1874" t="str">
        <f t="shared" si="276"/>
        <v>k yet</v>
      </c>
    </row>
    <row r="1875" spans="1:39">
      <c r="A1875" s="42" t="s">
        <v>271</v>
      </c>
      <c r="B1875" s="1" t="s">
        <v>20</v>
      </c>
      <c r="C1875" s="40" t="str">
        <f t="shared" si="273"/>
        <v>26-&gt;</v>
      </c>
      <c r="D1875" s="40" t="str">
        <f t="shared" si="274"/>
        <v xml:space="preserve">No pick yet                                                 </v>
      </c>
      <c r="E1875" s="52">
        <f t="shared" si="275"/>
        <v>0</v>
      </c>
      <c r="F1875" s="18"/>
      <c r="M1875" s="18"/>
      <c r="N1875" s="18"/>
      <c r="O1875" s="18"/>
      <c r="P1875" s="18"/>
      <c r="Q1875" s="22"/>
      <c r="R1875" s="21"/>
      <c r="S1875" s="21"/>
      <c r="T1875" s="21"/>
      <c r="AA1875"/>
      <c r="AH1875" t="str">
        <f t="shared" si="276"/>
        <v>k yet</v>
      </c>
    </row>
    <row r="1876" spans="1:39">
      <c r="A1876" s="38"/>
      <c r="B1876" s="40"/>
      <c r="C1876" s="40"/>
      <c r="D1876" s="49"/>
      <c r="E1876" s="41" t="s">
        <v>69</v>
      </c>
      <c r="F1876" s="18"/>
      <c r="K1876" s="22" t="s">
        <v>73</v>
      </c>
      <c r="L1876" s="18" t="s">
        <v>74</v>
      </c>
      <c r="M1876" s="22" t="s">
        <v>78</v>
      </c>
      <c r="N1876" s="22" t="s">
        <v>79</v>
      </c>
      <c r="O1876" s="22" t="s">
        <v>80</v>
      </c>
      <c r="P1876" s="22" t="s">
        <v>81</v>
      </c>
      <c r="Q1876" s="22" t="s">
        <v>82</v>
      </c>
      <c r="R1876" s="22" t="s">
        <v>83</v>
      </c>
      <c r="S1876" s="22" t="s">
        <v>84</v>
      </c>
      <c r="T1876" s="18" t="s">
        <v>85</v>
      </c>
      <c r="U1876" s="18" t="s">
        <v>86</v>
      </c>
      <c r="V1876" s="18" t="s">
        <v>87</v>
      </c>
      <c r="W1876" s="18" t="s">
        <v>88</v>
      </c>
      <c r="X1876" s="18" t="s">
        <v>89</v>
      </c>
      <c r="Y1876" s="18" t="s">
        <v>90</v>
      </c>
      <c r="Z1876" s="18" t="s">
        <v>91</v>
      </c>
      <c r="AA1876" s="18" t="s">
        <v>92</v>
      </c>
      <c r="AB1876" s="18" t="s">
        <v>93</v>
      </c>
      <c r="AC1876" s="18" t="s">
        <v>94</v>
      </c>
      <c r="AD1876" s="18" t="s">
        <v>235</v>
      </c>
      <c r="AE1876" s="18" t="s">
        <v>236</v>
      </c>
      <c r="AF1876" s="18" t="s">
        <v>237</v>
      </c>
      <c r="AG1876" s="18" t="s">
        <v>238</v>
      </c>
      <c r="AH1876" s="18" t="s">
        <v>239</v>
      </c>
      <c r="AI1876" s="18" t="s">
        <v>240</v>
      </c>
      <c r="AJ1876" s="18" t="s">
        <v>241</v>
      </c>
      <c r="AK1876" s="18" t="s">
        <v>242</v>
      </c>
      <c r="AL1876" s="18" t="s">
        <v>243</v>
      </c>
      <c r="AM1876" s="50" t="s">
        <v>244</v>
      </c>
    </row>
    <row r="1877" spans="1:39">
      <c r="A1877" s="40" t="s">
        <v>245</v>
      </c>
      <c r="B1877" s="51" t="str">
        <f>D66</f>
        <v/>
      </c>
      <c r="C1877" s="40" t="str">
        <f t="shared" ref="C1877:C1903" si="277">A1877</f>
        <v>#</v>
      </c>
      <c r="D1877" s="40" t="str">
        <f>"   "&amp;B1877&amp;REPT(" ",$AH$70-LEN(B1877)-3)</f>
        <v xml:space="preserve">                                                            </v>
      </c>
      <c r="E1877" s="38" t="str">
        <f>SUM(E1878:E1903)&amp;" pts[/b]"</f>
        <v>0 pts[/b]</v>
      </c>
      <c r="F1877" s="21">
        <f>SUM(E1878:E1903)</f>
        <v>0</v>
      </c>
      <c r="K1877" s="18">
        <f>COUNTIF(E1878:E1903,"&gt;0")</f>
        <v>0</v>
      </c>
      <c r="L1877" s="21">
        <f>AM1877-K1877</f>
        <v>0</v>
      </c>
      <c r="M1877" s="22">
        <f>MAX(E1878:E1903)</f>
        <v>0</v>
      </c>
      <c r="N1877" s="22">
        <f>LARGE(E1878:E1903,2)</f>
        <v>0</v>
      </c>
      <c r="O1877" s="22">
        <f>LARGE(E1878:E1903,3)</f>
        <v>0</v>
      </c>
      <c r="P1877" s="18">
        <f>LARGE(E1878:E1903,4)</f>
        <v>0</v>
      </c>
      <c r="Q1877" s="22">
        <f>LARGE(E1878:E1903,5)</f>
        <v>0</v>
      </c>
      <c r="R1877" s="22">
        <f>LARGE(E1878:E1903,6)</f>
        <v>0</v>
      </c>
      <c r="S1877" s="22">
        <f>LARGE(E1878:E1903,7)</f>
        <v>0</v>
      </c>
      <c r="T1877" s="18">
        <f>LARGE(E1878:E1903,8)</f>
        <v>0</v>
      </c>
      <c r="U1877" s="18">
        <f>LARGE(E1878:E1903,9)</f>
        <v>0</v>
      </c>
      <c r="V1877" s="18">
        <f>LARGE(E1878:E1903,10)</f>
        <v>0</v>
      </c>
      <c r="W1877" s="18">
        <f>LARGE(E1878:E1903,11)</f>
        <v>0</v>
      </c>
      <c r="X1877" s="18">
        <f>LARGE(E1878:E1903,12)</f>
        <v>0</v>
      </c>
      <c r="Y1877" s="18">
        <f>LARGE(E1878:E1903,13)</f>
        <v>0</v>
      </c>
      <c r="Z1877" s="18">
        <f>LARGE(E1878:E1903,14)</f>
        <v>0</v>
      </c>
      <c r="AA1877" s="18">
        <f>LARGE(E1878:E1903,15)</f>
        <v>0</v>
      </c>
      <c r="AB1877" s="18">
        <f>LARGE(E1878:E1903,16)</f>
        <v>0</v>
      </c>
      <c r="AC1877" s="18">
        <f>LARGE(E1878:E1903,17)</f>
        <v>0</v>
      </c>
      <c r="AD1877" s="18">
        <f>LARGE(E1878:E1904,13)</f>
        <v>0</v>
      </c>
      <c r="AE1877" s="18">
        <f>LARGE(E1878:E1903,19)</f>
        <v>0</v>
      </c>
      <c r="AF1877" s="18">
        <f>LARGE(E1878:E1903,20)</f>
        <v>0</v>
      </c>
      <c r="AG1877" s="18">
        <f>LARGE(E1878:E1903,21)</f>
        <v>0</v>
      </c>
      <c r="AH1877" s="18">
        <f>LARGE(E1878:E1903,22)</f>
        <v>0</v>
      </c>
      <c r="AI1877" s="18">
        <f>LARGE(E1878:E1903,23)</f>
        <v>0</v>
      </c>
      <c r="AJ1877" s="18">
        <f>LARGE(E1878:E1903,24)</f>
        <v>0</v>
      </c>
      <c r="AK1877" s="18">
        <f>LARGE(E1878:E1903,25)</f>
        <v>0</v>
      </c>
      <c r="AL1877" s="18">
        <f>LARGE(E1878:E1903,26)</f>
        <v>0</v>
      </c>
      <c r="AM1877" s="50">
        <f>COUNTIF(AH1878:AH1903,"&lt;&gt;"&amp;$AH$76)-(26-COUNTIF(E1878:E1903,"&gt;=0"))</f>
        <v>0</v>
      </c>
    </row>
    <row r="1878" spans="1:39">
      <c r="A1878" s="42" t="s">
        <v>246</v>
      </c>
      <c r="B1878" s="1" t="s">
        <v>20</v>
      </c>
      <c r="C1878" s="40" t="str">
        <f t="shared" si="277"/>
        <v>01-&gt;</v>
      </c>
      <c r="D1878" s="40" t="str">
        <f t="shared" ref="D1878:D1903" si="278">B1878&amp;REPT(" ",$AH$70-LEN(B1878))</f>
        <v xml:space="preserve">No pick yet                                                 </v>
      </c>
      <c r="E1878" s="52">
        <f t="shared" ref="E1878:E1903" si="279">VLOOKUP(RIGHT(B1878,LEN(B1878)-$AH$66),$H$138:$I$420,2,0)</f>
        <v>0</v>
      </c>
      <c r="F1878" s="18"/>
      <c r="M1878" s="18"/>
      <c r="N1878" s="18"/>
      <c r="O1878" s="18"/>
      <c r="P1878" s="18"/>
      <c r="Q1878" s="22"/>
      <c r="R1878" s="21"/>
      <c r="S1878" s="21"/>
      <c r="T1878" s="21"/>
      <c r="AA1878"/>
      <c r="AH1878" t="str">
        <f t="shared" ref="AH1878:AH1903" si="280">RIGHT(B1878,LEN(B1878)-$AH$66)</f>
        <v>k yet</v>
      </c>
    </row>
    <row r="1879" spans="1:39">
      <c r="A1879" s="42" t="s">
        <v>247</v>
      </c>
      <c r="B1879" s="1" t="s">
        <v>20</v>
      </c>
      <c r="C1879" s="40" t="str">
        <f t="shared" si="277"/>
        <v>02-&gt;</v>
      </c>
      <c r="D1879" s="40" t="str">
        <f t="shared" si="278"/>
        <v xml:space="preserve">No pick yet                                                 </v>
      </c>
      <c r="E1879" s="52">
        <f t="shared" si="279"/>
        <v>0</v>
      </c>
      <c r="F1879" s="18"/>
      <c r="K1879" s="22"/>
      <c r="N1879" s="22"/>
      <c r="O1879" s="22"/>
      <c r="P1879" s="22"/>
      <c r="Q1879" s="22"/>
      <c r="R1879" s="22"/>
      <c r="S1879" s="22"/>
      <c r="Z1879" s="53"/>
      <c r="AA1879"/>
      <c r="AH1879" t="str">
        <f t="shared" si="280"/>
        <v>k yet</v>
      </c>
    </row>
    <row r="1880" spans="1:39">
      <c r="A1880" s="42" t="s">
        <v>248</v>
      </c>
      <c r="B1880" s="1" t="s">
        <v>20</v>
      </c>
      <c r="C1880" s="40" t="str">
        <f t="shared" si="277"/>
        <v>03-&gt;</v>
      </c>
      <c r="D1880" s="40" t="str">
        <f t="shared" si="278"/>
        <v xml:space="preserve">No pick yet                                                 </v>
      </c>
      <c r="E1880" s="52">
        <f t="shared" si="279"/>
        <v>0</v>
      </c>
      <c r="F1880" s="18"/>
      <c r="L1880" s="21"/>
      <c r="N1880" s="22"/>
      <c r="O1880" s="22"/>
      <c r="P1880" s="18"/>
      <c r="Q1880" s="22"/>
      <c r="R1880" s="22"/>
      <c r="S1880" s="22"/>
      <c r="Z1880" s="53"/>
      <c r="AA1880"/>
      <c r="AH1880" t="str">
        <f t="shared" si="280"/>
        <v>k yet</v>
      </c>
    </row>
    <row r="1881" spans="1:39">
      <c r="A1881" s="42" t="s">
        <v>249</v>
      </c>
      <c r="B1881" s="1" t="s">
        <v>20</v>
      </c>
      <c r="C1881" s="40" t="str">
        <f t="shared" si="277"/>
        <v>04-&gt;</v>
      </c>
      <c r="D1881" s="40" t="str">
        <f t="shared" si="278"/>
        <v xml:space="preserve">No pick yet                                                 </v>
      </c>
      <c r="E1881" s="52">
        <f t="shared" si="279"/>
        <v>0</v>
      </c>
      <c r="F1881" s="18"/>
      <c r="M1881" s="18"/>
      <c r="N1881" s="18"/>
      <c r="O1881" s="18"/>
      <c r="P1881" s="18"/>
      <c r="Q1881" s="22"/>
      <c r="R1881" s="21"/>
      <c r="S1881" s="21"/>
      <c r="T1881" s="21"/>
      <c r="AA1881"/>
      <c r="AH1881" t="str">
        <f t="shared" si="280"/>
        <v>k yet</v>
      </c>
    </row>
    <row r="1882" spans="1:39">
      <c r="A1882" s="42" t="s">
        <v>250</v>
      </c>
      <c r="B1882" s="1" t="s">
        <v>20</v>
      </c>
      <c r="C1882" s="40" t="str">
        <f t="shared" si="277"/>
        <v>05-&gt;</v>
      </c>
      <c r="D1882" s="40" t="str">
        <f t="shared" si="278"/>
        <v xml:space="preserve">No pick yet                                                 </v>
      </c>
      <c r="E1882" s="52">
        <f t="shared" si="279"/>
        <v>0</v>
      </c>
      <c r="F1882" s="18"/>
      <c r="M1882" s="18"/>
      <c r="N1882" s="18"/>
      <c r="O1882" s="18"/>
      <c r="P1882" s="18"/>
      <c r="Q1882" s="22"/>
      <c r="R1882" s="21"/>
      <c r="S1882" s="21"/>
      <c r="T1882" s="21"/>
      <c r="AA1882"/>
      <c r="AH1882" t="str">
        <f t="shared" si="280"/>
        <v>k yet</v>
      </c>
    </row>
    <row r="1883" spans="1:39">
      <c r="A1883" s="42" t="s">
        <v>251</v>
      </c>
      <c r="B1883" s="1" t="s">
        <v>20</v>
      </c>
      <c r="C1883" s="40" t="str">
        <f t="shared" si="277"/>
        <v>06-&gt;</v>
      </c>
      <c r="D1883" s="40" t="str">
        <f t="shared" si="278"/>
        <v xml:space="preserve">No pick yet                                                 </v>
      </c>
      <c r="E1883" s="52">
        <f t="shared" si="279"/>
        <v>0</v>
      </c>
      <c r="F1883" s="18"/>
      <c r="M1883" s="18"/>
      <c r="N1883" s="18"/>
      <c r="O1883" s="18"/>
      <c r="P1883" s="18"/>
      <c r="Q1883" s="22"/>
      <c r="R1883" s="21"/>
      <c r="S1883" s="21"/>
      <c r="T1883" s="21"/>
      <c r="AA1883"/>
      <c r="AH1883" t="str">
        <f t="shared" si="280"/>
        <v>k yet</v>
      </c>
    </row>
    <row r="1884" spans="1:39">
      <c r="A1884" s="42" t="s">
        <v>252</v>
      </c>
      <c r="B1884" s="1" t="s">
        <v>20</v>
      </c>
      <c r="C1884" s="40" t="str">
        <f t="shared" si="277"/>
        <v>07-&gt;</v>
      </c>
      <c r="D1884" s="40" t="str">
        <f t="shared" si="278"/>
        <v xml:space="preserve">No pick yet                                                 </v>
      </c>
      <c r="E1884" s="52">
        <f t="shared" si="279"/>
        <v>0</v>
      </c>
      <c r="F1884" s="18"/>
      <c r="M1884" s="18"/>
      <c r="N1884" s="18"/>
      <c r="O1884" s="18"/>
      <c r="P1884" s="18"/>
      <c r="Q1884" s="22"/>
      <c r="R1884" s="21"/>
      <c r="S1884" s="21"/>
      <c r="T1884" s="21"/>
      <c r="AA1884"/>
      <c r="AH1884" t="str">
        <f t="shared" si="280"/>
        <v>k yet</v>
      </c>
    </row>
    <row r="1885" spans="1:39">
      <c r="A1885" s="42" t="s">
        <v>253</v>
      </c>
      <c r="B1885" s="1" t="s">
        <v>20</v>
      </c>
      <c r="C1885" s="40" t="str">
        <f t="shared" si="277"/>
        <v>08-&gt;</v>
      </c>
      <c r="D1885" s="40" t="str">
        <f t="shared" si="278"/>
        <v xml:space="preserve">No pick yet                                                 </v>
      </c>
      <c r="E1885" s="52">
        <f t="shared" si="279"/>
        <v>0</v>
      </c>
      <c r="F1885" s="18"/>
      <c r="M1885" s="18"/>
      <c r="N1885" s="18"/>
      <c r="O1885" s="18"/>
      <c r="P1885" s="18"/>
      <c r="Q1885" s="22"/>
      <c r="R1885" s="21"/>
      <c r="S1885" s="21"/>
      <c r="T1885" s="21"/>
      <c r="AA1885"/>
      <c r="AH1885" t="str">
        <f t="shared" si="280"/>
        <v>k yet</v>
      </c>
    </row>
    <row r="1886" spans="1:39">
      <c r="A1886" s="42" t="s">
        <v>254</v>
      </c>
      <c r="B1886" s="1" t="s">
        <v>20</v>
      </c>
      <c r="C1886" s="40" t="str">
        <f t="shared" si="277"/>
        <v>09-&gt;</v>
      </c>
      <c r="D1886" s="40" t="str">
        <f t="shared" si="278"/>
        <v xml:space="preserve">No pick yet                                                 </v>
      </c>
      <c r="E1886" s="52">
        <f t="shared" si="279"/>
        <v>0</v>
      </c>
      <c r="F1886" s="18"/>
      <c r="M1886" s="18"/>
      <c r="N1886" s="18"/>
      <c r="O1886" s="18"/>
      <c r="P1886" s="18"/>
      <c r="Q1886" s="22"/>
      <c r="R1886" s="21"/>
      <c r="S1886" s="21"/>
      <c r="T1886" s="21"/>
      <c r="AA1886"/>
      <c r="AH1886" t="str">
        <f t="shared" si="280"/>
        <v>k yet</v>
      </c>
    </row>
    <row r="1887" spans="1:39">
      <c r="A1887" s="42" t="s">
        <v>255</v>
      </c>
      <c r="B1887" s="1" t="s">
        <v>20</v>
      </c>
      <c r="C1887" s="40" t="str">
        <f t="shared" si="277"/>
        <v>10-&gt;</v>
      </c>
      <c r="D1887" s="40" t="str">
        <f t="shared" si="278"/>
        <v xml:space="preserve">No pick yet                                                 </v>
      </c>
      <c r="E1887" s="52">
        <f t="shared" si="279"/>
        <v>0</v>
      </c>
      <c r="F1887" s="22"/>
      <c r="M1887" s="18"/>
      <c r="N1887" s="18"/>
      <c r="O1887" s="18"/>
      <c r="P1887" s="18"/>
      <c r="Q1887" s="22"/>
      <c r="R1887" s="21"/>
      <c r="S1887" s="21"/>
      <c r="T1887" s="21"/>
      <c r="AA1887"/>
      <c r="AH1887" t="str">
        <f t="shared" si="280"/>
        <v>k yet</v>
      </c>
    </row>
    <row r="1888" spans="1:39">
      <c r="A1888" s="42" t="s">
        <v>256</v>
      </c>
      <c r="B1888" s="1" t="s">
        <v>20</v>
      </c>
      <c r="C1888" s="40" t="str">
        <f t="shared" si="277"/>
        <v>11-&gt;</v>
      </c>
      <c r="D1888" s="40" t="str">
        <f t="shared" si="278"/>
        <v xml:space="preserve">No pick yet                                                 </v>
      </c>
      <c r="E1888" s="52">
        <f t="shared" si="279"/>
        <v>0</v>
      </c>
      <c r="M1888" s="18"/>
      <c r="N1888" s="18"/>
      <c r="O1888" s="18"/>
      <c r="P1888" s="18"/>
      <c r="Q1888" s="22"/>
      <c r="R1888" s="21"/>
      <c r="S1888" s="21"/>
      <c r="T1888" s="21"/>
      <c r="AA1888"/>
      <c r="AH1888" t="str">
        <f t="shared" si="280"/>
        <v>k yet</v>
      </c>
    </row>
    <row r="1889" spans="1:39">
      <c r="A1889" s="42" t="s">
        <v>257</v>
      </c>
      <c r="B1889" s="1" t="s">
        <v>20</v>
      </c>
      <c r="C1889" s="40" t="str">
        <f t="shared" si="277"/>
        <v>12-&gt;</v>
      </c>
      <c r="D1889" s="40" t="str">
        <f t="shared" si="278"/>
        <v xml:space="preserve">No pick yet                                                 </v>
      </c>
      <c r="E1889" s="52">
        <f t="shared" si="279"/>
        <v>0</v>
      </c>
      <c r="M1889" s="18"/>
      <c r="N1889" s="18"/>
      <c r="O1889" s="18"/>
      <c r="P1889" s="18"/>
      <c r="Q1889" s="22"/>
      <c r="R1889" s="21"/>
      <c r="S1889" s="21"/>
      <c r="T1889" s="21"/>
      <c r="AA1889"/>
      <c r="AH1889" t="str">
        <f t="shared" si="280"/>
        <v>k yet</v>
      </c>
    </row>
    <row r="1890" spans="1:39">
      <c r="A1890" s="42" t="s">
        <v>258</v>
      </c>
      <c r="B1890" s="1" t="s">
        <v>20</v>
      </c>
      <c r="C1890" s="40" t="str">
        <f t="shared" si="277"/>
        <v>13-&gt;</v>
      </c>
      <c r="D1890" s="40" t="str">
        <f t="shared" si="278"/>
        <v xml:space="preserve">No pick yet                                                 </v>
      </c>
      <c r="E1890" s="52">
        <f t="shared" si="279"/>
        <v>0</v>
      </c>
      <c r="M1890" s="18"/>
      <c r="N1890" s="18"/>
      <c r="O1890" s="18"/>
      <c r="P1890" s="18"/>
      <c r="Q1890" s="22"/>
      <c r="R1890" s="21"/>
      <c r="S1890" s="21"/>
      <c r="T1890" s="21"/>
      <c r="AA1890"/>
      <c r="AH1890" t="str">
        <f t="shared" si="280"/>
        <v>k yet</v>
      </c>
    </row>
    <row r="1891" spans="1:39">
      <c r="A1891" s="42" t="s">
        <v>259</v>
      </c>
      <c r="B1891" s="1" t="s">
        <v>20</v>
      </c>
      <c r="C1891" s="40" t="str">
        <f t="shared" si="277"/>
        <v>14-&gt;</v>
      </c>
      <c r="D1891" s="40" t="str">
        <f t="shared" si="278"/>
        <v xml:space="preserve">No pick yet                                                 </v>
      </c>
      <c r="E1891" s="52">
        <f t="shared" si="279"/>
        <v>0</v>
      </c>
      <c r="M1891" s="18"/>
      <c r="N1891" s="18"/>
      <c r="O1891" s="18"/>
      <c r="P1891" s="18"/>
      <c r="Q1891" s="22"/>
      <c r="R1891" s="21"/>
      <c r="S1891" s="21"/>
      <c r="T1891" s="21"/>
      <c r="AA1891"/>
      <c r="AH1891" t="str">
        <f t="shared" si="280"/>
        <v>k yet</v>
      </c>
    </row>
    <row r="1892" spans="1:39">
      <c r="A1892" s="42" t="s">
        <v>260</v>
      </c>
      <c r="B1892" s="1" t="s">
        <v>20</v>
      </c>
      <c r="C1892" s="40" t="str">
        <f t="shared" si="277"/>
        <v>15-&gt;</v>
      </c>
      <c r="D1892" s="40" t="str">
        <f t="shared" si="278"/>
        <v xml:space="preserve">No pick yet                                                 </v>
      </c>
      <c r="E1892" s="52">
        <f t="shared" si="279"/>
        <v>0</v>
      </c>
      <c r="M1892" s="18"/>
      <c r="N1892" s="18"/>
      <c r="O1892" s="18"/>
      <c r="P1892" s="18"/>
      <c r="Q1892" s="22"/>
      <c r="R1892" s="21"/>
      <c r="S1892" s="21"/>
      <c r="T1892" s="21"/>
      <c r="AA1892"/>
      <c r="AH1892" t="str">
        <f t="shared" si="280"/>
        <v>k yet</v>
      </c>
    </row>
    <row r="1893" spans="1:39">
      <c r="A1893" s="42" t="s">
        <v>261</v>
      </c>
      <c r="B1893" s="1" t="s">
        <v>20</v>
      </c>
      <c r="C1893" s="40" t="str">
        <f t="shared" si="277"/>
        <v>16-&gt;</v>
      </c>
      <c r="D1893" s="40" t="str">
        <f t="shared" si="278"/>
        <v xml:space="preserve">No pick yet                                                 </v>
      </c>
      <c r="E1893" s="52">
        <f t="shared" si="279"/>
        <v>0</v>
      </c>
      <c r="M1893" s="18"/>
      <c r="N1893" s="18"/>
      <c r="O1893" s="18"/>
      <c r="P1893" s="18"/>
      <c r="Q1893" s="22"/>
      <c r="R1893" s="21"/>
      <c r="S1893" s="21"/>
      <c r="T1893" s="21"/>
      <c r="AA1893"/>
      <c r="AH1893" t="str">
        <f t="shared" si="280"/>
        <v>k yet</v>
      </c>
    </row>
    <row r="1894" spans="1:39">
      <c r="A1894" s="42" t="s">
        <v>262</v>
      </c>
      <c r="B1894" s="1" t="s">
        <v>20</v>
      </c>
      <c r="C1894" s="40" t="str">
        <f t="shared" si="277"/>
        <v>17-&gt;</v>
      </c>
      <c r="D1894" s="40" t="str">
        <f t="shared" si="278"/>
        <v xml:space="preserve">No pick yet                                                 </v>
      </c>
      <c r="E1894" s="52">
        <f t="shared" si="279"/>
        <v>0</v>
      </c>
      <c r="K1894" s="22"/>
      <c r="N1894" s="22"/>
      <c r="O1894" s="22"/>
      <c r="P1894" s="22"/>
      <c r="Q1894" s="22"/>
      <c r="R1894" s="22"/>
      <c r="S1894" s="22"/>
      <c r="Z1894" s="53"/>
      <c r="AA1894"/>
      <c r="AH1894" t="str">
        <f t="shared" si="280"/>
        <v>k yet</v>
      </c>
    </row>
    <row r="1895" spans="1:39">
      <c r="A1895" s="42" t="s">
        <v>263</v>
      </c>
      <c r="B1895" s="1" t="s">
        <v>20</v>
      </c>
      <c r="C1895" s="40" t="str">
        <f t="shared" si="277"/>
        <v>18-&gt;</v>
      </c>
      <c r="D1895" s="40" t="str">
        <f t="shared" si="278"/>
        <v xml:space="preserve">No pick yet                                                 </v>
      </c>
      <c r="E1895" s="52">
        <f t="shared" si="279"/>
        <v>0</v>
      </c>
      <c r="F1895" s="18"/>
      <c r="L1895" s="21"/>
      <c r="N1895" s="22"/>
      <c r="O1895" s="22"/>
      <c r="P1895" s="18"/>
      <c r="Q1895" s="22"/>
      <c r="R1895" s="22"/>
      <c r="S1895" s="22"/>
      <c r="Z1895" s="53"/>
      <c r="AA1895"/>
      <c r="AH1895" t="str">
        <f t="shared" si="280"/>
        <v>k yet</v>
      </c>
    </row>
    <row r="1896" spans="1:39">
      <c r="A1896" s="42" t="s">
        <v>264</v>
      </c>
      <c r="B1896" s="1" t="s">
        <v>20</v>
      </c>
      <c r="C1896" s="40" t="str">
        <f t="shared" si="277"/>
        <v>19-&gt;</v>
      </c>
      <c r="D1896" s="40" t="str">
        <f t="shared" si="278"/>
        <v xml:space="preserve">No pick yet                                                 </v>
      </c>
      <c r="E1896" s="52">
        <f t="shared" si="279"/>
        <v>0</v>
      </c>
      <c r="F1896" s="18"/>
      <c r="M1896" s="18"/>
      <c r="N1896" s="18"/>
      <c r="O1896" s="18"/>
      <c r="P1896" s="18"/>
      <c r="Q1896" s="22"/>
      <c r="R1896" s="21"/>
      <c r="S1896" s="21"/>
      <c r="T1896" s="21"/>
      <c r="AA1896"/>
      <c r="AH1896" t="str">
        <f t="shared" si="280"/>
        <v>k yet</v>
      </c>
    </row>
    <row r="1897" spans="1:39">
      <c r="A1897" s="42" t="s">
        <v>265</v>
      </c>
      <c r="B1897" s="1" t="s">
        <v>20</v>
      </c>
      <c r="C1897" s="40" t="str">
        <f t="shared" si="277"/>
        <v>20-&gt;</v>
      </c>
      <c r="D1897" s="40" t="str">
        <f t="shared" si="278"/>
        <v xml:space="preserve">No pick yet                                                 </v>
      </c>
      <c r="E1897" s="52">
        <f t="shared" si="279"/>
        <v>0</v>
      </c>
      <c r="F1897" s="18"/>
      <c r="M1897" s="18"/>
      <c r="N1897" s="18"/>
      <c r="O1897" s="18"/>
      <c r="P1897" s="18"/>
      <c r="Q1897" s="22"/>
      <c r="R1897" s="21"/>
      <c r="S1897" s="21"/>
      <c r="T1897" s="21"/>
      <c r="AA1897"/>
      <c r="AH1897" t="str">
        <f t="shared" si="280"/>
        <v>k yet</v>
      </c>
    </row>
    <row r="1898" spans="1:39">
      <c r="A1898" s="42" t="s">
        <v>266</v>
      </c>
      <c r="B1898" s="1" t="s">
        <v>20</v>
      </c>
      <c r="C1898" s="40" t="str">
        <f t="shared" si="277"/>
        <v>21-&gt;</v>
      </c>
      <c r="D1898" s="40" t="str">
        <f t="shared" si="278"/>
        <v xml:space="preserve">No pick yet                                                 </v>
      </c>
      <c r="E1898" s="52">
        <f t="shared" si="279"/>
        <v>0</v>
      </c>
      <c r="F1898" s="18"/>
      <c r="M1898" s="18"/>
      <c r="N1898" s="18"/>
      <c r="O1898" s="18"/>
      <c r="P1898" s="18"/>
      <c r="Q1898" s="22"/>
      <c r="R1898" s="21"/>
      <c r="S1898" s="21"/>
      <c r="T1898" s="21"/>
      <c r="AA1898"/>
      <c r="AH1898" t="str">
        <f t="shared" si="280"/>
        <v>k yet</v>
      </c>
    </row>
    <row r="1899" spans="1:39">
      <c r="A1899" s="42" t="s">
        <v>267</v>
      </c>
      <c r="B1899" s="1" t="s">
        <v>20</v>
      </c>
      <c r="C1899" s="40" t="str">
        <f t="shared" si="277"/>
        <v>22-&gt;</v>
      </c>
      <c r="D1899" s="40" t="str">
        <f t="shared" si="278"/>
        <v xml:space="preserve">No pick yet                                                 </v>
      </c>
      <c r="E1899" s="52">
        <f t="shared" si="279"/>
        <v>0</v>
      </c>
      <c r="F1899" s="18"/>
      <c r="M1899" s="18"/>
      <c r="N1899" s="18"/>
      <c r="O1899" s="18"/>
      <c r="P1899" s="18"/>
      <c r="Q1899" s="22"/>
      <c r="R1899" s="21"/>
      <c r="S1899" s="21"/>
      <c r="T1899" s="21"/>
      <c r="AA1899"/>
      <c r="AH1899" t="str">
        <f t="shared" si="280"/>
        <v>k yet</v>
      </c>
    </row>
    <row r="1900" spans="1:39">
      <c r="A1900" s="42" t="s">
        <v>268</v>
      </c>
      <c r="B1900" s="1" t="s">
        <v>20</v>
      </c>
      <c r="C1900" s="40" t="str">
        <f t="shared" si="277"/>
        <v>23-&gt;</v>
      </c>
      <c r="D1900" s="40" t="str">
        <f t="shared" si="278"/>
        <v xml:space="preserve">No pick yet                                                 </v>
      </c>
      <c r="E1900" s="52">
        <f t="shared" si="279"/>
        <v>0</v>
      </c>
      <c r="F1900" s="18"/>
      <c r="M1900" s="18"/>
      <c r="N1900" s="18"/>
      <c r="O1900" s="18"/>
      <c r="P1900" s="18"/>
      <c r="Q1900" s="22"/>
      <c r="R1900" s="21"/>
      <c r="S1900" s="21"/>
      <c r="T1900" s="21"/>
      <c r="AA1900"/>
      <c r="AH1900" t="str">
        <f t="shared" si="280"/>
        <v>k yet</v>
      </c>
    </row>
    <row r="1901" spans="1:39">
      <c r="A1901" s="42" t="s">
        <v>269</v>
      </c>
      <c r="B1901" s="1" t="s">
        <v>20</v>
      </c>
      <c r="C1901" s="40" t="str">
        <f t="shared" si="277"/>
        <v>24-&gt;</v>
      </c>
      <c r="D1901" s="40" t="str">
        <f t="shared" si="278"/>
        <v xml:space="preserve">No pick yet                                                 </v>
      </c>
      <c r="E1901" s="52">
        <f t="shared" si="279"/>
        <v>0</v>
      </c>
      <c r="F1901" s="18"/>
      <c r="M1901" s="18"/>
      <c r="N1901" s="18"/>
      <c r="O1901" s="18"/>
      <c r="P1901" s="18"/>
      <c r="Q1901" s="22"/>
      <c r="R1901" s="21"/>
      <c r="S1901" s="21"/>
      <c r="T1901" s="21"/>
      <c r="AA1901"/>
      <c r="AH1901" t="str">
        <f t="shared" si="280"/>
        <v>k yet</v>
      </c>
    </row>
    <row r="1902" spans="1:39">
      <c r="A1902" s="42" t="s">
        <v>270</v>
      </c>
      <c r="B1902" s="1" t="s">
        <v>20</v>
      </c>
      <c r="C1902" s="40" t="str">
        <f t="shared" si="277"/>
        <v>25-&gt;</v>
      </c>
      <c r="D1902" s="40" t="str">
        <f t="shared" si="278"/>
        <v xml:space="preserve">No pick yet                                                 </v>
      </c>
      <c r="E1902" s="52">
        <f t="shared" si="279"/>
        <v>0</v>
      </c>
      <c r="F1902" s="18"/>
      <c r="M1902" s="18"/>
      <c r="N1902" s="18"/>
      <c r="O1902" s="18"/>
      <c r="P1902" s="18"/>
      <c r="Q1902" s="22"/>
      <c r="R1902" s="21"/>
      <c r="S1902" s="21"/>
      <c r="T1902" s="21"/>
      <c r="AA1902"/>
      <c r="AH1902" t="str">
        <f t="shared" si="280"/>
        <v>k yet</v>
      </c>
    </row>
    <row r="1903" spans="1:39">
      <c r="A1903" s="42" t="s">
        <v>271</v>
      </c>
      <c r="B1903" s="1" t="s">
        <v>20</v>
      </c>
      <c r="C1903" s="40" t="str">
        <f t="shared" si="277"/>
        <v>26-&gt;</v>
      </c>
      <c r="D1903" s="40" t="str">
        <f t="shared" si="278"/>
        <v xml:space="preserve">No pick yet                                                 </v>
      </c>
      <c r="E1903" s="52">
        <f t="shared" si="279"/>
        <v>0</v>
      </c>
      <c r="F1903" s="18"/>
      <c r="M1903" s="18"/>
      <c r="N1903" s="18"/>
      <c r="O1903" s="18"/>
      <c r="P1903" s="18"/>
      <c r="Q1903" s="22"/>
      <c r="R1903" s="21"/>
      <c r="S1903" s="21"/>
      <c r="T1903" s="21"/>
      <c r="AA1903"/>
      <c r="AH1903" t="str">
        <f t="shared" si="280"/>
        <v>k yet</v>
      </c>
    </row>
    <row r="1904" spans="1:39">
      <c r="A1904" s="38"/>
      <c r="B1904" s="40"/>
      <c r="C1904" s="40"/>
      <c r="D1904" s="49"/>
      <c r="E1904" s="41" t="s">
        <v>69</v>
      </c>
      <c r="F1904" s="18"/>
      <c r="K1904" s="22" t="s">
        <v>73</v>
      </c>
      <c r="L1904" s="18" t="s">
        <v>74</v>
      </c>
      <c r="M1904" s="22" t="s">
        <v>78</v>
      </c>
      <c r="N1904" s="22" t="s">
        <v>79</v>
      </c>
      <c r="O1904" s="22" t="s">
        <v>80</v>
      </c>
      <c r="P1904" s="22" t="s">
        <v>81</v>
      </c>
      <c r="Q1904" s="22" t="s">
        <v>82</v>
      </c>
      <c r="R1904" s="22" t="s">
        <v>83</v>
      </c>
      <c r="S1904" s="22" t="s">
        <v>84</v>
      </c>
      <c r="T1904" s="18" t="s">
        <v>85</v>
      </c>
      <c r="U1904" s="18" t="s">
        <v>86</v>
      </c>
      <c r="V1904" s="18" t="s">
        <v>87</v>
      </c>
      <c r="W1904" s="18" t="s">
        <v>88</v>
      </c>
      <c r="X1904" s="18" t="s">
        <v>89</v>
      </c>
      <c r="Y1904" s="18" t="s">
        <v>90</v>
      </c>
      <c r="Z1904" s="18" t="s">
        <v>91</v>
      </c>
      <c r="AA1904" s="18" t="s">
        <v>92</v>
      </c>
      <c r="AB1904" s="18" t="s">
        <v>93</v>
      </c>
      <c r="AC1904" s="18" t="s">
        <v>94</v>
      </c>
      <c r="AD1904" s="18" t="s">
        <v>235</v>
      </c>
      <c r="AE1904" s="18" t="s">
        <v>236</v>
      </c>
      <c r="AF1904" s="18" t="s">
        <v>237</v>
      </c>
      <c r="AG1904" s="18" t="s">
        <v>238</v>
      </c>
      <c r="AH1904" s="18" t="s">
        <v>239</v>
      </c>
      <c r="AI1904" s="18" t="s">
        <v>240</v>
      </c>
      <c r="AJ1904" s="18" t="s">
        <v>241</v>
      </c>
      <c r="AK1904" s="18" t="s">
        <v>242</v>
      </c>
      <c r="AL1904" s="18" t="s">
        <v>243</v>
      </c>
      <c r="AM1904" s="50" t="s">
        <v>244</v>
      </c>
    </row>
    <row r="1905" spans="1:39">
      <c r="A1905" s="40" t="s">
        <v>245</v>
      </c>
      <c r="B1905" s="51" t="str">
        <f>D67</f>
        <v/>
      </c>
      <c r="C1905" s="40" t="str">
        <f t="shared" ref="C1905:C1931" si="281">A1905</f>
        <v>#</v>
      </c>
      <c r="D1905" s="40" t="str">
        <f>"   "&amp;B1905&amp;REPT(" ",$AH$70-LEN(B1905)-3)</f>
        <v xml:space="preserve">                                                            </v>
      </c>
      <c r="E1905" s="38" t="str">
        <f>SUM(E1906:E1931)&amp;" pts[/b]"</f>
        <v>0 pts[/b]</v>
      </c>
      <c r="F1905" s="21">
        <f>SUM(E1906:E1931)</f>
        <v>0</v>
      </c>
      <c r="K1905" s="18">
        <f>COUNTIF(E1906:E1931,"&gt;0")</f>
        <v>0</v>
      </c>
      <c r="L1905" s="21">
        <f>AM1905-K1905</f>
        <v>0</v>
      </c>
      <c r="M1905" s="22">
        <f>MAX(E1906:E1931)</f>
        <v>0</v>
      </c>
      <c r="N1905" s="22">
        <f>LARGE(E1906:E1931,2)</f>
        <v>0</v>
      </c>
      <c r="O1905" s="22">
        <f>LARGE(E1906:E1931,3)</f>
        <v>0</v>
      </c>
      <c r="P1905" s="18">
        <f>LARGE(E1906:E1931,4)</f>
        <v>0</v>
      </c>
      <c r="Q1905" s="22">
        <f>LARGE(E1906:E1931,5)</f>
        <v>0</v>
      </c>
      <c r="R1905" s="22">
        <f>LARGE(E1906:E1931,6)</f>
        <v>0</v>
      </c>
      <c r="S1905" s="22">
        <f>LARGE(E1906:E1931,7)</f>
        <v>0</v>
      </c>
      <c r="T1905" s="18">
        <f>LARGE(E1906:E1931,8)</f>
        <v>0</v>
      </c>
      <c r="U1905" s="18">
        <f>LARGE(E1906:E1931,9)</f>
        <v>0</v>
      </c>
      <c r="V1905" s="18">
        <f>LARGE(E1906:E1931,10)</f>
        <v>0</v>
      </c>
      <c r="W1905" s="18">
        <f>LARGE(E1906:E1931,11)</f>
        <v>0</v>
      </c>
      <c r="X1905" s="18">
        <f>LARGE(E1906:E1931,12)</f>
        <v>0</v>
      </c>
      <c r="Y1905" s="18">
        <f>LARGE(E1906:E1931,13)</f>
        <v>0</v>
      </c>
      <c r="Z1905" s="18">
        <f>LARGE(E1906:E1931,14)</f>
        <v>0</v>
      </c>
      <c r="AA1905" s="18">
        <f>LARGE(E1906:E1931,15)</f>
        <v>0</v>
      </c>
      <c r="AB1905" s="18">
        <f>LARGE(E1906:E1931,16)</f>
        <v>0</v>
      </c>
      <c r="AC1905" s="18">
        <f>LARGE(E1906:E1931,17)</f>
        <v>0</v>
      </c>
      <c r="AD1905" s="18">
        <f>LARGE(E1906:E1932,13)</f>
        <v>0</v>
      </c>
      <c r="AE1905" s="18">
        <f>LARGE(E1906:E1931,19)</f>
        <v>0</v>
      </c>
      <c r="AF1905" s="18">
        <f>LARGE(E1906:E1931,20)</f>
        <v>0</v>
      </c>
      <c r="AG1905" s="18">
        <f>LARGE(E1906:E1931,21)</f>
        <v>0</v>
      </c>
      <c r="AH1905" s="18">
        <f>LARGE(E1906:E1931,22)</f>
        <v>0</v>
      </c>
      <c r="AI1905" s="18">
        <f>LARGE(E1906:E1931,23)</f>
        <v>0</v>
      </c>
      <c r="AJ1905" s="18">
        <f>LARGE(E1906:E1931,24)</f>
        <v>0</v>
      </c>
      <c r="AK1905" s="18">
        <f>LARGE(E1906:E1931,25)</f>
        <v>0</v>
      </c>
      <c r="AL1905" s="18">
        <f>LARGE(E1906:E1931,26)</f>
        <v>0</v>
      </c>
      <c r="AM1905" s="50">
        <f>COUNTIF(AH1906:AH1931,"&lt;&gt;"&amp;$AH$76)-(26-COUNTIF(E1906:E1931,"&gt;=0"))</f>
        <v>0</v>
      </c>
    </row>
    <row r="1906" spans="1:39">
      <c r="A1906" s="42" t="s">
        <v>246</v>
      </c>
      <c r="B1906" s="1" t="s">
        <v>20</v>
      </c>
      <c r="C1906" s="40" t="str">
        <f t="shared" si="281"/>
        <v>01-&gt;</v>
      </c>
      <c r="D1906" s="40" t="str">
        <f t="shared" ref="D1906:D1931" si="282">B1906&amp;REPT(" ",$AH$70-LEN(B1906))</f>
        <v xml:space="preserve">No pick yet                                                 </v>
      </c>
      <c r="E1906" s="52">
        <f t="shared" ref="E1906:E1931" si="283">VLOOKUP(RIGHT(B1906,LEN(B1906)-$AH$66),$H$138:$I$420,2,0)</f>
        <v>0</v>
      </c>
      <c r="F1906" s="18"/>
      <c r="M1906" s="18"/>
      <c r="N1906" s="18"/>
      <c r="O1906" s="18"/>
      <c r="P1906" s="18"/>
      <c r="Q1906" s="22"/>
      <c r="R1906" s="21"/>
      <c r="S1906" s="21"/>
      <c r="T1906" s="21"/>
      <c r="AA1906"/>
      <c r="AH1906" t="str">
        <f t="shared" ref="AH1906:AH1931" si="284">RIGHT(B1906,LEN(B1906)-$AH$66)</f>
        <v>k yet</v>
      </c>
    </row>
    <row r="1907" spans="1:39">
      <c r="A1907" s="42" t="s">
        <v>247</v>
      </c>
      <c r="B1907" s="1" t="s">
        <v>20</v>
      </c>
      <c r="C1907" s="40" t="str">
        <f t="shared" si="281"/>
        <v>02-&gt;</v>
      </c>
      <c r="D1907" s="40" t="str">
        <f t="shared" si="282"/>
        <v xml:space="preserve">No pick yet                                                 </v>
      </c>
      <c r="E1907" s="52">
        <f t="shared" si="283"/>
        <v>0</v>
      </c>
      <c r="F1907" s="18"/>
      <c r="K1907" s="22"/>
      <c r="N1907" s="22"/>
      <c r="O1907" s="22"/>
      <c r="P1907" s="22"/>
      <c r="Q1907" s="22"/>
      <c r="R1907" s="22"/>
      <c r="S1907" s="22"/>
      <c r="Z1907" s="53"/>
      <c r="AA1907"/>
      <c r="AH1907" t="str">
        <f t="shared" si="284"/>
        <v>k yet</v>
      </c>
    </row>
    <row r="1908" spans="1:39">
      <c r="A1908" s="42" t="s">
        <v>248</v>
      </c>
      <c r="B1908" s="1" t="s">
        <v>20</v>
      </c>
      <c r="C1908" s="40" t="str">
        <f t="shared" si="281"/>
        <v>03-&gt;</v>
      </c>
      <c r="D1908" s="40" t="str">
        <f t="shared" si="282"/>
        <v xml:space="preserve">No pick yet                                                 </v>
      </c>
      <c r="E1908" s="52">
        <f t="shared" si="283"/>
        <v>0</v>
      </c>
      <c r="F1908" s="18"/>
      <c r="L1908" s="21"/>
      <c r="N1908" s="22"/>
      <c r="O1908" s="22"/>
      <c r="P1908" s="18"/>
      <c r="Q1908" s="22"/>
      <c r="R1908" s="22"/>
      <c r="S1908" s="22"/>
      <c r="Z1908" s="53"/>
      <c r="AA1908"/>
      <c r="AH1908" t="str">
        <f t="shared" si="284"/>
        <v>k yet</v>
      </c>
    </row>
    <row r="1909" spans="1:39">
      <c r="A1909" s="42" t="s">
        <v>249</v>
      </c>
      <c r="B1909" s="1" t="s">
        <v>20</v>
      </c>
      <c r="C1909" s="40" t="str">
        <f t="shared" si="281"/>
        <v>04-&gt;</v>
      </c>
      <c r="D1909" s="40" t="str">
        <f t="shared" si="282"/>
        <v xml:space="preserve">No pick yet                                                 </v>
      </c>
      <c r="E1909" s="52">
        <f t="shared" si="283"/>
        <v>0</v>
      </c>
      <c r="F1909" s="18"/>
      <c r="M1909" s="18"/>
      <c r="N1909" s="18"/>
      <c r="O1909" s="18"/>
      <c r="P1909" s="18"/>
      <c r="Q1909" s="22"/>
      <c r="R1909" s="21"/>
      <c r="S1909" s="21"/>
      <c r="T1909" s="21"/>
      <c r="AA1909"/>
      <c r="AH1909" t="str">
        <f t="shared" si="284"/>
        <v>k yet</v>
      </c>
    </row>
    <row r="1910" spans="1:39">
      <c r="A1910" s="42" t="s">
        <v>250</v>
      </c>
      <c r="B1910" s="1" t="s">
        <v>20</v>
      </c>
      <c r="C1910" s="40" t="str">
        <f t="shared" si="281"/>
        <v>05-&gt;</v>
      </c>
      <c r="D1910" s="40" t="str">
        <f t="shared" si="282"/>
        <v xml:space="preserve">No pick yet                                                 </v>
      </c>
      <c r="E1910" s="52">
        <f t="shared" si="283"/>
        <v>0</v>
      </c>
      <c r="F1910" s="18"/>
      <c r="M1910" s="18"/>
      <c r="N1910" s="18"/>
      <c r="O1910" s="18"/>
      <c r="P1910" s="18"/>
      <c r="Q1910" s="22"/>
      <c r="R1910" s="21"/>
      <c r="S1910" s="21"/>
      <c r="T1910" s="21"/>
      <c r="AA1910"/>
      <c r="AH1910" t="str">
        <f t="shared" si="284"/>
        <v>k yet</v>
      </c>
    </row>
    <row r="1911" spans="1:39">
      <c r="A1911" s="42" t="s">
        <v>251</v>
      </c>
      <c r="B1911" s="1" t="s">
        <v>20</v>
      </c>
      <c r="C1911" s="40" t="str">
        <f t="shared" si="281"/>
        <v>06-&gt;</v>
      </c>
      <c r="D1911" s="40" t="str">
        <f t="shared" si="282"/>
        <v xml:space="preserve">No pick yet                                                 </v>
      </c>
      <c r="E1911" s="52">
        <f t="shared" si="283"/>
        <v>0</v>
      </c>
      <c r="F1911" s="18"/>
      <c r="M1911" s="18"/>
      <c r="N1911" s="18"/>
      <c r="O1911" s="18"/>
      <c r="P1911" s="18"/>
      <c r="Q1911" s="22"/>
      <c r="R1911" s="21"/>
      <c r="S1911" s="21"/>
      <c r="T1911" s="21"/>
      <c r="AA1911"/>
      <c r="AH1911" t="str">
        <f t="shared" si="284"/>
        <v>k yet</v>
      </c>
    </row>
    <row r="1912" spans="1:39">
      <c r="A1912" s="42" t="s">
        <v>252</v>
      </c>
      <c r="B1912" s="1" t="s">
        <v>20</v>
      </c>
      <c r="C1912" s="40" t="str">
        <f t="shared" si="281"/>
        <v>07-&gt;</v>
      </c>
      <c r="D1912" s="40" t="str">
        <f t="shared" si="282"/>
        <v xml:space="preserve">No pick yet                                                 </v>
      </c>
      <c r="E1912" s="52">
        <f t="shared" si="283"/>
        <v>0</v>
      </c>
      <c r="F1912" s="18"/>
      <c r="M1912" s="18"/>
      <c r="N1912" s="18"/>
      <c r="O1912" s="18"/>
      <c r="P1912" s="18"/>
      <c r="Q1912" s="22"/>
      <c r="R1912" s="21"/>
      <c r="S1912" s="21"/>
      <c r="T1912" s="21"/>
      <c r="AA1912"/>
      <c r="AH1912" t="str">
        <f t="shared" si="284"/>
        <v>k yet</v>
      </c>
    </row>
    <row r="1913" spans="1:39">
      <c r="A1913" s="42" t="s">
        <v>253</v>
      </c>
      <c r="B1913" s="1" t="s">
        <v>20</v>
      </c>
      <c r="C1913" s="40" t="str">
        <f t="shared" si="281"/>
        <v>08-&gt;</v>
      </c>
      <c r="D1913" s="40" t="str">
        <f t="shared" si="282"/>
        <v xml:space="preserve">No pick yet                                                 </v>
      </c>
      <c r="E1913" s="52">
        <f t="shared" si="283"/>
        <v>0</v>
      </c>
      <c r="F1913" s="18"/>
      <c r="M1913" s="18"/>
      <c r="N1913" s="18"/>
      <c r="O1913" s="18"/>
      <c r="P1913" s="18"/>
      <c r="Q1913" s="22"/>
      <c r="R1913" s="21"/>
      <c r="S1913" s="21"/>
      <c r="T1913" s="21"/>
      <c r="AA1913"/>
      <c r="AH1913" t="str">
        <f t="shared" si="284"/>
        <v>k yet</v>
      </c>
    </row>
    <row r="1914" spans="1:39">
      <c r="A1914" s="42" t="s">
        <v>254</v>
      </c>
      <c r="B1914" s="1" t="s">
        <v>20</v>
      </c>
      <c r="C1914" s="40" t="str">
        <f t="shared" si="281"/>
        <v>09-&gt;</v>
      </c>
      <c r="D1914" s="40" t="str">
        <f t="shared" si="282"/>
        <v xml:space="preserve">No pick yet                                                 </v>
      </c>
      <c r="E1914" s="52">
        <f t="shared" si="283"/>
        <v>0</v>
      </c>
      <c r="F1914" s="18"/>
      <c r="M1914" s="18"/>
      <c r="N1914" s="18"/>
      <c r="O1914" s="18"/>
      <c r="P1914" s="18"/>
      <c r="Q1914" s="22"/>
      <c r="R1914" s="21"/>
      <c r="S1914" s="21"/>
      <c r="T1914" s="21"/>
      <c r="AA1914"/>
      <c r="AH1914" t="str">
        <f t="shared" si="284"/>
        <v>k yet</v>
      </c>
    </row>
    <row r="1915" spans="1:39">
      <c r="A1915" s="42" t="s">
        <v>255</v>
      </c>
      <c r="B1915" s="1" t="s">
        <v>20</v>
      </c>
      <c r="C1915" s="40" t="str">
        <f t="shared" si="281"/>
        <v>10-&gt;</v>
      </c>
      <c r="D1915" s="40" t="str">
        <f t="shared" si="282"/>
        <v xml:space="preserve">No pick yet                                                 </v>
      </c>
      <c r="E1915" s="52">
        <f t="shared" si="283"/>
        <v>0</v>
      </c>
      <c r="F1915" s="22"/>
      <c r="M1915" s="18"/>
      <c r="N1915" s="18"/>
      <c r="O1915" s="18"/>
      <c r="P1915" s="18"/>
      <c r="Q1915" s="22"/>
      <c r="R1915" s="21"/>
      <c r="S1915" s="21"/>
      <c r="T1915" s="21"/>
      <c r="AA1915"/>
      <c r="AH1915" t="str">
        <f t="shared" si="284"/>
        <v>k yet</v>
      </c>
    </row>
    <row r="1916" spans="1:39">
      <c r="A1916" s="42" t="s">
        <v>256</v>
      </c>
      <c r="B1916" s="1" t="s">
        <v>20</v>
      </c>
      <c r="C1916" s="40" t="str">
        <f t="shared" si="281"/>
        <v>11-&gt;</v>
      </c>
      <c r="D1916" s="40" t="str">
        <f t="shared" si="282"/>
        <v xml:space="preserve">No pick yet                                                 </v>
      </c>
      <c r="E1916" s="52">
        <f t="shared" si="283"/>
        <v>0</v>
      </c>
      <c r="M1916" s="18"/>
      <c r="N1916" s="18"/>
      <c r="O1916" s="18"/>
      <c r="P1916" s="18"/>
      <c r="Q1916" s="22"/>
      <c r="R1916" s="21"/>
      <c r="S1916" s="21"/>
      <c r="T1916" s="21"/>
      <c r="AA1916"/>
      <c r="AH1916" t="str">
        <f t="shared" si="284"/>
        <v>k yet</v>
      </c>
    </row>
    <row r="1917" spans="1:39">
      <c r="A1917" s="42" t="s">
        <v>257</v>
      </c>
      <c r="B1917" s="1" t="s">
        <v>20</v>
      </c>
      <c r="C1917" s="40" t="str">
        <f t="shared" si="281"/>
        <v>12-&gt;</v>
      </c>
      <c r="D1917" s="40" t="str">
        <f t="shared" si="282"/>
        <v xml:space="preserve">No pick yet                                                 </v>
      </c>
      <c r="E1917" s="52">
        <f t="shared" si="283"/>
        <v>0</v>
      </c>
      <c r="M1917" s="18"/>
      <c r="N1917" s="18"/>
      <c r="O1917" s="18"/>
      <c r="P1917" s="18"/>
      <c r="Q1917" s="22"/>
      <c r="R1917" s="21"/>
      <c r="S1917" s="21"/>
      <c r="T1917" s="21"/>
      <c r="AA1917"/>
      <c r="AH1917" t="str">
        <f t="shared" si="284"/>
        <v>k yet</v>
      </c>
    </row>
    <row r="1918" spans="1:39">
      <c r="A1918" s="42" t="s">
        <v>258</v>
      </c>
      <c r="B1918" s="1" t="s">
        <v>20</v>
      </c>
      <c r="C1918" s="40" t="str">
        <f t="shared" si="281"/>
        <v>13-&gt;</v>
      </c>
      <c r="D1918" s="40" t="str">
        <f t="shared" si="282"/>
        <v xml:space="preserve">No pick yet                                                 </v>
      </c>
      <c r="E1918" s="52">
        <f t="shared" si="283"/>
        <v>0</v>
      </c>
      <c r="M1918" s="18"/>
      <c r="N1918" s="18"/>
      <c r="O1918" s="18"/>
      <c r="P1918" s="18"/>
      <c r="Q1918" s="22"/>
      <c r="R1918" s="21"/>
      <c r="S1918" s="21"/>
      <c r="T1918" s="21"/>
      <c r="AA1918"/>
      <c r="AH1918" t="str">
        <f t="shared" si="284"/>
        <v>k yet</v>
      </c>
    </row>
    <row r="1919" spans="1:39">
      <c r="A1919" s="42" t="s">
        <v>259</v>
      </c>
      <c r="B1919" s="1" t="s">
        <v>20</v>
      </c>
      <c r="C1919" s="40" t="str">
        <f t="shared" si="281"/>
        <v>14-&gt;</v>
      </c>
      <c r="D1919" s="40" t="str">
        <f t="shared" si="282"/>
        <v xml:space="preserve">No pick yet                                                 </v>
      </c>
      <c r="E1919" s="52">
        <f t="shared" si="283"/>
        <v>0</v>
      </c>
      <c r="M1919" s="18"/>
      <c r="N1919" s="18"/>
      <c r="O1919" s="18"/>
      <c r="P1919" s="18"/>
      <c r="Q1919" s="22"/>
      <c r="R1919" s="21"/>
      <c r="S1919" s="21"/>
      <c r="T1919" s="21"/>
      <c r="AA1919"/>
      <c r="AH1919" t="str">
        <f t="shared" si="284"/>
        <v>k yet</v>
      </c>
    </row>
    <row r="1920" spans="1:39">
      <c r="A1920" s="42" t="s">
        <v>260</v>
      </c>
      <c r="B1920" s="1" t="s">
        <v>20</v>
      </c>
      <c r="C1920" s="40" t="str">
        <f t="shared" si="281"/>
        <v>15-&gt;</v>
      </c>
      <c r="D1920" s="40" t="str">
        <f t="shared" si="282"/>
        <v xml:space="preserve">No pick yet                                                 </v>
      </c>
      <c r="E1920" s="52">
        <f t="shared" si="283"/>
        <v>0</v>
      </c>
      <c r="M1920" s="18"/>
      <c r="N1920" s="18"/>
      <c r="O1920" s="18"/>
      <c r="P1920" s="18"/>
      <c r="Q1920" s="22"/>
      <c r="R1920" s="21"/>
      <c r="S1920" s="21"/>
      <c r="T1920" s="21"/>
      <c r="AA1920"/>
      <c r="AH1920" t="str">
        <f t="shared" si="284"/>
        <v>k yet</v>
      </c>
    </row>
    <row r="1921" spans="1:39">
      <c r="A1921" s="42" t="s">
        <v>261</v>
      </c>
      <c r="B1921" s="1" t="s">
        <v>20</v>
      </c>
      <c r="C1921" s="40" t="str">
        <f t="shared" si="281"/>
        <v>16-&gt;</v>
      </c>
      <c r="D1921" s="40" t="str">
        <f t="shared" si="282"/>
        <v xml:space="preserve">No pick yet                                                 </v>
      </c>
      <c r="E1921" s="52">
        <f t="shared" si="283"/>
        <v>0</v>
      </c>
      <c r="M1921" s="18"/>
      <c r="N1921" s="18"/>
      <c r="O1921" s="18"/>
      <c r="P1921" s="18"/>
      <c r="Q1921" s="22"/>
      <c r="R1921" s="21"/>
      <c r="S1921" s="21"/>
      <c r="T1921" s="21"/>
      <c r="AA1921"/>
      <c r="AH1921" t="str">
        <f t="shared" si="284"/>
        <v>k yet</v>
      </c>
    </row>
    <row r="1922" spans="1:39">
      <c r="A1922" s="42" t="s">
        <v>262</v>
      </c>
      <c r="B1922" s="1" t="s">
        <v>20</v>
      </c>
      <c r="C1922" s="40" t="str">
        <f t="shared" si="281"/>
        <v>17-&gt;</v>
      </c>
      <c r="D1922" s="40" t="str">
        <f t="shared" si="282"/>
        <v xml:space="preserve">No pick yet                                                 </v>
      </c>
      <c r="E1922" s="52">
        <f t="shared" si="283"/>
        <v>0</v>
      </c>
      <c r="K1922" s="22"/>
      <c r="N1922" s="22"/>
      <c r="O1922" s="22"/>
      <c r="P1922" s="22"/>
      <c r="Q1922" s="22"/>
      <c r="R1922" s="22"/>
      <c r="S1922" s="22"/>
      <c r="Z1922" s="53"/>
      <c r="AA1922"/>
      <c r="AH1922" t="str">
        <f t="shared" si="284"/>
        <v>k yet</v>
      </c>
    </row>
    <row r="1923" spans="1:39">
      <c r="A1923" s="42" t="s">
        <v>263</v>
      </c>
      <c r="B1923" s="1" t="s">
        <v>20</v>
      </c>
      <c r="C1923" s="40" t="str">
        <f t="shared" si="281"/>
        <v>18-&gt;</v>
      </c>
      <c r="D1923" s="40" t="str">
        <f t="shared" si="282"/>
        <v xml:space="preserve">No pick yet                                                 </v>
      </c>
      <c r="E1923" s="52">
        <f t="shared" si="283"/>
        <v>0</v>
      </c>
      <c r="F1923" s="18"/>
      <c r="L1923" s="21"/>
      <c r="N1923" s="22"/>
      <c r="O1923" s="22"/>
      <c r="P1923" s="18"/>
      <c r="Q1923" s="22"/>
      <c r="R1923" s="22"/>
      <c r="S1923" s="22"/>
      <c r="Z1923" s="53"/>
      <c r="AA1923"/>
      <c r="AH1923" t="str">
        <f t="shared" si="284"/>
        <v>k yet</v>
      </c>
    </row>
    <row r="1924" spans="1:39">
      <c r="A1924" s="42" t="s">
        <v>264</v>
      </c>
      <c r="B1924" s="1" t="s">
        <v>20</v>
      </c>
      <c r="C1924" s="40" t="str">
        <f t="shared" si="281"/>
        <v>19-&gt;</v>
      </c>
      <c r="D1924" s="40" t="str">
        <f t="shared" si="282"/>
        <v xml:space="preserve">No pick yet                                                 </v>
      </c>
      <c r="E1924" s="52">
        <f t="shared" si="283"/>
        <v>0</v>
      </c>
      <c r="F1924" s="18"/>
      <c r="M1924" s="18"/>
      <c r="N1924" s="18"/>
      <c r="O1924" s="18"/>
      <c r="P1924" s="18"/>
      <c r="Q1924" s="22"/>
      <c r="R1924" s="21"/>
      <c r="S1924" s="21"/>
      <c r="T1924" s="21"/>
      <c r="AA1924"/>
      <c r="AH1924" t="str">
        <f t="shared" si="284"/>
        <v>k yet</v>
      </c>
    </row>
    <row r="1925" spans="1:39">
      <c r="A1925" s="42" t="s">
        <v>265</v>
      </c>
      <c r="B1925" s="1" t="s">
        <v>20</v>
      </c>
      <c r="C1925" s="40" t="str">
        <f t="shared" si="281"/>
        <v>20-&gt;</v>
      </c>
      <c r="D1925" s="40" t="str">
        <f t="shared" si="282"/>
        <v xml:space="preserve">No pick yet                                                 </v>
      </c>
      <c r="E1925" s="52">
        <f t="shared" si="283"/>
        <v>0</v>
      </c>
      <c r="F1925" s="18"/>
      <c r="M1925" s="18"/>
      <c r="N1925" s="18"/>
      <c r="O1925" s="18"/>
      <c r="P1925" s="18"/>
      <c r="Q1925" s="22"/>
      <c r="R1925" s="21"/>
      <c r="S1925" s="21"/>
      <c r="T1925" s="21"/>
      <c r="AA1925"/>
      <c r="AH1925" t="str">
        <f t="shared" si="284"/>
        <v>k yet</v>
      </c>
    </row>
    <row r="1926" spans="1:39">
      <c r="A1926" s="42" t="s">
        <v>266</v>
      </c>
      <c r="B1926" s="1" t="s">
        <v>20</v>
      </c>
      <c r="C1926" s="40" t="str">
        <f t="shared" si="281"/>
        <v>21-&gt;</v>
      </c>
      <c r="D1926" s="40" t="str">
        <f t="shared" si="282"/>
        <v xml:space="preserve">No pick yet                                                 </v>
      </c>
      <c r="E1926" s="52">
        <f t="shared" si="283"/>
        <v>0</v>
      </c>
      <c r="F1926" s="18"/>
      <c r="M1926" s="18"/>
      <c r="N1926" s="18"/>
      <c r="O1926" s="18"/>
      <c r="P1926" s="18"/>
      <c r="Q1926" s="22"/>
      <c r="R1926" s="21"/>
      <c r="S1926" s="21"/>
      <c r="T1926" s="21"/>
      <c r="AA1926"/>
      <c r="AH1926" t="str">
        <f t="shared" si="284"/>
        <v>k yet</v>
      </c>
    </row>
    <row r="1927" spans="1:39">
      <c r="A1927" s="42" t="s">
        <v>267</v>
      </c>
      <c r="B1927" s="1" t="s">
        <v>20</v>
      </c>
      <c r="C1927" s="40" t="str">
        <f t="shared" si="281"/>
        <v>22-&gt;</v>
      </c>
      <c r="D1927" s="40" t="str">
        <f t="shared" si="282"/>
        <v xml:space="preserve">No pick yet                                                 </v>
      </c>
      <c r="E1927" s="52">
        <f t="shared" si="283"/>
        <v>0</v>
      </c>
      <c r="F1927" s="18"/>
      <c r="M1927" s="18"/>
      <c r="N1927" s="18"/>
      <c r="O1927" s="18"/>
      <c r="P1927" s="18"/>
      <c r="Q1927" s="22"/>
      <c r="R1927" s="21"/>
      <c r="S1927" s="21"/>
      <c r="T1927" s="21"/>
      <c r="AA1927"/>
      <c r="AH1927" t="str">
        <f t="shared" si="284"/>
        <v>k yet</v>
      </c>
    </row>
    <row r="1928" spans="1:39">
      <c r="A1928" s="42" t="s">
        <v>268</v>
      </c>
      <c r="B1928" s="1" t="s">
        <v>20</v>
      </c>
      <c r="C1928" s="40" t="str">
        <f t="shared" si="281"/>
        <v>23-&gt;</v>
      </c>
      <c r="D1928" s="40" t="str">
        <f t="shared" si="282"/>
        <v xml:space="preserve">No pick yet                                                 </v>
      </c>
      <c r="E1928" s="52">
        <f t="shared" si="283"/>
        <v>0</v>
      </c>
      <c r="F1928" s="18"/>
      <c r="M1928" s="18"/>
      <c r="N1928" s="18"/>
      <c r="O1928" s="18"/>
      <c r="P1928" s="18"/>
      <c r="Q1928" s="22"/>
      <c r="R1928" s="21"/>
      <c r="S1928" s="21"/>
      <c r="T1928" s="21"/>
      <c r="AA1928"/>
      <c r="AH1928" t="str">
        <f t="shared" si="284"/>
        <v>k yet</v>
      </c>
    </row>
    <row r="1929" spans="1:39">
      <c r="A1929" s="42" t="s">
        <v>269</v>
      </c>
      <c r="B1929" s="1" t="s">
        <v>20</v>
      </c>
      <c r="C1929" s="40" t="str">
        <f t="shared" si="281"/>
        <v>24-&gt;</v>
      </c>
      <c r="D1929" s="40" t="str">
        <f t="shared" si="282"/>
        <v xml:space="preserve">No pick yet                                                 </v>
      </c>
      <c r="E1929" s="52">
        <f t="shared" si="283"/>
        <v>0</v>
      </c>
      <c r="F1929" s="18"/>
      <c r="M1929" s="18"/>
      <c r="N1929" s="18"/>
      <c r="O1929" s="18"/>
      <c r="P1929" s="18"/>
      <c r="Q1929" s="22"/>
      <c r="R1929" s="21"/>
      <c r="S1929" s="21"/>
      <c r="T1929" s="21"/>
      <c r="AA1929"/>
      <c r="AH1929" t="str">
        <f t="shared" si="284"/>
        <v>k yet</v>
      </c>
    </row>
    <row r="1930" spans="1:39">
      <c r="A1930" s="42" t="s">
        <v>270</v>
      </c>
      <c r="B1930" s="1" t="s">
        <v>20</v>
      </c>
      <c r="C1930" s="40" t="str">
        <f t="shared" si="281"/>
        <v>25-&gt;</v>
      </c>
      <c r="D1930" s="40" t="str">
        <f t="shared" si="282"/>
        <v xml:space="preserve">No pick yet                                                 </v>
      </c>
      <c r="E1930" s="52">
        <f t="shared" si="283"/>
        <v>0</v>
      </c>
      <c r="F1930" s="18"/>
      <c r="M1930" s="18"/>
      <c r="N1930" s="18"/>
      <c r="O1930" s="18"/>
      <c r="P1930" s="18"/>
      <c r="Q1930" s="22"/>
      <c r="R1930" s="21"/>
      <c r="S1930" s="21"/>
      <c r="T1930" s="21"/>
      <c r="AA1930"/>
      <c r="AH1930" t="str">
        <f t="shared" si="284"/>
        <v>k yet</v>
      </c>
    </row>
    <row r="1931" spans="1:39">
      <c r="A1931" s="42" t="s">
        <v>271</v>
      </c>
      <c r="B1931" s="1" t="s">
        <v>20</v>
      </c>
      <c r="C1931" s="40" t="str">
        <f t="shared" si="281"/>
        <v>26-&gt;</v>
      </c>
      <c r="D1931" s="40" t="str">
        <f t="shared" si="282"/>
        <v xml:space="preserve">No pick yet                                                 </v>
      </c>
      <c r="E1931" s="52">
        <f t="shared" si="283"/>
        <v>0</v>
      </c>
      <c r="F1931" s="18"/>
      <c r="M1931" s="18"/>
      <c r="N1931" s="18"/>
      <c r="O1931" s="18"/>
      <c r="P1931" s="18"/>
      <c r="Q1931" s="22"/>
      <c r="R1931" s="21"/>
      <c r="S1931" s="21"/>
      <c r="T1931" s="21"/>
      <c r="AA1931"/>
      <c r="AH1931" t="str">
        <f t="shared" si="284"/>
        <v>k yet</v>
      </c>
    </row>
    <row r="1932" spans="1:39">
      <c r="A1932" s="38"/>
      <c r="B1932" s="40"/>
      <c r="C1932" s="40"/>
      <c r="D1932" s="49"/>
      <c r="E1932" s="41" t="s">
        <v>69</v>
      </c>
      <c r="F1932" s="18"/>
      <c r="K1932" s="22" t="s">
        <v>73</v>
      </c>
      <c r="L1932" s="18" t="s">
        <v>74</v>
      </c>
      <c r="M1932" s="22" t="s">
        <v>78</v>
      </c>
      <c r="N1932" s="22" t="s">
        <v>79</v>
      </c>
      <c r="O1932" s="22" t="s">
        <v>80</v>
      </c>
      <c r="P1932" s="22" t="s">
        <v>81</v>
      </c>
      <c r="Q1932" s="22" t="s">
        <v>82</v>
      </c>
      <c r="R1932" s="22" t="s">
        <v>83</v>
      </c>
      <c r="S1932" s="22" t="s">
        <v>84</v>
      </c>
      <c r="T1932" s="18" t="s">
        <v>85</v>
      </c>
      <c r="U1932" s="18" t="s">
        <v>86</v>
      </c>
      <c r="V1932" s="18" t="s">
        <v>87</v>
      </c>
      <c r="W1932" s="18" t="s">
        <v>88</v>
      </c>
      <c r="X1932" s="18" t="s">
        <v>89</v>
      </c>
      <c r="Y1932" s="18" t="s">
        <v>90</v>
      </c>
      <c r="Z1932" s="18" t="s">
        <v>91</v>
      </c>
      <c r="AA1932" s="18" t="s">
        <v>92</v>
      </c>
      <c r="AB1932" s="18" t="s">
        <v>93</v>
      </c>
      <c r="AC1932" s="18" t="s">
        <v>94</v>
      </c>
      <c r="AD1932" s="18" t="s">
        <v>235</v>
      </c>
      <c r="AE1932" s="18" t="s">
        <v>236</v>
      </c>
      <c r="AF1932" s="18" t="s">
        <v>237</v>
      </c>
      <c r="AG1932" s="18" t="s">
        <v>238</v>
      </c>
      <c r="AH1932" s="18" t="s">
        <v>239</v>
      </c>
      <c r="AI1932" s="18" t="s">
        <v>240</v>
      </c>
      <c r="AJ1932" s="18" t="s">
        <v>241</v>
      </c>
      <c r="AK1932" s="18" t="s">
        <v>242</v>
      </c>
      <c r="AL1932" s="18" t="s">
        <v>243</v>
      </c>
      <c r="AM1932" s="50" t="s">
        <v>244</v>
      </c>
    </row>
    <row r="1933" spans="1:39">
      <c r="A1933" s="40" t="s">
        <v>245</v>
      </c>
      <c r="B1933" s="51" t="str">
        <f>D68</f>
        <v/>
      </c>
      <c r="C1933" s="40" t="str">
        <f t="shared" ref="C1933:C1959" si="285">A1933</f>
        <v>#</v>
      </c>
      <c r="D1933" s="40" t="str">
        <f>"   "&amp;B1933&amp;REPT(" ",$AH$70-LEN(B1933)-3)</f>
        <v xml:space="preserve">                                                            </v>
      </c>
      <c r="E1933" s="38" t="str">
        <f>SUM(E1934:E1959)&amp;" pts[/b]"</f>
        <v>0 pts[/b]</v>
      </c>
      <c r="F1933" s="21">
        <f>SUM(E1934:E1959)</f>
        <v>0</v>
      </c>
      <c r="K1933" s="18">
        <f>COUNTIF(E1934:E1959,"&gt;0")</f>
        <v>0</v>
      </c>
      <c r="L1933" s="21">
        <f>AM1933-K1933</f>
        <v>0</v>
      </c>
      <c r="M1933" s="22">
        <f>MAX(E1934:E1959)</f>
        <v>0</v>
      </c>
      <c r="N1933" s="22">
        <f>LARGE(E1934:E1959,2)</f>
        <v>0</v>
      </c>
      <c r="O1933" s="22">
        <f>LARGE(E1934:E1959,3)</f>
        <v>0</v>
      </c>
      <c r="P1933" s="18">
        <f>LARGE(E1934:E1959,4)</f>
        <v>0</v>
      </c>
      <c r="Q1933" s="22">
        <f>LARGE(E1934:E1959,5)</f>
        <v>0</v>
      </c>
      <c r="R1933" s="22">
        <f>LARGE(E1934:E1959,6)</f>
        <v>0</v>
      </c>
      <c r="S1933" s="22">
        <f>LARGE(E1934:E1959,7)</f>
        <v>0</v>
      </c>
      <c r="T1933" s="18">
        <f>LARGE(E1934:E1959,8)</f>
        <v>0</v>
      </c>
      <c r="U1933" s="18">
        <f>LARGE(E1934:E1959,9)</f>
        <v>0</v>
      </c>
      <c r="V1933" s="18">
        <f>LARGE(E1934:E1959,10)</f>
        <v>0</v>
      </c>
      <c r="W1933" s="18">
        <f>LARGE(E1934:E1959,11)</f>
        <v>0</v>
      </c>
      <c r="X1933" s="18">
        <f>LARGE(E1934:E1959,12)</f>
        <v>0</v>
      </c>
      <c r="Y1933" s="18">
        <f>LARGE(E1934:E1959,13)</f>
        <v>0</v>
      </c>
      <c r="Z1933" s="18">
        <f>LARGE(E1934:E1959,14)</f>
        <v>0</v>
      </c>
      <c r="AA1933" s="18">
        <f>LARGE(E1934:E1959,15)</f>
        <v>0</v>
      </c>
      <c r="AB1933" s="18">
        <f>LARGE(E1934:E1959,16)</f>
        <v>0</v>
      </c>
      <c r="AC1933" s="18">
        <f>LARGE(E1934:E1959,17)</f>
        <v>0</v>
      </c>
      <c r="AD1933" s="18">
        <f>LARGE(E1934:E1960,13)</f>
        <v>0</v>
      </c>
      <c r="AE1933" s="18">
        <f>LARGE(E1934:E1959,19)</f>
        <v>0</v>
      </c>
      <c r="AF1933" s="18">
        <f>LARGE(E1934:E1959,20)</f>
        <v>0</v>
      </c>
      <c r="AG1933" s="18">
        <f>LARGE(E1934:E1959,21)</f>
        <v>0</v>
      </c>
      <c r="AH1933" s="18">
        <f>LARGE(E1934:E1959,22)</f>
        <v>0</v>
      </c>
      <c r="AI1933" s="18">
        <f>LARGE(E1934:E1959,23)</f>
        <v>0</v>
      </c>
      <c r="AJ1933" s="18">
        <f>LARGE(E1934:E1959,24)</f>
        <v>0</v>
      </c>
      <c r="AK1933" s="18">
        <f>LARGE(E1934:E1959,25)</f>
        <v>0</v>
      </c>
      <c r="AL1933" s="18">
        <f>LARGE(E1934:E1959,26)</f>
        <v>0</v>
      </c>
      <c r="AM1933" s="50">
        <f>COUNTIF(AH1934:AH1959,"&lt;&gt;"&amp;$AH$76)-(26-COUNTIF(E1934:E1959,"&gt;=0"))</f>
        <v>0</v>
      </c>
    </row>
    <row r="1934" spans="1:39">
      <c r="A1934" s="42" t="s">
        <v>246</v>
      </c>
      <c r="B1934" s="1" t="s">
        <v>20</v>
      </c>
      <c r="C1934" s="40" t="str">
        <f t="shared" si="285"/>
        <v>01-&gt;</v>
      </c>
      <c r="D1934" s="40" t="str">
        <f t="shared" ref="D1934:D1959" si="286">B1934&amp;REPT(" ",$AH$70-LEN(B1934))</f>
        <v xml:space="preserve">No pick yet                                                 </v>
      </c>
      <c r="E1934" s="52">
        <f t="shared" ref="E1934:E1959" si="287">VLOOKUP(RIGHT(B1934,LEN(B1934)-$AH$66),$H$138:$I$420,2,0)</f>
        <v>0</v>
      </c>
      <c r="F1934" s="18"/>
      <c r="M1934" s="18"/>
      <c r="N1934" s="18"/>
      <c r="O1934" s="18"/>
      <c r="P1934" s="18"/>
      <c r="Q1934" s="22"/>
      <c r="R1934" s="21"/>
      <c r="S1934" s="21"/>
      <c r="T1934" s="21"/>
      <c r="AA1934"/>
      <c r="AH1934" t="str">
        <f t="shared" ref="AH1934:AH1959" si="288">RIGHT(B1934,LEN(B1934)-$AH$66)</f>
        <v>k yet</v>
      </c>
    </row>
    <row r="1935" spans="1:39">
      <c r="A1935" s="42" t="s">
        <v>247</v>
      </c>
      <c r="B1935" s="1" t="s">
        <v>20</v>
      </c>
      <c r="C1935" s="40" t="str">
        <f t="shared" si="285"/>
        <v>02-&gt;</v>
      </c>
      <c r="D1935" s="40" t="str">
        <f t="shared" si="286"/>
        <v xml:space="preserve">No pick yet                                                 </v>
      </c>
      <c r="E1935" s="52">
        <f t="shared" si="287"/>
        <v>0</v>
      </c>
      <c r="F1935" s="18"/>
      <c r="K1935" s="22"/>
      <c r="N1935" s="22"/>
      <c r="O1935" s="22"/>
      <c r="P1935" s="22"/>
      <c r="Q1935" s="22"/>
      <c r="R1935" s="22"/>
      <c r="S1935" s="22"/>
      <c r="Z1935" s="53"/>
      <c r="AA1935"/>
      <c r="AH1935" t="str">
        <f t="shared" si="288"/>
        <v>k yet</v>
      </c>
    </row>
    <row r="1936" spans="1:39">
      <c r="A1936" s="42" t="s">
        <v>248</v>
      </c>
      <c r="B1936" s="1" t="s">
        <v>20</v>
      </c>
      <c r="C1936" s="40" t="str">
        <f t="shared" si="285"/>
        <v>03-&gt;</v>
      </c>
      <c r="D1936" s="40" t="str">
        <f t="shared" si="286"/>
        <v xml:space="preserve">No pick yet                                                 </v>
      </c>
      <c r="E1936" s="52">
        <f t="shared" si="287"/>
        <v>0</v>
      </c>
      <c r="F1936" s="18"/>
      <c r="L1936" s="21"/>
      <c r="N1936" s="22"/>
      <c r="O1936" s="22"/>
      <c r="P1936" s="18"/>
      <c r="Q1936" s="22"/>
      <c r="R1936" s="22"/>
      <c r="S1936" s="22"/>
      <c r="Z1936" s="53"/>
      <c r="AA1936"/>
      <c r="AH1936" t="str">
        <f t="shared" si="288"/>
        <v>k yet</v>
      </c>
    </row>
    <row r="1937" spans="1:34">
      <c r="A1937" s="42" t="s">
        <v>249</v>
      </c>
      <c r="B1937" s="1" t="s">
        <v>20</v>
      </c>
      <c r="C1937" s="40" t="str">
        <f t="shared" si="285"/>
        <v>04-&gt;</v>
      </c>
      <c r="D1937" s="40" t="str">
        <f t="shared" si="286"/>
        <v xml:space="preserve">No pick yet                                                 </v>
      </c>
      <c r="E1937" s="52">
        <f t="shared" si="287"/>
        <v>0</v>
      </c>
      <c r="F1937" s="18"/>
      <c r="M1937" s="18"/>
      <c r="N1937" s="18"/>
      <c r="O1937" s="18"/>
      <c r="P1937" s="18"/>
      <c r="Q1937" s="22"/>
      <c r="R1937" s="21"/>
      <c r="S1937" s="21"/>
      <c r="T1937" s="21"/>
      <c r="AA1937"/>
      <c r="AH1937" t="str">
        <f t="shared" si="288"/>
        <v>k yet</v>
      </c>
    </row>
    <row r="1938" spans="1:34">
      <c r="A1938" s="42" t="s">
        <v>250</v>
      </c>
      <c r="B1938" s="1" t="s">
        <v>20</v>
      </c>
      <c r="C1938" s="40" t="str">
        <f t="shared" si="285"/>
        <v>05-&gt;</v>
      </c>
      <c r="D1938" s="40" t="str">
        <f t="shared" si="286"/>
        <v xml:space="preserve">No pick yet                                                 </v>
      </c>
      <c r="E1938" s="52">
        <f t="shared" si="287"/>
        <v>0</v>
      </c>
      <c r="F1938" s="18"/>
      <c r="M1938" s="18"/>
      <c r="N1938" s="18"/>
      <c r="O1938" s="18"/>
      <c r="P1938" s="18"/>
      <c r="Q1938" s="22"/>
      <c r="R1938" s="21"/>
      <c r="S1938" s="21"/>
      <c r="T1938" s="21"/>
      <c r="AA1938"/>
      <c r="AH1938" t="str">
        <f t="shared" si="288"/>
        <v>k yet</v>
      </c>
    </row>
    <row r="1939" spans="1:34">
      <c r="A1939" s="42" t="s">
        <v>251</v>
      </c>
      <c r="B1939" s="1" t="s">
        <v>20</v>
      </c>
      <c r="C1939" s="40" t="str">
        <f t="shared" si="285"/>
        <v>06-&gt;</v>
      </c>
      <c r="D1939" s="40" t="str">
        <f t="shared" si="286"/>
        <v xml:space="preserve">No pick yet                                                 </v>
      </c>
      <c r="E1939" s="52">
        <f t="shared" si="287"/>
        <v>0</v>
      </c>
      <c r="F1939" s="18"/>
      <c r="M1939" s="18"/>
      <c r="N1939" s="18"/>
      <c r="O1939" s="18"/>
      <c r="P1939" s="18"/>
      <c r="Q1939" s="22"/>
      <c r="R1939" s="21"/>
      <c r="S1939" s="21"/>
      <c r="T1939" s="21"/>
      <c r="AA1939"/>
      <c r="AH1939" t="str">
        <f t="shared" si="288"/>
        <v>k yet</v>
      </c>
    </row>
    <row r="1940" spans="1:34">
      <c r="A1940" s="42" t="s">
        <v>252</v>
      </c>
      <c r="B1940" s="1" t="s">
        <v>20</v>
      </c>
      <c r="C1940" s="40" t="str">
        <f t="shared" si="285"/>
        <v>07-&gt;</v>
      </c>
      <c r="D1940" s="40" t="str">
        <f t="shared" si="286"/>
        <v xml:space="preserve">No pick yet                                                 </v>
      </c>
      <c r="E1940" s="52">
        <f t="shared" si="287"/>
        <v>0</v>
      </c>
      <c r="F1940" s="18"/>
      <c r="M1940" s="18"/>
      <c r="N1940" s="18"/>
      <c r="O1940" s="18"/>
      <c r="P1940" s="18"/>
      <c r="Q1940" s="22"/>
      <c r="R1940" s="21"/>
      <c r="S1940" s="21"/>
      <c r="T1940" s="21"/>
      <c r="AA1940"/>
      <c r="AH1940" t="str">
        <f t="shared" si="288"/>
        <v>k yet</v>
      </c>
    </row>
    <row r="1941" spans="1:34">
      <c r="A1941" s="42" t="s">
        <v>253</v>
      </c>
      <c r="B1941" s="1" t="s">
        <v>20</v>
      </c>
      <c r="C1941" s="40" t="str">
        <f t="shared" si="285"/>
        <v>08-&gt;</v>
      </c>
      <c r="D1941" s="40" t="str">
        <f t="shared" si="286"/>
        <v xml:space="preserve">No pick yet                                                 </v>
      </c>
      <c r="E1941" s="52">
        <f t="shared" si="287"/>
        <v>0</v>
      </c>
      <c r="F1941" s="18"/>
      <c r="M1941" s="18"/>
      <c r="N1941" s="18"/>
      <c r="O1941" s="18"/>
      <c r="P1941" s="18"/>
      <c r="Q1941" s="22"/>
      <c r="R1941" s="21"/>
      <c r="S1941" s="21"/>
      <c r="T1941" s="21"/>
      <c r="AA1941"/>
      <c r="AH1941" t="str">
        <f t="shared" si="288"/>
        <v>k yet</v>
      </c>
    </row>
    <row r="1942" spans="1:34">
      <c r="A1942" s="42" t="s">
        <v>254</v>
      </c>
      <c r="B1942" s="1" t="s">
        <v>20</v>
      </c>
      <c r="C1942" s="40" t="str">
        <f t="shared" si="285"/>
        <v>09-&gt;</v>
      </c>
      <c r="D1942" s="40" t="str">
        <f t="shared" si="286"/>
        <v xml:space="preserve">No pick yet                                                 </v>
      </c>
      <c r="E1942" s="52">
        <f t="shared" si="287"/>
        <v>0</v>
      </c>
      <c r="F1942" s="18"/>
      <c r="M1942" s="18"/>
      <c r="N1942" s="18"/>
      <c r="O1942" s="18"/>
      <c r="P1942" s="18"/>
      <c r="Q1942" s="22"/>
      <c r="R1942" s="21"/>
      <c r="S1942" s="21"/>
      <c r="T1942" s="21"/>
      <c r="AA1942"/>
      <c r="AH1942" t="str">
        <f t="shared" si="288"/>
        <v>k yet</v>
      </c>
    </row>
    <row r="1943" spans="1:34">
      <c r="A1943" s="42" t="s">
        <v>255</v>
      </c>
      <c r="B1943" s="1" t="s">
        <v>20</v>
      </c>
      <c r="C1943" s="40" t="str">
        <f t="shared" si="285"/>
        <v>10-&gt;</v>
      </c>
      <c r="D1943" s="40" t="str">
        <f t="shared" si="286"/>
        <v xml:space="preserve">No pick yet                                                 </v>
      </c>
      <c r="E1943" s="52">
        <f t="shared" si="287"/>
        <v>0</v>
      </c>
      <c r="F1943" s="22"/>
      <c r="M1943" s="18"/>
      <c r="N1943" s="18"/>
      <c r="O1943" s="18"/>
      <c r="P1943" s="18"/>
      <c r="Q1943" s="22"/>
      <c r="R1943" s="21"/>
      <c r="S1943" s="21"/>
      <c r="T1943" s="21"/>
      <c r="AA1943"/>
      <c r="AH1943" t="str">
        <f t="shared" si="288"/>
        <v>k yet</v>
      </c>
    </row>
    <row r="1944" spans="1:34">
      <c r="A1944" s="42" t="s">
        <v>256</v>
      </c>
      <c r="B1944" s="1" t="s">
        <v>20</v>
      </c>
      <c r="C1944" s="40" t="str">
        <f t="shared" si="285"/>
        <v>11-&gt;</v>
      </c>
      <c r="D1944" s="40" t="str">
        <f t="shared" si="286"/>
        <v xml:space="preserve">No pick yet                                                 </v>
      </c>
      <c r="E1944" s="52">
        <f t="shared" si="287"/>
        <v>0</v>
      </c>
      <c r="M1944" s="18"/>
      <c r="N1944" s="18"/>
      <c r="O1944" s="18"/>
      <c r="P1944" s="18"/>
      <c r="Q1944" s="22"/>
      <c r="R1944" s="21"/>
      <c r="S1944" s="21"/>
      <c r="T1944" s="21"/>
      <c r="AA1944"/>
      <c r="AH1944" t="str">
        <f t="shared" si="288"/>
        <v>k yet</v>
      </c>
    </row>
    <row r="1945" spans="1:34">
      <c r="A1945" s="42" t="s">
        <v>257</v>
      </c>
      <c r="B1945" s="1" t="s">
        <v>20</v>
      </c>
      <c r="C1945" s="40" t="str">
        <f t="shared" si="285"/>
        <v>12-&gt;</v>
      </c>
      <c r="D1945" s="40" t="str">
        <f t="shared" si="286"/>
        <v xml:space="preserve">No pick yet                                                 </v>
      </c>
      <c r="E1945" s="52">
        <f t="shared" si="287"/>
        <v>0</v>
      </c>
      <c r="M1945" s="18"/>
      <c r="N1945" s="18"/>
      <c r="O1945" s="18"/>
      <c r="P1945" s="18"/>
      <c r="Q1945" s="22"/>
      <c r="R1945" s="21"/>
      <c r="S1945" s="21"/>
      <c r="T1945" s="21"/>
      <c r="AA1945"/>
      <c r="AH1945" t="str">
        <f t="shared" si="288"/>
        <v>k yet</v>
      </c>
    </row>
    <row r="1946" spans="1:34">
      <c r="A1946" s="42" t="s">
        <v>258</v>
      </c>
      <c r="B1946" s="1" t="s">
        <v>20</v>
      </c>
      <c r="C1946" s="40" t="str">
        <f t="shared" si="285"/>
        <v>13-&gt;</v>
      </c>
      <c r="D1946" s="40" t="str">
        <f t="shared" si="286"/>
        <v xml:space="preserve">No pick yet                                                 </v>
      </c>
      <c r="E1946" s="52">
        <f t="shared" si="287"/>
        <v>0</v>
      </c>
      <c r="M1946" s="18"/>
      <c r="N1946" s="18"/>
      <c r="O1946" s="18"/>
      <c r="P1946" s="18"/>
      <c r="Q1946" s="22"/>
      <c r="R1946" s="21"/>
      <c r="S1946" s="21"/>
      <c r="T1946" s="21"/>
      <c r="AA1946"/>
      <c r="AH1946" t="str">
        <f t="shared" si="288"/>
        <v>k yet</v>
      </c>
    </row>
    <row r="1947" spans="1:34">
      <c r="A1947" s="42" t="s">
        <v>259</v>
      </c>
      <c r="B1947" s="1" t="s">
        <v>20</v>
      </c>
      <c r="C1947" s="40" t="str">
        <f t="shared" si="285"/>
        <v>14-&gt;</v>
      </c>
      <c r="D1947" s="40" t="str">
        <f t="shared" si="286"/>
        <v xml:space="preserve">No pick yet                                                 </v>
      </c>
      <c r="E1947" s="52">
        <f t="shared" si="287"/>
        <v>0</v>
      </c>
      <c r="M1947" s="18"/>
      <c r="N1947" s="18"/>
      <c r="O1947" s="18"/>
      <c r="P1947" s="18"/>
      <c r="Q1947" s="22"/>
      <c r="R1947" s="21"/>
      <c r="S1947" s="21"/>
      <c r="T1947" s="21"/>
      <c r="AA1947"/>
      <c r="AH1947" t="str">
        <f t="shared" si="288"/>
        <v>k yet</v>
      </c>
    </row>
    <row r="1948" spans="1:34">
      <c r="A1948" s="42" t="s">
        <v>260</v>
      </c>
      <c r="B1948" s="1" t="s">
        <v>20</v>
      </c>
      <c r="C1948" s="40" t="str">
        <f t="shared" si="285"/>
        <v>15-&gt;</v>
      </c>
      <c r="D1948" s="40" t="str">
        <f t="shared" si="286"/>
        <v xml:space="preserve">No pick yet                                                 </v>
      </c>
      <c r="E1948" s="52">
        <f t="shared" si="287"/>
        <v>0</v>
      </c>
      <c r="M1948" s="18"/>
      <c r="N1948" s="18"/>
      <c r="O1948" s="18"/>
      <c r="P1948" s="18"/>
      <c r="Q1948" s="22"/>
      <c r="R1948" s="21"/>
      <c r="S1948" s="21"/>
      <c r="T1948" s="21"/>
      <c r="AA1948"/>
      <c r="AH1948" t="str">
        <f t="shared" si="288"/>
        <v>k yet</v>
      </c>
    </row>
    <row r="1949" spans="1:34">
      <c r="A1949" s="42" t="s">
        <v>261</v>
      </c>
      <c r="B1949" s="1" t="s">
        <v>20</v>
      </c>
      <c r="C1949" s="40" t="str">
        <f t="shared" si="285"/>
        <v>16-&gt;</v>
      </c>
      <c r="D1949" s="40" t="str">
        <f t="shared" si="286"/>
        <v xml:space="preserve">No pick yet                                                 </v>
      </c>
      <c r="E1949" s="52">
        <f t="shared" si="287"/>
        <v>0</v>
      </c>
      <c r="M1949" s="18"/>
      <c r="N1949" s="18"/>
      <c r="O1949" s="18"/>
      <c r="P1949" s="18"/>
      <c r="Q1949" s="22"/>
      <c r="R1949" s="21"/>
      <c r="S1949" s="21"/>
      <c r="T1949" s="21"/>
      <c r="AA1949"/>
      <c r="AH1949" t="str">
        <f t="shared" si="288"/>
        <v>k yet</v>
      </c>
    </row>
    <row r="1950" spans="1:34">
      <c r="A1950" s="42" t="s">
        <v>262</v>
      </c>
      <c r="B1950" s="1" t="s">
        <v>20</v>
      </c>
      <c r="C1950" s="40" t="str">
        <f t="shared" si="285"/>
        <v>17-&gt;</v>
      </c>
      <c r="D1950" s="40" t="str">
        <f t="shared" si="286"/>
        <v xml:space="preserve">No pick yet                                                 </v>
      </c>
      <c r="E1950" s="52">
        <f t="shared" si="287"/>
        <v>0</v>
      </c>
      <c r="K1950" s="22"/>
      <c r="N1950" s="22"/>
      <c r="O1950" s="22"/>
      <c r="P1950" s="22"/>
      <c r="Q1950" s="22"/>
      <c r="R1950" s="22"/>
      <c r="S1950" s="22"/>
      <c r="Z1950" s="53"/>
      <c r="AA1950"/>
      <c r="AH1950" t="str">
        <f t="shared" si="288"/>
        <v>k yet</v>
      </c>
    </row>
    <row r="1951" spans="1:34">
      <c r="A1951" s="42" t="s">
        <v>263</v>
      </c>
      <c r="B1951" s="1" t="s">
        <v>20</v>
      </c>
      <c r="C1951" s="40" t="str">
        <f t="shared" si="285"/>
        <v>18-&gt;</v>
      </c>
      <c r="D1951" s="40" t="str">
        <f t="shared" si="286"/>
        <v xml:space="preserve">No pick yet                                                 </v>
      </c>
      <c r="E1951" s="52">
        <f t="shared" si="287"/>
        <v>0</v>
      </c>
      <c r="F1951" s="18"/>
      <c r="L1951" s="21"/>
      <c r="N1951" s="22"/>
      <c r="O1951" s="22"/>
      <c r="P1951" s="18"/>
      <c r="Q1951" s="22"/>
      <c r="R1951" s="22"/>
      <c r="S1951" s="22"/>
      <c r="Z1951" s="53"/>
      <c r="AA1951"/>
      <c r="AH1951" t="str">
        <f t="shared" si="288"/>
        <v>k yet</v>
      </c>
    </row>
    <row r="1952" spans="1:34">
      <c r="A1952" s="42" t="s">
        <v>264</v>
      </c>
      <c r="B1952" s="1" t="s">
        <v>20</v>
      </c>
      <c r="C1952" s="40" t="str">
        <f t="shared" si="285"/>
        <v>19-&gt;</v>
      </c>
      <c r="D1952" s="40" t="str">
        <f t="shared" si="286"/>
        <v xml:space="preserve">No pick yet                                                 </v>
      </c>
      <c r="E1952" s="52">
        <f t="shared" si="287"/>
        <v>0</v>
      </c>
      <c r="F1952" s="18"/>
      <c r="M1952" s="18"/>
      <c r="N1952" s="18"/>
      <c r="O1952" s="18"/>
      <c r="P1952" s="18"/>
      <c r="Q1952" s="22"/>
      <c r="R1952" s="21"/>
      <c r="S1952" s="21"/>
      <c r="T1952" s="21"/>
      <c r="AA1952"/>
      <c r="AH1952" t="str">
        <f t="shared" si="288"/>
        <v>k yet</v>
      </c>
    </row>
    <row r="1953" spans="1:39">
      <c r="A1953" s="42" t="s">
        <v>265</v>
      </c>
      <c r="B1953" s="1" t="s">
        <v>20</v>
      </c>
      <c r="C1953" s="40" t="str">
        <f t="shared" si="285"/>
        <v>20-&gt;</v>
      </c>
      <c r="D1953" s="40" t="str">
        <f t="shared" si="286"/>
        <v xml:space="preserve">No pick yet                                                 </v>
      </c>
      <c r="E1953" s="52">
        <f t="shared" si="287"/>
        <v>0</v>
      </c>
      <c r="F1953" s="18"/>
      <c r="M1953" s="18"/>
      <c r="N1953" s="18"/>
      <c r="O1953" s="18"/>
      <c r="P1953" s="18"/>
      <c r="Q1953" s="22"/>
      <c r="R1953" s="21"/>
      <c r="S1953" s="21"/>
      <c r="T1953" s="21"/>
      <c r="AA1953"/>
      <c r="AH1953" t="str">
        <f t="shared" si="288"/>
        <v>k yet</v>
      </c>
    </row>
    <row r="1954" spans="1:39">
      <c r="A1954" s="42" t="s">
        <v>266</v>
      </c>
      <c r="B1954" s="1" t="s">
        <v>20</v>
      </c>
      <c r="C1954" s="40" t="str">
        <f t="shared" si="285"/>
        <v>21-&gt;</v>
      </c>
      <c r="D1954" s="40" t="str">
        <f t="shared" si="286"/>
        <v xml:space="preserve">No pick yet                                                 </v>
      </c>
      <c r="E1954" s="52">
        <f t="shared" si="287"/>
        <v>0</v>
      </c>
      <c r="F1954" s="18"/>
      <c r="M1954" s="18"/>
      <c r="N1954" s="18"/>
      <c r="O1954" s="18"/>
      <c r="P1954" s="18"/>
      <c r="Q1954" s="22"/>
      <c r="R1954" s="21"/>
      <c r="S1954" s="21"/>
      <c r="T1954" s="21"/>
      <c r="AA1954"/>
      <c r="AH1954" t="str">
        <f t="shared" si="288"/>
        <v>k yet</v>
      </c>
    </row>
    <row r="1955" spans="1:39">
      <c r="A1955" s="42" t="s">
        <v>267</v>
      </c>
      <c r="B1955" s="1" t="s">
        <v>20</v>
      </c>
      <c r="C1955" s="40" t="str">
        <f t="shared" si="285"/>
        <v>22-&gt;</v>
      </c>
      <c r="D1955" s="40" t="str">
        <f t="shared" si="286"/>
        <v xml:space="preserve">No pick yet                                                 </v>
      </c>
      <c r="E1955" s="52">
        <f t="shared" si="287"/>
        <v>0</v>
      </c>
      <c r="F1955" s="18"/>
      <c r="M1955" s="18"/>
      <c r="N1955" s="18"/>
      <c r="O1955" s="18"/>
      <c r="P1955" s="18"/>
      <c r="Q1955" s="22"/>
      <c r="R1955" s="21"/>
      <c r="S1955" s="21"/>
      <c r="T1955" s="21"/>
      <c r="AA1955"/>
      <c r="AH1955" t="str">
        <f t="shared" si="288"/>
        <v>k yet</v>
      </c>
    </row>
    <row r="1956" spans="1:39">
      <c r="A1956" s="42" t="s">
        <v>268</v>
      </c>
      <c r="B1956" s="1" t="s">
        <v>20</v>
      </c>
      <c r="C1956" s="40" t="str">
        <f t="shared" si="285"/>
        <v>23-&gt;</v>
      </c>
      <c r="D1956" s="40" t="str">
        <f t="shared" si="286"/>
        <v xml:space="preserve">No pick yet                                                 </v>
      </c>
      <c r="E1956" s="52">
        <f t="shared" si="287"/>
        <v>0</v>
      </c>
      <c r="F1956" s="18"/>
      <c r="M1956" s="18"/>
      <c r="N1956" s="18"/>
      <c r="O1956" s="18"/>
      <c r="P1956" s="18"/>
      <c r="Q1956" s="22"/>
      <c r="R1956" s="21"/>
      <c r="S1956" s="21"/>
      <c r="T1956" s="21"/>
      <c r="AA1956"/>
      <c r="AH1956" t="str">
        <f t="shared" si="288"/>
        <v>k yet</v>
      </c>
    </row>
    <row r="1957" spans="1:39">
      <c r="A1957" s="42" t="s">
        <v>269</v>
      </c>
      <c r="B1957" s="1" t="s">
        <v>20</v>
      </c>
      <c r="C1957" s="40" t="str">
        <f t="shared" si="285"/>
        <v>24-&gt;</v>
      </c>
      <c r="D1957" s="40" t="str">
        <f t="shared" si="286"/>
        <v xml:space="preserve">No pick yet                                                 </v>
      </c>
      <c r="E1957" s="52">
        <f t="shared" si="287"/>
        <v>0</v>
      </c>
      <c r="F1957" s="18"/>
      <c r="M1957" s="18"/>
      <c r="N1957" s="18"/>
      <c r="O1957" s="18"/>
      <c r="P1957" s="18"/>
      <c r="Q1957" s="22"/>
      <c r="R1957" s="21"/>
      <c r="S1957" s="21"/>
      <c r="T1957" s="21"/>
      <c r="AA1957"/>
      <c r="AH1957" t="str">
        <f t="shared" si="288"/>
        <v>k yet</v>
      </c>
    </row>
    <row r="1958" spans="1:39">
      <c r="A1958" s="42" t="s">
        <v>270</v>
      </c>
      <c r="B1958" s="1" t="s">
        <v>20</v>
      </c>
      <c r="C1958" s="40" t="str">
        <f t="shared" si="285"/>
        <v>25-&gt;</v>
      </c>
      <c r="D1958" s="40" t="str">
        <f t="shared" si="286"/>
        <v xml:space="preserve">No pick yet                                                 </v>
      </c>
      <c r="E1958" s="52">
        <f t="shared" si="287"/>
        <v>0</v>
      </c>
      <c r="F1958" s="18"/>
      <c r="M1958" s="18"/>
      <c r="N1958" s="18"/>
      <c r="O1958" s="18"/>
      <c r="P1958" s="18"/>
      <c r="Q1958" s="22"/>
      <c r="R1958" s="21"/>
      <c r="S1958" s="21"/>
      <c r="T1958" s="21"/>
      <c r="AA1958"/>
      <c r="AH1958" t="str">
        <f t="shared" si="288"/>
        <v>k yet</v>
      </c>
    </row>
    <row r="1959" spans="1:39">
      <c r="A1959" s="42" t="s">
        <v>271</v>
      </c>
      <c r="B1959" s="1" t="s">
        <v>20</v>
      </c>
      <c r="C1959" s="40" t="str">
        <f t="shared" si="285"/>
        <v>26-&gt;</v>
      </c>
      <c r="D1959" s="40" t="str">
        <f t="shared" si="286"/>
        <v xml:space="preserve">No pick yet                                                 </v>
      </c>
      <c r="E1959" s="52">
        <f t="shared" si="287"/>
        <v>0</v>
      </c>
      <c r="F1959" s="18"/>
      <c r="M1959" s="18"/>
      <c r="N1959" s="18"/>
      <c r="O1959" s="18"/>
      <c r="P1959" s="18"/>
      <c r="Q1959" s="22"/>
      <c r="R1959" s="21"/>
      <c r="S1959" s="21"/>
      <c r="T1959" s="21"/>
      <c r="AA1959"/>
      <c r="AH1959" t="str">
        <f t="shared" si="288"/>
        <v>k yet</v>
      </c>
    </row>
    <row r="1960" spans="1:39">
      <c r="A1960" s="38"/>
      <c r="B1960" s="40"/>
      <c r="C1960" s="40"/>
      <c r="D1960" s="49"/>
      <c r="E1960" s="41" t="s">
        <v>69</v>
      </c>
      <c r="F1960" s="18"/>
      <c r="K1960" s="22" t="s">
        <v>73</v>
      </c>
      <c r="L1960" s="18" t="s">
        <v>74</v>
      </c>
      <c r="M1960" s="22" t="s">
        <v>78</v>
      </c>
      <c r="N1960" s="22" t="s">
        <v>79</v>
      </c>
      <c r="O1960" s="22" t="s">
        <v>80</v>
      </c>
      <c r="P1960" s="22" t="s">
        <v>81</v>
      </c>
      <c r="Q1960" s="22" t="s">
        <v>82</v>
      </c>
      <c r="R1960" s="22" t="s">
        <v>83</v>
      </c>
      <c r="S1960" s="22" t="s">
        <v>84</v>
      </c>
      <c r="T1960" s="18" t="s">
        <v>85</v>
      </c>
      <c r="U1960" s="18" t="s">
        <v>86</v>
      </c>
      <c r="V1960" s="18" t="s">
        <v>87</v>
      </c>
      <c r="W1960" s="18" t="s">
        <v>88</v>
      </c>
      <c r="X1960" s="18" t="s">
        <v>89</v>
      </c>
      <c r="Y1960" s="18" t="s">
        <v>90</v>
      </c>
      <c r="Z1960" s="18" t="s">
        <v>91</v>
      </c>
      <c r="AA1960" s="18" t="s">
        <v>92</v>
      </c>
      <c r="AB1960" s="18" t="s">
        <v>93</v>
      </c>
      <c r="AC1960" s="18" t="s">
        <v>94</v>
      </c>
      <c r="AD1960" s="18" t="s">
        <v>235</v>
      </c>
      <c r="AE1960" s="18" t="s">
        <v>236</v>
      </c>
      <c r="AF1960" s="18" t="s">
        <v>237</v>
      </c>
      <c r="AG1960" s="18" t="s">
        <v>238</v>
      </c>
      <c r="AH1960" s="18" t="s">
        <v>239</v>
      </c>
      <c r="AI1960" s="18" t="s">
        <v>240</v>
      </c>
      <c r="AJ1960" s="18" t="s">
        <v>241</v>
      </c>
      <c r="AK1960" s="18" t="s">
        <v>242</v>
      </c>
      <c r="AL1960" s="18" t="s">
        <v>243</v>
      </c>
      <c r="AM1960" s="50" t="s">
        <v>244</v>
      </c>
    </row>
    <row r="1961" spans="1:39">
      <c r="A1961" s="40" t="s">
        <v>245</v>
      </c>
      <c r="B1961" s="51" t="str">
        <f>D69</f>
        <v/>
      </c>
      <c r="C1961" s="40" t="str">
        <f t="shared" ref="C1961:C1987" si="289">A1961</f>
        <v>#</v>
      </c>
      <c r="D1961" s="40" t="str">
        <f>"   "&amp;B1961&amp;REPT(" ",$AH$70-LEN(B1961)-3)</f>
        <v xml:space="preserve">                                                            </v>
      </c>
      <c r="E1961" s="38" t="str">
        <f>SUM(E1962:E1987)&amp;" pts[/b]"</f>
        <v>0 pts[/b]</v>
      </c>
      <c r="F1961" s="21">
        <f>SUM(E1962:E1987)</f>
        <v>0</v>
      </c>
      <c r="K1961" s="18">
        <f>COUNTIF(E1962:E1987,"&gt;0")</f>
        <v>0</v>
      </c>
      <c r="L1961" s="21">
        <f>AM1961-K1961</f>
        <v>0</v>
      </c>
      <c r="M1961" s="22">
        <f>MAX(E1962:E1987)</f>
        <v>0</v>
      </c>
      <c r="N1961" s="22">
        <f>LARGE(E1962:E1987,2)</f>
        <v>0</v>
      </c>
      <c r="O1961" s="22">
        <f>LARGE(E1962:E1987,3)</f>
        <v>0</v>
      </c>
      <c r="P1961" s="18">
        <f>LARGE(E1962:E1987,4)</f>
        <v>0</v>
      </c>
      <c r="Q1961" s="22">
        <f>LARGE(E1962:E1987,5)</f>
        <v>0</v>
      </c>
      <c r="R1961" s="22">
        <f>LARGE(E1962:E1987,6)</f>
        <v>0</v>
      </c>
      <c r="S1961" s="22">
        <f>LARGE(E1962:E1987,7)</f>
        <v>0</v>
      </c>
      <c r="T1961" s="18">
        <f>LARGE(E1962:E1987,8)</f>
        <v>0</v>
      </c>
      <c r="U1961" s="18">
        <f>LARGE(E1962:E1987,9)</f>
        <v>0</v>
      </c>
      <c r="V1961" s="18">
        <f>LARGE(E1962:E1987,10)</f>
        <v>0</v>
      </c>
      <c r="W1961" s="18">
        <f>LARGE(E1962:E1987,11)</f>
        <v>0</v>
      </c>
      <c r="X1961" s="18">
        <f>LARGE(E1962:E1987,12)</f>
        <v>0</v>
      </c>
      <c r="Y1961" s="18">
        <f>LARGE(E1962:E1987,13)</f>
        <v>0</v>
      </c>
      <c r="Z1961" s="18">
        <f>LARGE(E1962:E1987,14)</f>
        <v>0</v>
      </c>
      <c r="AA1961" s="18">
        <f>LARGE(E1962:E1987,15)</f>
        <v>0</v>
      </c>
      <c r="AB1961" s="18">
        <f>LARGE(E1962:E1987,16)</f>
        <v>0</v>
      </c>
      <c r="AC1961" s="18">
        <f>LARGE(E1962:E1987,17)</f>
        <v>0</v>
      </c>
      <c r="AD1961" s="18">
        <f>LARGE(E1962:E1988,13)</f>
        <v>0</v>
      </c>
      <c r="AE1961" s="18">
        <f>LARGE(E1962:E1987,19)</f>
        <v>0</v>
      </c>
      <c r="AF1961" s="18">
        <f>LARGE(E1962:E1987,20)</f>
        <v>0</v>
      </c>
      <c r="AG1961" s="18">
        <f>LARGE(E1962:E1987,21)</f>
        <v>0</v>
      </c>
      <c r="AH1961" s="18">
        <f>LARGE(E1962:E1987,22)</f>
        <v>0</v>
      </c>
      <c r="AI1961" s="18">
        <f>LARGE(E1962:E1987,23)</f>
        <v>0</v>
      </c>
      <c r="AJ1961" s="18">
        <f>LARGE(E1962:E1987,24)</f>
        <v>0</v>
      </c>
      <c r="AK1961" s="18">
        <f>LARGE(E1962:E1987,25)</f>
        <v>0</v>
      </c>
      <c r="AL1961" s="18">
        <f>LARGE(E1962:E1987,26)</f>
        <v>0</v>
      </c>
      <c r="AM1961" s="50">
        <f>COUNTIF(AH1962:AH1987,"&lt;&gt;"&amp;$AH$76)-(26-COUNTIF(E1962:E1987,"&gt;=0"))</f>
        <v>0</v>
      </c>
    </row>
    <row r="1962" spans="1:39">
      <c r="A1962" s="42" t="s">
        <v>246</v>
      </c>
      <c r="B1962" s="1" t="s">
        <v>20</v>
      </c>
      <c r="C1962" s="40" t="str">
        <f t="shared" si="289"/>
        <v>01-&gt;</v>
      </c>
      <c r="D1962" s="40" t="str">
        <f t="shared" ref="D1962:D1987" si="290">B1962&amp;REPT(" ",$AH$70-LEN(B1962))</f>
        <v xml:space="preserve">No pick yet                                                 </v>
      </c>
      <c r="E1962" s="52">
        <f t="shared" ref="E1962:E1987" si="291">VLOOKUP(RIGHT(B1962,LEN(B1962)-$AH$66),$H$138:$I$420,2,0)</f>
        <v>0</v>
      </c>
      <c r="F1962" s="18"/>
      <c r="M1962" s="18"/>
      <c r="N1962" s="18"/>
      <c r="O1962" s="18"/>
      <c r="P1962" s="18"/>
      <c r="Q1962" s="22"/>
      <c r="R1962" s="21"/>
      <c r="S1962" s="21"/>
      <c r="T1962" s="21"/>
      <c r="AA1962"/>
      <c r="AH1962" t="str">
        <f t="shared" ref="AH1962:AH1987" si="292">RIGHT(B1962,LEN(B1962)-$AH$66)</f>
        <v>k yet</v>
      </c>
    </row>
    <row r="1963" spans="1:39">
      <c r="A1963" s="42" t="s">
        <v>247</v>
      </c>
      <c r="B1963" s="1" t="s">
        <v>20</v>
      </c>
      <c r="C1963" s="40" t="str">
        <f t="shared" si="289"/>
        <v>02-&gt;</v>
      </c>
      <c r="D1963" s="40" t="str">
        <f t="shared" si="290"/>
        <v xml:space="preserve">No pick yet                                                 </v>
      </c>
      <c r="E1963" s="52">
        <f t="shared" si="291"/>
        <v>0</v>
      </c>
      <c r="F1963" s="18"/>
      <c r="K1963" s="22"/>
      <c r="N1963" s="22"/>
      <c r="O1963" s="22"/>
      <c r="P1963" s="22"/>
      <c r="Q1963" s="22"/>
      <c r="R1963" s="22"/>
      <c r="S1963" s="22"/>
      <c r="Z1963" s="53"/>
      <c r="AA1963"/>
      <c r="AH1963" t="str">
        <f t="shared" si="292"/>
        <v>k yet</v>
      </c>
    </row>
    <row r="1964" spans="1:39">
      <c r="A1964" s="42" t="s">
        <v>248</v>
      </c>
      <c r="B1964" s="1" t="s">
        <v>20</v>
      </c>
      <c r="C1964" s="40" t="str">
        <f t="shared" si="289"/>
        <v>03-&gt;</v>
      </c>
      <c r="D1964" s="40" t="str">
        <f t="shared" si="290"/>
        <v xml:space="preserve">No pick yet                                                 </v>
      </c>
      <c r="E1964" s="52">
        <f t="shared" si="291"/>
        <v>0</v>
      </c>
      <c r="F1964" s="18"/>
      <c r="L1964" s="21"/>
      <c r="N1964" s="22"/>
      <c r="O1964" s="22"/>
      <c r="P1964" s="18"/>
      <c r="Q1964" s="22"/>
      <c r="R1964" s="22"/>
      <c r="S1964" s="22"/>
      <c r="Z1964" s="53"/>
      <c r="AA1964"/>
      <c r="AH1964" t="str">
        <f t="shared" si="292"/>
        <v>k yet</v>
      </c>
    </row>
    <row r="1965" spans="1:39">
      <c r="A1965" s="42" t="s">
        <v>249</v>
      </c>
      <c r="B1965" s="1" t="s">
        <v>20</v>
      </c>
      <c r="C1965" s="40" t="str">
        <f t="shared" si="289"/>
        <v>04-&gt;</v>
      </c>
      <c r="D1965" s="40" t="str">
        <f t="shared" si="290"/>
        <v xml:space="preserve">No pick yet                                                 </v>
      </c>
      <c r="E1965" s="52">
        <f t="shared" si="291"/>
        <v>0</v>
      </c>
      <c r="F1965" s="18"/>
      <c r="M1965" s="18"/>
      <c r="N1965" s="18"/>
      <c r="O1965" s="18"/>
      <c r="P1965" s="18"/>
      <c r="Q1965" s="22"/>
      <c r="R1965" s="21"/>
      <c r="S1965" s="21"/>
      <c r="T1965" s="21"/>
      <c r="AA1965"/>
      <c r="AH1965" t="str">
        <f t="shared" si="292"/>
        <v>k yet</v>
      </c>
    </row>
    <row r="1966" spans="1:39">
      <c r="A1966" s="42" t="s">
        <v>250</v>
      </c>
      <c r="B1966" s="1" t="s">
        <v>20</v>
      </c>
      <c r="C1966" s="40" t="str">
        <f t="shared" si="289"/>
        <v>05-&gt;</v>
      </c>
      <c r="D1966" s="40" t="str">
        <f t="shared" si="290"/>
        <v xml:space="preserve">No pick yet                                                 </v>
      </c>
      <c r="E1966" s="52">
        <f t="shared" si="291"/>
        <v>0</v>
      </c>
      <c r="F1966" s="18"/>
      <c r="M1966" s="18"/>
      <c r="N1966" s="18"/>
      <c r="O1966" s="18"/>
      <c r="P1966" s="18"/>
      <c r="Q1966" s="22"/>
      <c r="R1966" s="21"/>
      <c r="S1966" s="21"/>
      <c r="T1966" s="21"/>
      <c r="AA1966"/>
      <c r="AH1966" t="str">
        <f t="shared" si="292"/>
        <v>k yet</v>
      </c>
    </row>
    <row r="1967" spans="1:39">
      <c r="A1967" s="42" t="s">
        <v>251</v>
      </c>
      <c r="B1967" s="1" t="s">
        <v>20</v>
      </c>
      <c r="C1967" s="40" t="str">
        <f t="shared" si="289"/>
        <v>06-&gt;</v>
      </c>
      <c r="D1967" s="40" t="str">
        <f t="shared" si="290"/>
        <v xml:space="preserve">No pick yet                                                 </v>
      </c>
      <c r="E1967" s="52">
        <f t="shared" si="291"/>
        <v>0</v>
      </c>
      <c r="F1967" s="18"/>
      <c r="M1967" s="18"/>
      <c r="N1967" s="18"/>
      <c r="O1967" s="18"/>
      <c r="P1967" s="18"/>
      <c r="Q1967" s="22"/>
      <c r="R1967" s="21"/>
      <c r="S1967" s="21"/>
      <c r="T1967" s="21"/>
      <c r="AA1967"/>
      <c r="AH1967" t="str">
        <f t="shared" si="292"/>
        <v>k yet</v>
      </c>
    </row>
    <row r="1968" spans="1:39">
      <c r="A1968" s="42" t="s">
        <v>252</v>
      </c>
      <c r="B1968" s="1" t="s">
        <v>20</v>
      </c>
      <c r="C1968" s="40" t="str">
        <f t="shared" si="289"/>
        <v>07-&gt;</v>
      </c>
      <c r="D1968" s="40" t="str">
        <f t="shared" si="290"/>
        <v xml:space="preserve">No pick yet                                                 </v>
      </c>
      <c r="E1968" s="52">
        <f t="shared" si="291"/>
        <v>0</v>
      </c>
      <c r="F1968" s="18"/>
      <c r="M1968" s="18"/>
      <c r="N1968" s="18"/>
      <c r="O1968" s="18"/>
      <c r="P1968" s="18"/>
      <c r="Q1968" s="22"/>
      <c r="R1968" s="21"/>
      <c r="S1968" s="21"/>
      <c r="T1968" s="21"/>
      <c r="AA1968"/>
      <c r="AH1968" t="str">
        <f t="shared" si="292"/>
        <v>k yet</v>
      </c>
    </row>
    <row r="1969" spans="1:34">
      <c r="A1969" s="42" t="s">
        <v>253</v>
      </c>
      <c r="B1969" s="1" t="s">
        <v>20</v>
      </c>
      <c r="C1969" s="40" t="str">
        <f t="shared" si="289"/>
        <v>08-&gt;</v>
      </c>
      <c r="D1969" s="40" t="str">
        <f t="shared" si="290"/>
        <v xml:space="preserve">No pick yet                                                 </v>
      </c>
      <c r="E1969" s="52">
        <f t="shared" si="291"/>
        <v>0</v>
      </c>
      <c r="F1969" s="18"/>
      <c r="M1969" s="18"/>
      <c r="N1969" s="18"/>
      <c r="O1969" s="18"/>
      <c r="P1969" s="18"/>
      <c r="Q1969" s="22"/>
      <c r="R1969" s="21"/>
      <c r="S1969" s="21"/>
      <c r="T1969" s="21"/>
      <c r="AA1969"/>
      <c r="AH1969" t="str">
        <f t="shared" si="292"/>
        <v>k yet</v>
      </c>
    </row>
    <row r="1970" spans="1:34">
      <c r="A1970" s="42" t="s">
        <v>254</v>
      </c>
      <c r="B1970" s="1" t="s">
        <v>20</v>
      </c>
      <c r="C1970" s="40" t="str">
        <f t="shared" si="289"/>
        <v>09-&gt;</v>
      </c>
      <c r="D1970" s="40" t="str">
        <f t="shared" si="290"/>
        <v xml:space="preserve">No pick yet                                                 </v>
      </c>
      <c r="E1970" s="52">
        <f t="shared" si="291"/>
        <v>0</v>
      </c>
      <c r="F1970" s="18"/>
      <c r="M1970" s="18"/>
      <c r="N1970" s="18"/>
      <c r="O1970" s="18"/>
      <c r="P1970" s="18"/>
      <c r="Q1970" s="22"/>
      <c r="R1970" s="21"/>
      <c r="S1970" s="21"/>
      <c r="T1970" s="21"/>
      <c r="AA1970"/>
      <c r="AH1970" t="str">
        <f t="shared" si="292"/>
        <v>k yet</v>
      </c>
    </row>
    <row r="1971" spans="1:34">
      <c r="A1971" s="42" t="s">
        <v>255</v>
      </c>
      <c r="B1971" s="1" t="s">
        <v>20</v>
      </c>
      <c r="C1971" s="40" t="str">
        <f t="shared" si="289"/>
        <v>10-&gt;</v>
      </c>
      <c r="D1971" s="40" t="str">
        <f t="shared" si="290"/>
        <v xml:space="preserve">No pick yet                                                 </v>
      </c>
      <c r="E1971" s="52">
        <f t="shared" si="291"/>
        <v>0</v>
      </c>
      <c r="F1971" s="22"/>
      <c r="M1971" s="18"/>
      <c r="N1971" s="18"/>
      <c r="O1971" s="18"/>
      <c r="P1971" s="18"/>
      <c r="Q1971" s="22"/>
      <c r="R1971" s="21"/>
      <c r="S1971" s="21"/>
      <c r="T1971" s="21"/>
      <c r="AA1971"/>
      <c r="AH1971" t="str">
        <f t="shared" si="292"/>
        <v>k yet</v>
      </c>
    </row>
    <row r="1972" spans="1:34">
      <c r="A1972" s="42" t="s">
        <v>256</v>
      </c>
      <c r="B1972" s="1" t="s">
        <v>20</v>
      </c>
      <c r="C1972" s="40" t="str">
        <f t="shared" si="289"/>
        <v>11-&gt;</v>
      </c>
      <c r="D1972" s="40" t="str">
        <f t="shared" si="290"/>
        <v xml:space="preserve">No pick yet                                                 </v>
      </c>
      <c r="E1972" s="52">
        <f t="shared" si="291"/>
        <v>0</v>
      </c>
      <c r="M1972" s="18"/>
      <c r="N1972" s="18"/>
      <c r="O1972" s="18"/>
      <c r="P1972" s="18"/>
      <c r="Q1972" s="22"/>
      <c r="R1972" s="21"/>
      <c r="S1972" s="21"/>
      <c r="T1972" s="21"/>
      <c r="AA1972"/>
      <c r="AH1972" t="str">
        <f t="shared" si="292"/>
        <v>k yet</v>
      </c>
    </row>
    <row r="1973" spans="1:34">
      <c r="A1973" s="42" t="s">
        <v>257</v>
      </c>
      <c r="B1973" s="1" t="s">
        <v>20</v>
      </c>
      <c r="C1973" s="40" t="str">
        <f t="shared" si="289"/>
        <v>12-&gt;</v>
      </c>
      <c r="D1973" s="40" t="str">
        <f t="shared" si="290"/>
        <v xml:space="preserve">No pick yet                                                 </v>
      </c>
      <c r="E1973" s="52">
        <f t="shared" si="291"/>
        <v>0</v>
      </c>
      <c r="M1973" s="18"/>
      <c r="N1973" s="18"/>
      <c r="O1973" s="18"/>
      <c r="P1973" s="18"/>
      <c r="Q1973" s="22"/>
      <c r="R1973" s="21"/>
      <c r="S1973" s="21"/>
      <c r="T1973" s="21"/>
      <c r="AA1973"/>
      <c r="AH1973" t="str">
        <f t="shared" si="292"/>
        <v>k yet</v>
      </c>
    </row>
    <row r="1974" spans="1:34">
      <c r="A1974" s="42" t="s">
        <v>258</v>
      </c>
      <c r="B1974" s="1" t="s">
        <v>20</v>
      </c>
      <c r="C1974" s="40" t="str">
        <f t="shared" si="289"/>
        <v>13-&gt;</v>
      </c>
      <c r="D1974" s="40" t="str">
        <f t="shared" si="290"/>
        <v xml:space="preserve">No pick yet                                                 </v>
      </c>
      <c r="E1974" s="52">
        <f t="shared" si="291"/>
        <v>0</v>
      </c>
      <c r="M1974" s="18"/>
      <c r="N1974" s="18"/>
      <c r="O1974" s="18"/>
      <c r="P1974" s="18"/>
      <c r="Q1974" s="22"/>
      <c r="R1974" s="21"/>
      <c r="S1974" s="21"/>
      <c r="T1974" s="21"/>
      <c r="AA1974"/>
      <c r="AH1974" t="str">
        <f t="shared" si="292"/>
        <v>k yet</v>
      </c>
    </row>
    <row r="1975" spans="1:34">
      <c r="A1975" s="42" t="s">
        <v>259</v>
      </c>
      <c r="B1975" s="1" t="s">
        <v>20</v>
      </c>
      <c r="C1975" s="40" t="str">
        <f t="shared" si="289"/>
        <v>14-&gt;</v>
      </c>
      <c r="D1975" s="40" t="str">
        <f t="shared" si="290"/>
        <v xml:space="preserve">No pick yet                                                 </v>
      </c>
      <c r="E1975" s="52">
        <f t="shared" si="291"/>
        <v>0</v>
      </c>
      <c r="M1975" s="18"/>
      <c r="N1975" s="18"/>
      <c r="O1975" s="18"/>
      <c r="P1975" s="18"/>
      <c r="Q1975" s="22"/>
      <c r="R1975" s="21"/>
      <c r="S1975" s="21"/>
      <c r="T1975" s="21"/>
      <c r="AA1975"/>
      <c r="AH1975" t="str">
        <f t="shared" si="292"/>
        <v>k yet</v>
      </c>
    </row>
    <row r="1976" spans="1:34">
      <c r="A1976" s="42" t="s">
        <v>260</v>
      </c>
      <c r="B1976" s="1" t="s">
        <v>20</v>
      </c>
      <c r="C1976" s="40" t="str">
        <f t="shared" si="289"/>
        <v>15-&gt;</v>
      </c>
      <c r="D1976" s="40" t="str">
        <f t="shared" si="290"/>
        <v xml:space="preserve">No pick yet                                                 </v>
      </c>
      <c r="E1976" s="52">
        <f t="shared" si="291"/>
        <v>0</v>
      </c>
      <c r="M1976" s="18"/>
      <c r="N1976" s="18"/>
      <c r="O1976" s="18"/>
      <c r="P1976" s="18"/>
      <c r="Q1976" s="22"/>
      <c r="R1976" s="21"/>
      <c r="S1976" s="21"/>
      <c r="T1976" s="21"/>
      <c r="AA1976"/>
      <c r="AH1976" t="str">
        <f t="shared" si="292"/>
        <v>k yet</v>
      </c>
    </row>
    <row r="1977" spans="1:34">
      <c r="A1977" s="42" t="s">
        <v>261</v>
      </c>
      <c r="B1977" s="1" t="s">
        <v>20</v>
      </c>
      <c r="C1977" s="40" t="str">
        <f t="shared" si="289"/>
        <v>16-&gt;</v>
      </c>
      <c r="D1977" s="40" t="str">
        <f t="shared" si="290"/>
        <v xml:space="preserve">No pick yet                                                 </v>
      </c>
      <c r="E1977" s="52">
        <f t="shared" si="291"/>
        <v>0</v>
      </c>
      <c r="M1977" s="18"/>
      <c r="N1977" s="18"/>
      <c r="O1977" s="18"/>
      <c r="P1977" s="18"/>
      <c r="Q1977" s="22"/>
      <c r="R1977" s="21"/>
      <c r="S1977" s="21"/>
      <c r="T1977" s="21"/>
      <c r="AA1977"/>
      <c r="AH1977" t="str">
        <f t="shared" si="292"/>
        <v>k yet</v>
      </c>
    </row>
    <row r="1978" spans="1:34">
      <c r="A1978" s="42" t="s">
        <v>262</v>
      </c>
      <c r="B1978" s="1" t="s">
        <v>20</v>
      </c>
      <c r="C1978" s="40" t="str">
        <f t="shared" si="289"/>
        <v>17-&gt;</v>
      </c>
      <c r="D1978" s="40" t="str">
        <f t="shared" si="290"/>
        <v xml:space="preserve">No pick yet                                                 </v>
      </c>
      <c r="E1978" s="52">
        <f t="shared" si="291"/>
        <v>0</v>
      </c>
      <c r="K1978" s="22"/>
      <c r="N1978" s="22"/>
      <c r="O1978" s="22"/>
      <c r="P1978" s="22"/>
      <c r="Q1978" s="22"/>
      <c r="R1978" s="22"/>
      <c r="S1978" s="22"/>
      <c r="Z1978" s="53"/>
      <c r="AA1978"/>
      <c r="AH1978" t="str">
        <f t="shared" si="292"/>
        <v>k yet</v>
      </c>
    </row>
    <row r="1979" spans="1:34">
      <c r="A1979" s="42" t="s">
        <v>263</v>
      </c>
      <c r="B1979" s="1" t="s">
        <v>20</v>
      </c>
      <c r="C1979" s="40" t="str">
        <f t="shared" si="289"/>
        <v>18-&gt;</v>
      </c>
      <c r="D1979" s="40" t="str">
        <f t="shared" si="290"/>
        <v xml:space="preserve">No pick yet                                                 </v>
      </c>
      <c r="E1979" s="52">
        <f t="shared" si="291"/>
        <v>0</v>
      </c>
      <c r="F1979" s="18"/>
      <c r="L1979" s="21"/>
      <c r="N1979" s="22"/>
      <c r="O1979" s="22"/>
      <c r="P1979" s="18"/>
      <c r="Q1979" s="22"/>
      <c r="R1979" s="22"/>
      <c r="S1979" s="22"/>
      <c r="Z1979" s="53"/>
      <c r="AA1979"/>
      <c r="AH1979" t="str">
        <f t="shared" si="292"/>
        <v>k yet</v>
      </c>
    </row>
    <row r="1980" spans="1:34">
      <c r="A1980" s="42" t="s">
        <v>264</v>
      </c>
      <c r="B1980" s="1" t="s">
        <v>20</v>
      </c>
      <c r="C1980" s="40" t="str">
        <f t="shared" si="289"/>
        <v>19-&gt;</v>
      </c>
      <c r="D1980" s="40" t="str">
        <f t="shared" si="290"/>
        <v xml:space="preserve">No pick yet                                                 </v>
      </c>
      <c r="E1980" s="52">
        <f t="shared" si="291"/>
        <v>0</v>
      </c>
      <c r="F1980" s="18"/>
      <c r="M1980" s="18"/>
      <c r="N1980" s="18"/>
      <c r="O1980" s="18"/>
      <c r="P1980" s="18"/>
      <c r="Q1980" s="22"/>
      <c r="R1980" s="21"/>
      <c r="S1980" s="21"/>
      <c r="T1980" s="21"/>
      <c r="AA1980"/>
      <c r="AH1980" t="str">
        <f t="shared" si="292"/>
        <v>k yet</v>
      </c>
    </row>
    <row r="1981" spans="1:34">
      <c r="A1981" s="42" t="s">
        <v>265</v>
      </c>
      <c r="B1981" s="1" t="s">
        <v>20</v>
      </c>
      <c r="C1981" s="40" t="str">
        <f t="shared" si="289"/>
        <v>20-&gt;</v>
      </c>
      <c r="D1981" s="40" t="str">
        <f t="shared" si="290"/>
        <v xml:space="preserve">No pick yet                                                 </v>
      </c>
      <c r="E1981" s="52">
        <f t="shared" si="291"/>
        <v>0</v>
      </c>
      <c r="F1981" s="18"/>
      <c r="M1981" s="18"/>
      <c r="N1981" s="18"/>
      <c r="O1981" s="18"/>
      <c r="P1981" s="18"/>
      <c r="Q1981" s="22"/>
      <c r="R1981" s="21"/>
      <c r="S1981" s="21"/>
      <c r="T1981" s="21"/>
      <c r="AA1981"/>
      <c r="AH1981" t="str">
        <f t="shared" si="292"/>
        <v>k yet</v>
      </c>
    </row>
    <row r="1982" spans="1:34">
      <c r="A1982" s="42" t="s">
        <v>266</v>
      </c>
      <c r="B1982" s="1" t="s">
        <v>20</v>
      </c>
      <c r="C1982" s="40" t="str">
        <f t="shared" si="289"/>
        <v>21-&gt;</v>
      </c>
      <c r="D1982" s="40" t="str">
        <f t="shared" si="290"/>
        <v xml:space="preserve">No pick yet                                                 </v>
      </c>
      <c r="E1982" s="52">
        <f t="shared" si="291"/>
        <v>0</v>
      </c>
      <c r="F1982" s="18"/>
      <c r="M1982" s="18"/>
      <c r="N1982" s="18"/>
      <c r="O1982" s="18"/>
      <c r="P1982" s="18"/>
      <c r="Q1982" s="22"/>
      <c r="R1982" s="21"/>
      <c r="S1982" s="21"/>
      <c r="T1982" s="21"/>
      <c r="AA1982"/>
      <c r="AH1982" t="str">
        <f t="shared" si="292"/>
        <v>k yet</v>
      </c>
    </row>
    <row r="1983" spans="1:34">
      <c r="A1983" s="42" t="s">
        <v>267</v>
      </c>
      <c r="B1983" s="1" t="s">
        <v>20</v>
      </c>
      <c r="C1983" s="40" t="str">
        <f t="shared" si="289"/>
        <v>22-&gt;</v>
      </c>
      <c r="D1983" s="40" t="str">
        <f t="shared" si="290"/>
        <v xml:space="preserve">No pick yet                                                 </v>
      </c>
      <c r="E1983" s="52">
        <f t="shared" si="291"/>
        <v>0</v>
      </c>
      <c r="F1983" s="18"/>
      <c r="M1983" s="18"/>
      <c r="N1983" s="18"/>
      <c r="O1983" s="18"/>
      <c r="P1983" s="18"/>
      <c r="Q1983" s="22"/>
      <c r="R1983" s="21"/>
      <c r="S1983" s="21"/>
      <c r="T1983" s="21"/>
      <c r="AA1983"/>
      <c r="AH1983" t="str">
        <f t="shared" si="292"/>
        <v>k yet</v>
      </c>
    </row>
    <row r="1984" spans="1:34">
      <c r="A1984" s="42" t="s">
        <v>268</v>
      </c>
      <c r="B1984" s="1" t="s">
        <v>20</v>
      </c>
      <c r="C1984" s="40" t="str">
        <f t="shared" si="289"/>
        <v>23-&gt;</v>
      </c>
      <c r="D1984" s="40" t="str">
        <f t="shared" si="290"/>
        <v xml:space="preserve">No pick yet                                                 </v>
      </c>
      <c r="E1984" s="52">
        <f t="shared" si="291"/>
        <v>0</v>
      </c>
      <c r="F1984" s="18"/>
      <c r="M1984" s="18"/>
      <c r="N1984" s="18"/>
      <c r="O1984" s="18"/>
      <c r="P1984" s="18"/>
      <c r="Q1984" s="22"/>
      <c r="R1984" s="21"/>
      <c r="S1984" s="21"/>
      <c r="T1984" s="21"/>
      <c r="AA1984"/>
      <c r="AH1984" t="str">
        <f t="shared" si="292"/>
        <v>k yet</v>
      </c>
    </row>
    <row r="1985" spans="1:39">
      <c r="A1985" s="42" t="s">
        <v>269</v>
      </c>
      <c r="B1985" s="1" t="s">
        <v>20</v>
      </c>
      <c r="C1985" s="40" t="str">
        <f t="shared" si="289"/>
        <v>24-&gt;</v>
      </c>
      <c r="D1985" s="40" t="str">
        <f t="shared" si="290"/>
        <v xml:space="preserve">No pick yet                                                 </v>
      </c>
      <c r="E1985" s="52">
        <f t="shared" si="291"/>
        <v>0</v>
      </c>
      <c r="F1985" s="18"/>
      <c r="M1985" s="18"/>
      <c r="N1985" s="18"/>
      <c r="O1985" s="18"/>
      <c r="P1985" s="18"/>
      <c r="Q1985" s="22"/>
      <c r="R1985" s="21"/>
      <c r="S1985" s="21"/>
      <c r="T1985" s="21"/>
      <c r="AA1985"/>
      <c r="AH1985" t="str">
        <f t="shared" si="292"/>
        <v>k yet</v>
      </c>
    </row>
    <row r="1986" spans="1:39">
      <c r="A1986" s="42" t="s">
        <v>270</v>
      </c>
      <c r="B1986" s="1" t="s">
        <v>20</v>
      </c>
      <c r="C1986" s="40" t="str">
        <f t="shared" si="289"/>
        <v>25-&gt;</v>
      </c>
      <c r="D1986" s="40" t="str">
        <f t="shared" si="290"/>
        <v xml:space="preserve">No pick yet                                                 </v>
      </c>
      <c r="E1986" s="52">
        <f t="shared" si="291"/>
        <v>0</v>
      </c>
      <c r="F1986" s="18"/>
      <c r="M1986" s="18"/>
      <c r="N1986" s="18"/>
      <c r="O1986" s="18"/>
      <c r="P1986" s="18"/>
      <c r="Q1986" s="22"/>
      <c r="R1986" s="21"/>
      <c r="S1986" s="21"/>
      <c r="T1986" s="21"/>
      <c r="AA1986"/>
      <c r="AH1986" t="str">
        <f t="shared" si="292"/>
        <v>k yet</v>
      </c>
    </row>
    <row r="1987" spans="1:39">
      <c r="A1987" s="42" t="s">
        <v>271</v>
      </c>
      <c r="B1987" s="1" t="s">
        <v>20</v>
      </c>
      <c r="C1987" s="40" t="str">
        <f t="shared" si="289"/>
        <v>26-&gt;</v>
      </c>
      <c r="D1987" s="40" t="str">
        <f t="shared" si="290"/>
        <v xml:space="preserve">No pick yet                                                 </v>
      </c>
      <c r="E1987" s="52">
        <f t="shared" si="291"/>
        <v>0</v>
      </c>
      <c r="F1987" s="18"/>
      <c r="M1987" s="18"/>
      <c r="N1987" s="18"/>
      <c r="O1987" s="18"/>
      <c r="P1987" s="18"/>
      <c r="Q1987" s="22"/>
      <c r="R1987" s="21"/>
      <c r="S1987" s="21"/>
      <c r="T1987" s="21"/>
      <c r="AA1987"/>
      <c r="AH1987" t="str">
        <f t="shared" si="292"/>
        <v>k yet</v>
      </c>
    </row>
    <row r="1988" spans="1:39">
      <c r="A1988" s="38"/>
      <c r="B1988" s="40"/>
      <c r="C1988" s="40"/>
      <c r="D1988" s="49"/>
      <c r="E1988" s="41" t="s">
        <v>69</v>
      </c>
      <c r="F1988" s="18"/>
      <c r="K1988" s="22" t="s">
        <v>73</v>
      </c>
      <c r="L1988" s="18" t="s">
        <v>74</v>
      </c>
      <c r="M1988" s="22" t="s">
        <v>78</v>
      </c>
      <c r="N1988" s="22" t="s">
        <v>79</v>
      </c>
      <c r="O1988" s="22" t="s">
        <v>80</v>
      </c>
      <c r="P1988" s="22" t="s">
        <v>81</v>
      </c>
      <c r="Q1988" s="22" t="s">
        <v>82</v>
      </c>
      <c r="R1988" s="22" t="s">
        <v>83</v>
      </c>
      <c r="S1988" s="22" t="s">
        <v>84</v>
      </c>
      <c r="T1988" s="18" t="s">
        <v>85</v>
      </c>
      <c r="U1988" s="18" t="s">
        <v>86</v>
      </c>
      <c r="V1988" s="18" t="s">
        <v>87</v>
      </c>
      <c r="W1988" s="18" t="s">
        <v>88</v>
      </c>
      <c r="X1988" s="18" t="s">
        <v>89</v>
      </c>
      <c r="Y1988" s="18" t="s">
        <v>90</v>
      </c>
      <c r="Z1988" s="18" t="s">
        <v>91</v>
      </c>
      <c r="AA1988" s="18" t="s">
        <v>92</v>
      </c>
      <c r="AB1988" s="18" t="s">
        <v>93</v>
      </c>
      <c r="AC1988" s="18" t="s">
        <v>94</v>
      </c>
      <c r="AD1988" s="18" t="s">
        <v>235</v>
      </c>
      <c r="AE1988" s="18" t="s">
        <v>236</v>
      </c>
      <c r="AF1988" s="18" t="s">
        <v>237</v>
      </c>
      <c r="AG1988" s="18" t="s">
        <v>238</v>
      </c>
      <c r="AH1988" s="18" t="s">
        <v>239</v>
      </c>
      <c r="AI1988" s="18" t="s">
        <v>240</v>
      </c>
      <c r="AJ1988" s="18" t="s">
        <v>241</v>
      </c>
      <c r="AK1988" s="18" t="s">
        <v>242</v>
      </c>
      <c r="AL1988" s="18" t="s">
        <v>243</v>
      </c>
      <c r="AM1988" s="50" t="s">
        <v>244</v>
      </c>
    </row>
    <row r="1989" spans="1:39">
      <c r="A1989" s="40" t="s">
        <v>245</v>
      </c>
      <c r="B1989" s="51" t="str">
        <f>D70</f>
        <v/>
      </c>
      <c r="C1989" s="40" t="str">
        <f t="shared" ref="C1989:C2015" si="293">A1989</f>
        <v>#</v>
      </c>
      <c r="D1989" s="40" t="str">
        <f>"   "&amp;B1989&amp;REPT(" ",$AH$70-LEN(B1989)-3)</f>
        <v xml:space="preserve">                                                            </v>
      </c>
      <c r="E1989" s="38" t="str">
        <f>SUM(E1990:E2015)&amp;" pts[/b]"</f>
        <v>0 pts[/b]</v>
      </c>
      <c r="F1989" s="21">
        <f>SUM(E1990:E2015)</f>
        <v>0</v>
      </c>
      <c r="K1989" s="18">
        <f>COUNTIF(E1990:E2015,"&gt;0")</f>
        <v>0</v>
      </c>
      <c r="L1989" s="21">
        <f>AM1989-K1989</f>
        <v>0</v>
      </c>
      <c r="M1989" s="22">
        <f>MAX(E1990:E2015)</f>
        <v>0</v>
      </c>
      <c r="N1989" s="22">
        <f>LARGE(E1990:E2015,2)</f>
        <v>0</v>
      </c>
      <c r="O1989" s="22">
        <f>LARGE(E1990:E2015,3)</f>
        <v>0</v>
      </c>
      <c r="P1989" s="18">
        <f>LARGE(E1990:E2015,4)</f>
        <v>0</v>
      </c>
      <c r="Q1989" s="22">
        <f>LARGE(E1990:E2015,5)</f>
        <v>0</v>
      </c>
      <c r="R1989" s="22">
        <f>LARGE(E1990:E2015,6)</f>
        <v>0</v>
      </c>
      <c r="S1989" s="22">
        <f>LARGE(E1990:E2015,7)</f>
        <v>0</v>
      </c>
      <c r="T1989" s="18">
        <f>LARGE(E1990:E2015,8)</f>
        <v>0</v>
      </c>
      <c r="U1989" s="18">
        <f>LARGE(E1990:E2015,9)</f>
        <v>0</v>
      </c>
      <c r="V1989" s="18">
        <f>LARGE(E1990:E2015,10)</f>
        <v>0</v>
      </c>
      <c r="W1989" s="18">
        <f>LARGE(E1990:E2015,11)</f>
        <v>0</v>
      </c>
      <c r="X1989" s="18">
        <f>LARGE(E1990:E2015,12)</f>
        <v>0</v>
      </c>
      <c r="Y1989" s="18">
        <f>LARGE(E1990:E2015,13)</f>
        <v>0</v>
      </c>
      <c r="Z1989" s="18">
        <f>LARGE(E1990:E2015,14)</f>
        <v>0</v>
      </c>
      <c r="AA1989" s="18">
        <f>LARGE(E1990:E2015,15)</f>
        <v>0</v>
      </c>
      <c r="AB1989" s="18">
        <f>LARGE(E1990:E2015,16)</f>
        <v>0</v>
      </c>
      <c r="AC1989" s="18">
        <f>LARGE(E1990:E2015,17)</f>
        <v>0</v>
      </c>
      <c r="AD1989" s="18">
        <f>LARGE(E1990:E2016,13)</f>
        <v>0</v>
      </c>
      <c r="AE1989" s="18">
        <f>LARGE(E1990:E2015,19)</f>
        <v>0</v>
      </c>
      <c r="AF1989" s="18">
        <f>LARGE(E1990:E2015,20)</f>
        <v>0</v>
      </c>
      <c r="AG1989" s="18">
        <f>LARGE(E1990:E2015,21)</f>
        <v>0</v>
      </c>
      <c r="AH1989" s="18">
        <f>LARGE(E1990:E2015,22)</f>
        <v>0</v>
      </c>
      <c r="AI1989" s="18">
        <f>LARGE(E1990:E2015,23)</f>
        <v>0</v>
      </c>
      <c r="AJ1989" s="18">
        <f>LARGE(E1990:E2015,24)</f>
        <v>0</v>
      </c>
      <c r="AK1989" s="18">
        <f>LARGE(E1990:E2015,25)</f>
        <v>0</v>
      </c>
      <c r="AL1989" s="18">
        <f>LARGE(E1990:E2015,26)</f>
        <v>0</v>
      </c>
      <c r="AM1989" s="50">
        <f>COUNTIF(AH1990:AH2015,"&lt;&gt;"&amp;$AH$76)-(26-COUNTIF(E1990:E2015,"&gt;=0"))</f>
        <v>0</v>
      </c>
    </row>
    <row r="1990" spans="1:39">
      <c r="A1990" s="42" t="s">
        <v>246</v>
      </c>
      <c r="B1990" s="1" t="s">
        <v>20</v>
      </c>
      <c r="C1990" s="40" t="str">
        <f t="shared" si="293"/>
        <v>01-&gt;</v>
      </c>
      <c r="D1990" s="40" t="str">
        <f t="shared" ref="D1990:D2015" si="294">B1990&amp;REPT(" ",$AH$70-LEN(B1990))</f>
        <v xml:space="preserve">No pick yet                                                 </v>
      </c>
      <c r="E1990" s="52">
        <f t="shared" ref="E1990:E2015" si="295">VLOOKUP(RIGHT(B1990,LEN(B1990)-$AH$66),$H$138:$I$420,2,0)</f>
        <v>0</v>
      </c>
      <c r="F1990" s="18"/>
      <c r="M1990" s="18"/>
      <c r="N1990" s="18"/>
      <c r="O1990" s="18"/>
      <c r="P1990" s="18"/>
      <c r="Q1990" s="22"/>
      <c r="R1990" s="21"/>
      <c r="S1990" s="21"/>
      <c r="T1990" s="21"/>
      <c r="AA1990"/>
      <c r="AH1990" t="str">
        <f t="shared" ref="AH1990:AH2015" si="296">RIGHT(B1990,LEN(B1990)-$AH$66)</f>
        <v>k yet</v>
      </c>
    </row>
    <row r="1991" spans="1:39">
      <c r="A1991" s="42" t="s">
        <v>247</v>
      </c>
      <c r="B1991" s="1" t="s">
        <v>20</v>
      </c>
      <c r="C1991" s="40" t="str">
        <f t="shared" si="293"/>
        <v>02-&gt;</v>
      </c>
      <c r="D1991" s="40" t="str">
        <f t="shared" si="294"/>
        <v xml:space="preserve">No pick yet                                                 </v>
      </c>
      <c r="E1991" s="52">
        <f t="shared" si="295"/>
        <v>0</v>
      </c>
      <c r="F1991" s="18"/>
      <c r="K1991" s="22"/>
      <c r="N1991" s="22"/>
      <c r="O1991" s="22"/>
      <c r="P1991" s="22"/>
      <c r="Q1991" s="22"/>
      <c r="R1991" s="22"/>
      <c r="S1991" s="22"/>
      <c r="Z1991" s="53"/>
      <c r="AA1991"/>
      <c r="AH1991" t="str">
        <f t="shared" si="296"/>
        <v>k yet</v>
      </c>
    </row>
    <row r="1992" spans="1:39">
      <c r="A1992" s="42" t="s">
        <v>248</v>
      </c>
      <c r="B1992" s="1" t="s">
        <v>20</v>
      </c>
      <c r="C1992" s="40" t="str">
        <f t="shared" si="293"/>
        <v>03-&gt;</v>
      </c>
      <c r="D1992" s="40" t="str">
        <f t="shared" si="294"/>
        <v xml:space="preserve">No pick yet                                                 </v>
      </c>
      <c r="E1992" s="52">
        <f t="shared" si="295"/>
        <v>0</v>
      </c>
      <c r="F1992" s="18"/>
      <c r="L1992" s="21"/>
      <c r="N1992" s="22"/>
      <c r="O1992" s="22"/>
      <c r="P1992" s="18"/>
      <c r="Q1992" s="22"/>
      <c r="R1992" s="22"/>
      <c r="S1992" s="22"/>
      <c r="Z1992" s="53"/>
      <c r="AA1992"/>
      <c r="AH1992" t="str">
        <f t="shared" si="296"/>
        <v>k yet</v>
      </c>
    </row>
    <row r="1993" spans="1:39">
      <c r="A1993" s="42" t="s">
        <v>249</v>
      </c>
      <c r="B1993" s="1" t="s">
        <v>20</v>
      </c>
      <c r="C1993" s="40" t="str">
        <f t="shared" si="293"/>
        <v>04-&gt;</v>
      </c>
      <c r="D1993" s="40" t="str">
        <f t="shared" si="294"/>
        <v xml:space="preserve">No pick yet                                                 </v>
      </c>
      <c r="E1993" s="52">
        <f t="shared" si="295"/>
        <v>0</v>
      </c>
      <c r="F1993" s="18"/>
      <c r="M1993" s="18"/>
      <c r="N1993" s="18"/>
      <c r="O1993" s="18"/>
      <c r="P1993" s="18"/>
      <c r="Q1993" s="22"/>
      <c r="R1993" s="21"/>
      <c r="S1993" s="21"/>
      <c r="T1993" s="21"/>
      <c r="AA1993"/>
      <c r="AH1993" t="str">
        <f t="shared" si="296"/>
        <v>k yet</v>
      </c>
    </row>
    <row r="1994" spans="1:39">
      <c r="A1994" s="42" t="s">
        <v>250</v>
      </c>
      <c r="B1994" s="1" t="s">
        <v>20</v>
      </c>
      <c r="C1994" s="40" t="str">
        <f t="shared" si="293"/>
        <v>05-&gt;</v>
      </c>
      <c r="D1994" s="40" t="str">
        <f t="shared" si="294"/>
        <v xml:space="preserve">No pick yet                                                 </v>
      </c>
      <c r="E1994" s="52">
        <f t="shared" si="295"/>
        <v>0</v>
      </c>
      <c r="F1994" s="18"/>
      <c r="M1994" s="18"/>
      <c r="N1994" s="18"/>
      <c r="O1994" s="18"/>
      <c r="P1994" s="18"/>
      <c r="Q1994" s="22"/>
      <c r="R1994" s="21"/>
      <c r="S1994" s="21"/>
      <c r="T1994" s="21"/>
      <c r="AA1994"/>
      <c r="AH1994" t="str">
        <f t="shared" si="296"/>
        <v>k yet</v>
      </c>
    </row>
    <row r="1995" spans="1:39">
      <c r="A1995" s="42" t="s">
        <v>251</v>
      </c>
      <c r="B1995" s="1" t="s">
        <v>20</v>
      </c>
      <c r="C1995" s="40" t="str">
        <f t="shared" si="293"/>
        <v>06-&gt;</v>
      </c>
      <c r="D1995" s="40" t="str">
        <f t="shared" si="294"/>
        <v xml:space="preserve">No pick yet                                                 </v>
      </c>
      <c r="E1995" s="52">
        <f t="shared" si="295"/>
        <v>0</v>
      </c>
      <c r="F1995" s="18"/>
      <c r="M1995" s="18"/>
      <c r="N1995" s="18"/>
      <c r="O1995" s="18"/>
      <c r="P1995" s="18"/>
      <c r="Q1995" s="22"/>
      <c r="R1995" s="21"/>
      <c r="S1995" s="21"/>
      <c r="T1995" s="21"/>
      <c r="AA1995"/>
      <c r="AH1995" t="str">
        <f t="shared" si="296"/>
        <v>k yet</v>
      </c>
    </row>
    <row r="1996" spans="1:39">
      <c r="A1996" s="42" t="s">
        <v>252</v>
      </c>
      <c r="B1996" s="1" t="s">
        <v>20</v>
      </c>
      <c r="C1996" s="40" t="str">
        <f t="shared" si="293"/>
        <v>07-&gt;</v>
      </c>
      <c r="D1996" s="40" t="str">
        <f t="shared" si="294"/>
        <v xml:space="preserve">No pick yet                                                 </v>
      </c>
      <c r="E1996" s="52">
        <f t="shared" si="295"/>
        <v>0</v>
      </c>
      <c r="F1996" s="18"/>
      <c r="M1996" s="18"/>
      <c r="N1996" s="18"/>
      <c r="O1996" s="18"/>
      <c r="P1996" s="18"/>
      <c r="Q1996" s="22"/>
      <c r="R1996" s="21"/>
      <c r="S1996" s="21"/>
      <c r="T1996" s="21"/>
      <c r="AA1996"/>
      <c r="AH1996" t="str">
        <f t="shared" si="296"/>
        <v>k yet</v>
      </c>
    </row>
    <row r="1997" spans="1:39">
      <c r="A1997" s="42" t="s">
        <v>253</v>
      </c>
      <c r="B1997" s="1" t="s">
        <v>20</v>
      </c>
      <c r="C1997" s="40" t="str">
        <f t="shared" si="293"/>
        <v>08-&gt;</v>
      </c>
      <c r="D1997" s="40" t="str">
        <f t="shared" si="294"/>
        <v xml:space="preserve">No pick yet                                                 </v>
      </c>
      <c r="E1997" s="52">
        <f t="shared" si="295"/>
        <v>0</v>
      </c>
      <c r="F1997" s="18"/>
      <c r="M1997" s="18"/>
      <c r="N1997" s="18"/>
      <c r="O1997" s="18"/>
      <c r="P1997" s="18"/>
      <c r="Q1997" s="22"/>
      <c r="R1997" s="21"/>
      <c r="S1997" s="21"/>
      <c r="T1997" s="21"/>
      <c r="AA1997"/>
      <c r="AH1997" t="str">
        <f t="shared" si="296"/>
        <v>k yet</v>
      </c>
    </row>
    <row r="1998" spans="1:39">
      <c r="A1998" s="42" t="s">
        <v>254</v>
      </c>
      <c r="B1998" s="1" t="s">
        <v>20</v>
      </c>
      <c r="C1998" s="40" t="str">
        <f t="shared" si="293"/>
        <v>09-&gt;</v>
      </c>
      <c r="D1998" s="40" t="str">
        <f t="shared" si="294"/>
        <v xml:space="preserve">No pick yet                                                 </v>
      </c>
      <c r="E1998" s="52">
        <f t="shared" si="295"/>
        <v>0</v>
      </c>
      <c r="F1998" s="18"/>
      <c r="M1998" s="18"/>
      <c r="N1998" s="18"/>
      <c r="O1998" s="18"/>
      <c r="P1998" s="18"/>
      <c r="Q1998" s="22"/>
      <c r="R1998" s="21"/>
      <c r="S1998" s="21"/>
      <c r="T1998" s="21"/>
      <c r="AA1998"/>
      <c r="AH1998" t="str">
        <f t="shared" si="296"/>
        <v>k yet</v>
      </c>
    </row>
    <row r="1999" spans="1:39">
      <c r="A1999" s="42" t="s">
        <v>255</v>
      </c>
      <c r="B1999" s="1" t="s">
        <v>20</v>
      </c>
      <c r="C1999" s="40" t="str">
        <f t="shared" si="293"/>
        <v>10-&gt;</v>
      </c>
      <c r="D1999" s="40" t="str">
        <f t="shared" si="294"/>
        <v xml:space="preserve">No pick yet                                                 </v>
      </c>
      <c r="E1999" s="52">
        <f t="shared" si="295"/>
        <v>0</v>
      </c>
      <c r="F1999" s="22"/>
      <c r="M1999" s="18"/>
      <c r="N1999" s="18"/>
      <c r="O1999" s="18"/>
      <c r="P1999" s="18"/>
      <c r="Q1999" s="22"/>
      <c r="R1999" s="21"/>
      <c r="S1999" s="21"/>
      <c r="T1999" s="21"/>
      <c r="AA1999"/>
      <c r="AH1999" t="str">
        <f t="shared" si="296"/>
        <v>k yet</v>
      </c>
    </row>
    <row r="2000" spans="1:39">
      <c r="A2000" s="42" t="s">
        <v>256</v>
      </c>
      <c r="B2000" s="1" t="s">
        <v>20</v>
      </c>
      <c r="C2000" s="40" t="str">
        <f t="shared" si="293"/>
        <v>11-&gt;</v>
      </c>
      <c r="D2000" s="40" t="str">
        <f t="shared" si="294"/>
        <v xml:space="preserve">No pick yet                                                 </v>
      </c>
      <c r="E2000" s="52">
        <f t="shared" si="295"/>
        <v>0</v>
      </c>
      <c r="M2000" s="18"/>
      <c r="N2000" s="18"/>
      <c r="O2000" s="18"/>
      <c r="P2000" s="18"/>
      <c r="Q2000" s="22"/>
      <c r="R2000" s="21"/>
      <c r="S2000" s="21"/>
      <c r="T2000" s="21"/>
      <c r="AA2000"/>
      <c r="AH2000" t="str">
        <f t="shared" si="296"/>
        <v>k yet</v>
      </c>
    </row>
    <row r="2001" spans="1:39">
      <c r="A2001" s="42" t="s">
        <v>257</v>
      </c>
      <c r="B2001" s="1" t="s">
        <v>20</v>
      </c>
      <c r="C2001" s="40" t="str">
        <f t="shared" si="293"/>
        <v>12-&gt;</v>
      </c>
      <c r="D2001" s="40" t="str">
        <f t="shared" si="294"/>
        <v xml:space="preserve">No pick yet                                                 </v>
      </c>
      <c r="E2001" s="52">
        <f t="shared" si="295"/>
        <v>0</v>
      </c>
      <c r="M2001" s="18"/>
      <c r="N2001" s="18"/>
      <c r="O2001" s="18"/>
      <c r="P2001" s="18"/>
      <c r="Q2001" s="22"/>
      <c r="R2001" s="21"/>
      <c r="S2001" s="21"/>
      <c r="T2001" s="21"/>
      <c r="AA2001"/>
      <c r="AH2001" t="str">
        <f t="shared" si="296"/>
        <v>k yet</v>
      </c>
    </row>
    <row r="2002" spans="1:39">
      <c r="A2002" s="42" t="s">
        <v>258</v>
      </c>
      <c r="B2002" s="1" t="s">
        <v>20</v>
      </c>
      <c r="C2002" s="40" t="str">
        <f t="shared" si="293"/>
        <v>13-&gt;</v>
      </c>
      <c r="D2002" s="40" t="str">
        <f t="shared" si="294"/>
        <v xml:space="preserve">No pick yet                                                 </v>
      </c>
      <c r="E2002" s="52">
        <f t="shared" si="295"/>
        <v>0</v>
      </c>
      <c r="M2002" s="18"/>
      <c r="N2002" s="18"/>
      <c r="O2002" s="18"/>
      <c r="P2002" s="18"/>
      <c r="Q2002" s="22"/>
      <c r="R2002" s="21"/>
      <c r="S2002" s="21"/>
      <c r="T2002" s="21"/>
      <c r="AA2002"/>
      <c r="AH2002" t="str">
        <f t="shared" si="296"/>
        <v>k yet</v>
      </c>
    </row>
    <row r="2003" spans="1:39">
      <c r="A2003" s="42" t="s">
        <v>259</v>
      </c>
      <c r="B2003" s="1" t="s">
        <v>20</v>
      </c>
      <c r="C2003" s="40" t="str">
        <f t="shared" si="293"/>
        <v>14-&gt;</v>
      </c>
      <c r="D2003" s="40" t="str">
        <f t="shared" si="294"/>
        <v xml:space="preserve">No pick yet                                                 </v>
      </c>
      <c r="E2003" s="52">
        <f t="shared" si="295"/>
        <v>0</v>
      </c>
      <c r="M2003" s="18"/>
      <c r="N2003" s="18"/>
      <c r="O2003" s="18"/>
      <c r="P2003" s="18"/>
      <c r="Q2003" s="22"/>
      <c r="R2003" s="21"/>
      <c r="S2003" s="21"/>
      <c r="T2003" s="21"/>
      <c r="AA2003"/>
      <c r="AH2003" t="str">
        <f t="shared" si="296"/>
        <v>k yet</v>
      </c>
    </row>
    <row r="2004" spans="1:39">
      <c r="A2004" s="42" t="s">
        <v>260</v>
      </c>
      <c r="B2004" s="1" t="s">
        <v>20</v>
      </c>
      <c r="C2004" s="40" t="str">
        <f t="shared" si="293"/>
        <v>15-&gt;</v>
      </c>
      <c r="D2004" s="40" t="str">
        <f t="shared" si="294"/>
        <v xml:space="preserve">No pick yet                                                 </v>
      </c>
      <c r="E2004" s="52">
        <f t="shared" si="295"/>
        <v>0</v>
      </c>
      <c r="M2004" s="18"/>
      <c r="N2004" s="18"/>
      <c r="O2004" s="18"/>
      <c r="P2004" s="18"/>
      <c r="Q2004" s="22"/>
      <c r="R2004" s="21"/>
      <c r="S2004" s="21"/>
      <c r="T2004" s="21"/>
      <c r="AA2004"/>
      <c r="AH2004" t="str">
        <f t="shared" si="296"/>
        <v>k yet</v>
      </c>
    </row>
    <row r="2005" spans="1:39">
      <c r="A2005" s="42" t="s">
        <v>261</v>
      </c>
      <c r="B2005" s="1" t="s">
        <v>20</v>
      </c>
      <c r="C2005" s="40" t="str">
        <f t="shared" si="293"/>
        <v>16-&gt;</v>
      </c>
      <c r="D2005" s="40" t="str">
        <f t="shared" si="294"/>
        <v xml:space="preserve">No pick yet                                                 </v>
      </c>
      <c r="E2005" s="52">
        <f t="shared" si="295"/>
        <v>0</v>
      </c>
      <c r="M2005" s="18"/>
      <c r="N2005" s="18"/>
      <c r="O2005" s="18"/>
      <c r="P2005" s="18"/>
      <c r="Q2005" s="22"/>
      <c r="R2005" s="21"/>
      <c r="S2005" s="21"/>
      <c r="T2005" s="21"/>
      <c r="AA2005"/>
      <c r="AH2005" t="str">
        <f t="shared" si="296"/>
        <v>k yet</v>
      </c>
    </row>
    <row r="2006" spans="1:39">
      <c r="A2006" s="42" t="s">
        <v>262</v>
      </c>
      <c r="B2006" s="1" t="s">
        <v>20</v>
      </c>
      <c r="C2006" s="40" t="str">
        <f t="shared" si="293"/>
        <v>17-&gt;</v>
      </c>
      <c r="D2006" s="40" t="str">
        <f t="shared" si="294"/>
        <v xml:space="preserve">No pick yet                                                 </v>
      </c>
      <c r="E2006" s="52">
        <f t="shared" si="295"/>
        <v>0</v>
      </c>
      <c r="K2006" s="22"/>
      <c r="N2006" s="22"/>
      <c r="O2006" s="22"/>
      <c r="P2006" s="22"/>
      <c r="Q2006" s="22"/>
      <c r="R2006" s="22"/>
      <c r="S2006" s="22"/>
      <c r="Z2006" s="53"/>
      <c r="AA2006"/>
      <c r="AH2006" t="str">
        <f t="shared" si="296"/>
        <v>k yet</v>
      </c>
    </row>
    <row r="2007" spans="1:39">
      <c r="A2007" s="42" t="s">
        <v>263</v>
      </c>
      <c r="B2007" s="1" t="s">
        <v>20</v>
      </c>
      <c r="C2007" s="40" t="str">
        <f t="shared" si="293"/>
        <v>18-&gt;</v>
      </c>
      <c r="D2007" s="40" t="str">
        <f t="shared" si="294"/>
        <v xml:space="preserve">No pick yet                                                 </v>
      </c>
      <c r="E2007" s="52">
        <f t="shared" si="295"/>
        <v>0</v>
      </c>
      <c r="F2007" s="18"/>
      <c r="L2007" s="21"/>
      <c r="N2007" s="22"/>
      <c r="O2007" s="22"/>
      <c r="P2007" s="18"/>
      <c r="Q2007" s="22"/>
      <c r="R2007" s="22"/>
      <c r="S2007" s="22"/>
      <c r="Z2007" s="53"/>
      <c r="AA2007"/>
      <c r="AH2007" t="str">
        <f t="shared" si="296"/>
        <v>k yet</v>
      </c>
    </row>
    <row r="2008" spans="1:39">
      <c r="A2008" s="42" t="s">
        <v>264</v>
      </c>
      <c r="B2008" s="1" t="s">
        <v>20</v>
      </c>
      <c r="C2008" s="40" t="str">
        <f t="shared" si="293"/>
        <v>19-&gt;</v>
      </c>
      <c r="D2008" s="40" t="str">
        <f t="shared" si="294"/>
        <v xml:space="preserve">No pick yet                                                 </v>
      </c>
      <c r="E2008" s="52">
        <f t="shared" si="295"/>
        <v>0</v>
      </c>
      <c r="F2008" s="18"/>
      <c r="M2008" s="18"/>
      <c r="N2008" s="18"/>
      <c r="O2008" s="18"/>
      <c r="P2008" s="18"/>
      <c r="Q2008" s="22"/>
      <c r="R2008" s="21"/>
      <c r="S2008" s="21"/>
      <c r="T2008" s="21"/>
      <c r="AA2008"/>
      <c r="AH2008" t="str">
        <f t="shared" si="296"/>
        <v>k yet</v>
      </c>
    </row>
    <row r="2009" spans="1:39">
      <c r="A2009" s="42" t="s">
        <v>265</v>
      </c>
      <c r="B2009" s="1" t="s">
        <v>20</v>
      </c>
      <c r="C2009" s="40" t="str">
        <f t="shared" si="293"/>
        <v>20-&gt;</v>
      </c>
      <c r="D2009" s="40" t="str">
        <f t="shared" si="294"/>
        <v xml:space="preserve">No pick yet                                                 </v>
      </c>
      <c r="E2009" s="52">
        <f t="shared" si="295"/>
        <v>0</v>
      </c>
      <c r="F2009" s="18"/>
      <c r="M2009" s="18"/>
      <c r="N2009" s="18"/>
      <c r="O2009" s="18"/>
      <c r="P2009" s="18"/>
      <c r="Q2009" s="22"/>
      <c r="R2009" s="21"/>
      <c r="S2009" s="21"/>
      <c r="T2009" s="21"/>
      <c r="AA2009"/>
      <c r="AH2009" t="str">
        <f t="shared" si="296"/>
        <v>k yet</v>
      </c>
    </row>
    <row r="2010" spans="1:39">
      <c r="A2010" s="42" t="s">
        <v>266</v>
      </c>
      <c r="B2010" s="1" t="s">
        <v>20</v>
      </c>
      <c r="C2010" s="40" t="str">
        <f t="shared" si="293"/>
        <v>21-&gt;</v>
      </c>
      <c r="D2010" s="40" t="str">
        <f t="shared" si="294"/>
        <v xml:space="preserve">No pick yet                                                 </v>
      </c>
      <c r="E2010" s="52">
        <f t="shared" si="295"/>
        <v>0</v>
      </c>
      <c r="F2010" s="18"/>
      <c r="M2010" s="18"/>
      <c r="N2010" s="18"/>
      <c r="O2010" s="18"/>
      <c r="P2010" s="18"/>
      <c r="Q2010" s="22"/>
      <c r="R2010" s="21"/>
      <c r="S2010" s="21"/>
      <c r="T2010" s="21"/>
      <c r="AA2010"/>
      <c r="AH2010" t="str">
        <f t="shared" si="296"/>
        <v>k yet</v>
      </c>
    </row>
    <row r="2011" spans="1:39">
      <c r="A2011" s="42" t="s">
        <v>267</v>
      </c>
      <c r="B2011" s="1" t="s">
        <v>20</v>
      </c>
      <c r="C2011" s="40" t="str">
        <f t="shared" si="293"/>
        <v>22-&gt;</v>
      </c>
      <c r="D2011" s="40" t="str">
        <f t="shared" si="294"/>
        <v xml:space="preserve">No pick yet                                                 </v>
      </c>
      <c r="E2011" s="52">
        <f t="shared" si="295"/>
        <v>0</v>
      </c>
      <c r="F2011" s="18"/>
      <c r="M2011" s="18"/>
      <c r="N2011" s="18"/>
      <c r="O2011" s="18"/>
      <c r="P2011" s="18"/>
      <c r="Q2011" s="22"/>
      <c r="R2011" s="21"/>
      <c r="S2011" s="21"/>
      <c r="T2011" s="21"/>
      <c r="AA2011"/>
      <c r="AH2011" t="str">
        <f t="shared" si="296"/>
        <v>k yet</v>
      </c>
    </row>
    <row r="2012" spans="1:39">
      <c r="A2012" s="42" t="s">
        <v>268</v>
      </c>
      <c r="B2012" s="1" t="s">
        <v>20</v>
      </c>
      <c r="C2012" s="40" t="str">
        <f t="shared" si="293"/>
        <v>23-&gt;</v>
      </c>
      <c r="D2012" s="40" t="str">
        <f t="shared" si="294"/>
        <v xml:space="preserve">No pick yet                                                 </v>
      </c>
      <c r="E2012" s="52">
        <f t="shared" si="295"/>
        <v>0</v>
      </c>
      <c r="F2012" s="18"/>
      <c r="M2012" s="18"/>
      <c r="N2012" s="18"/>
      <c r="O2012" s="18"/>
      <c r="P2012" s="18"/>
      <c r="Q2012" s="22"/>
      <c r="R2012" s="21"/>
      <c r="S2012" s="21"/>
      <c r="T2012" s="21"/>
      <c r="AA2012"/>
      <c r="AH2012" t="str">
        <f t="shared" si="296"/>
        <v>k yet</v>
      </c>
    </row>
    <row r="2013" spans="1:39">
      <c r="A2013" s="42" t="s">
        <v>269</v>
      </c>
      <c r="B2013" s="1" t="s">
        <v>20</v>
      </c>
      <c r="C2013" s="40" t="str">
        <f t="shared" si="293"/>
        <v>24-&gt;</v>
      </c>
      <c r="D2013" s="40" t="str">
        <f t="shared" si="294"/>
        <v xml:space="preserve">No pick yet                                                 </v>
      </c>
      <c r="E2013" s="52">
        <f t="shared" si="295"/>
        <v>0</v>
      </c>
      <c r="F2013" s="18"/>
      <c r="M2013" s="18"/>
      <c r="N2013" s="18"/>
      <c r="O2013" s="18"/>
      <c r="P2013" s="18"/>
      <c r="Q2013" s="22"/>
      <c r="R2013" s="21"/>
      <c r="S2013" s="21"/>
      <c r="T2013" s="21"/>
      <c r="AA2013"/>
      <c r="AH2013" t="str">
        <f t="shared" si="296"/>
        <v>k yet</v>
      </c>
    </row>
    <row r="2014" spans="1:39">
      <c r="A2014" s="42" t="s">
        <v>270</v>
      </c>
      <c r="B2014" s="1" t="s">
        <v>20</v>
      </c>
      <c r="C2014" s="40" t="str">
        <f t="shared" si="293"/>
        <v>25-&gt;</v>
      </c>
      <c r="D2014" s="40" t="str">
        <f t="shared" si="294"/>
        <v xml:space="preserve">No pick yet                                                 </v>
      </c>
      <c r="E2014" s="52">
        <f t="shared" si="295"/>
        <v>0</v>
      </c>
      <c r="F2014" s="18"/>
      <c r="M2014" s="18"/>
      <c r="N2014" s="18"/>
      <c r="O2014" s="18"/>
      <c r="P2014" s="18"/>
      <c r="Q2014" s="22"/>
      <c r="R2014" s="21"/>
      <c r="S2014" s="21"/>
      <c r="T2014" s="21"/>
      <c r="AA2014"/>
      <c r="AH2014" t="str">
        <f t="shared" si="296"/>
        <v>k yet</v>
      </c>
    </row>
    <row r="2015" spans="1:39">
      <c r="A2015" s="42" t="s">
        <v>271</v>
      </c>
      <c r="B2015" s="1" t="s">
        <v>20</v>
      </c>
      <c r="C2015" s="40" t="str">
        <f t="shared" si="293"/>
        <v>26-&gt;</v>
      </c>
      <c r="D2015" s="40" t="str">
        <f t="shared" si="294"/>
        <v xml:space="preserve">No pick yet                                                 </v>
      </c>
      <c r="E2015" s="52">
        <f t="shared" si="295"/>
        <v>0</v>
      </c>
      <c r="F2015" s="18"/>
      <c r="M2015" s="18"/>
      <c r="N2015" s="18"/>
      <c r="O2015" s="18"/>
      <c r="P2015" s="18"/>
      <c r="Q2015" s="22"/>
      <c r="R2015" s="21"/>
      <c r="S2015" s="21"/>
      <c r="T2015" s="21"/>
      <c r="AA2015"/>
      <c r="AH2015" t="str">
        <f t="shared" si="296"/>
        <v>k yet</v>
      </c>
    </row>
    <row r="2016" spans="1:39">
      <c r="A2016" s="38"/>
      <c r="B2016" s="40"/>
      <c r="C2016" s="40"/>
      <c r="D2016" s="49"/>
      <c r="E2016" s="41" t="s">
        <v>69</v>
      </c>
      <c r="F2016" s="18"/>
      <c r="K2016" s="22" t="s">
        <v>73</v>
      </c>
      <c r="L2016" s="18" t="s">
        <v>74</v>
      </c>
      <c r="M2016" s="22" t="s">
        <v>78</v>
      </c>
      <c r="N2016" s="22" t="s">
        <v>79</v>
      </c>
      <c r="O2016" s="22" t="s">
        <v>80</v>
      </c>
      <c r="P2016" s="22" t="s">
        <v>81</v>
      </c>
      <c r="Q2016" s="22" t="s">
        <v>82</v>
      </c>
      <c r="R2016" s="22" t="s">
        <v>83</v>
      </c>
      <c r="S2016" s="22" t="s">
        <v>84</v>
      </c>
      <c r="T2016" s="18" t="s">
        <v>85</v>
      </c>
      <c r="U2016" s="18" t="s">
        <v>86</v>
      </c>
      <c r="V2016" s="18" t="s">
        <v>87</v>
      </c>
      <c r="W2016" s="18" t="s">
        <v>88</v>
      </c>
      <c r="X2016" s="18" t="s">
        <v>89</v>
      </c>
      <c r="Y2016" s="18" t="s">
        <v>90</v>
      </c>
      <c r="Z2016" s="18" t="s">
        <v>91</v>
      </c>
      <c r="AA2016" s="18" t="s">
        <v>92</v>
      </c>
      <c r="AB2016" s="18" t="s">
        <v>93</v>
      </c>
      <c r="AC2016" s="18" t="s">
        <v>94</v>
      </c>
      <c r="AD2016" s="18" t="s">
        <v>235</v>
      </c>
      <c r="AE2016" s="18" t="s">
        <v>236</v>
      </c>
      <c r="AF2016" s="18" t="s">
        <v>237</v>
      </c>
      <c r="AG2016" s="18" t="s">
        <v>238</v>
      </c>
      <c r="AH2016" s="18" t="s">
        <v>239</v>
      </c>
      <c r="AI2016" s="18" t="s">
        <v>240</v>
      </c>
      <c r="AJ2016" s="18" t="s">
        <v>241</v>
      </c>
      <c r="AK2016" s="18" t="s">
        <v>242</v>
      </c>
      <c r="AL2016" s="18" t="s">
        <v>243</v>
      </c>
      <c r="AM2016" s="50" t="s">
        <v>244</v>
      </c>
    </row>
    <row r="2017" spans="1:39">
      <c r="A2017" s="40" t="s">
        <v>245</v>
      </c>
      <c r="B2017" s="51" t="str">
        <f>D71</f>
        <v/>
      </c>
      <c r="C2017" s="40" t="str">
        <f t="shared" ref="C2017:C2043" si="297">A2017</f>
        <v>#</v>
      </c>
      <c r="D2017" s="40" t="str">
        <f>"   "&amp;B2017&amp;REPT(" ",$AH$70-LEN(B2017)-3)</f>
        <v xml:space="preserve">                                                            </v>
      </c>
      <c r="E2017" s="38" t="str">
        <f>SUM(E2018:E2043)&amp;" pts[/b]"</f>
        <v>0 pts[/b]</v>
      </c>
      <c r="F2017" s="21">
        <f>SUM(E2018:E2043)</f>
        <v>0</v>
      </c>
      <c r="K2017" s="18">
        <f>COUNTIF(E2018:E2043,"&gt;0")</f>
        <v>0</v>
      </c>
      <c r="L2017" s="21">
        <f>AM2017-K2017</f>
        <v>0</v>
      </c>
      <c r="M2017" s="22">
        <f>MAX(E2018:E2043)</f>
        <v>0</v>
      </c>
      <c r="N2017" s="22">
        <f>LARGE(E2018:E2043,2)</f>
        <v>0</v>
      </c>
      <c r="O2017" s="22">
        <f>LARGE(E2018:E2043,3)</f>
        <v>0</v>
      </c>
      <c r="P2017" s="18">
        <f>LARGE(E2018:E2043,4)</f>
        <v>0</v>
      </c>
      <c r="Q2017" s="22">
        <f>LARGE(E2018:E2043,5)</f>
        <v>0</v>
      </c>
      <c r="R2017" s="22">
        <f>LARGE(E2018:E2043,6)</f>
        <v>0</v>
      </c>
      <c r="S2017" s="22">
        <f>LARGE(E2018:E2043,7)</f>
        <v>0</v>
      </c>
      <c r="T2017" s="18">
        <f>LARGE(E2018:E2043,8)</f>
        <v>0</v>
      </c>
      <c r="U2017" s="18">
        <f>LARGE(E2018:E2043,9)</f>
        <v>0</v>
      </c>
      <c r="V2017" s="18">
        <f>LARGE(E2018:E2043,10)</f>
        <v>0</v>
      </c>
      <c r="W2017" s="18">
        <f>LARGE(E2018:E2043,11)</f>
        <v>0</v>
      </c>
      <c r="X2017" s="18">
        <f>LARGE(E2018:E2043,12)</f>
        <v>0</v>
      </c>
      <c r="Y2017" s="18">
        <f>LARGE(E2018:E2043,13)</f>
        <v>0</v>
      </c>
      <c r="Z2017" s="18">
        <f>LARGE(E2018:E2043,14)</f>
        <v>0</v>
      </c>
      <c r="AA2017" s="18">
        <f>LARGE(E2018:E2043,15)</f>
        <v>0</v>
      </c>
      <c r="AB2017" s="18">
        <f>LARGE(E2018:E2043,16)</f>
        <v>0</v>
      </c>
      <c r="AC2017" s="18">
        <f>LARGE(E2018:E2043,17)</f>
        <v>0</v>
      </c>
      <c r="AD2017" s="18">
        <f>LARGE(E2018:E2044,13)</f>
        <v>0</v>
      </c>
      <c r="AE2017" s="18">
        <f>LARGE(E2018:E2043,19)</f>
        <v>0</v>
      </c>
      <c r="AF2017" s="18">
        <f>LARGE(E2018:E2043,20)</f>
        <v>0</v>
      </c>
      <c r="AG2017" s="18">
        <f>LARGE(E2018:E2043,21)</f>
        <v>0</v>
      </c>
      <c r="AH2017" s="18">
        <f>LARGE(E2018:E2043,22)</f>
        <v>0</v>
      </c>
      <c r="AI2017" s="18">
        <f>LARGE(E2018:E2043,23)</f>
        <v>0</v>
      </c>
      <c r="AJ2017" s="18">
        <f>LARGE(E2018:E2043,24)</f>
        <v>0</v>
      </c>
      <c r="AK2017" s="18">
        <f>LARGE(E2018:E2043,25)</f>
        <v>0</v>
      </c>
      <c r="AL2017" s="18">
        <f>LARGE(E2018:E2043,26)</f>
        <v>0</v>
      </c>
      <c r="AM2017" s="50">
        <f>COUNTIF(AH2018:AH2043,"&lt;&gt;"&amp;$AH$76)-(26-COUNTIF(E2018:E2043,"&gt;=0"))</f>
        <v>0</v>
      </c>
    </row>
    <row r="2018" spans="1:39">
      <c r="A2018" s="42" t="s">
        <v>246</v>
      </c>
      <c r="B2018" s="1" t="s">
        <v>20</v>
      </c>
      <c r="C2018" s="40" t="str">
        <f t="shared" si="297"/>
        <v>01-&gt;</v>
      </c>
      <c r="D2018" s="40" t="str">
        <f t="shared" ref="D2018:D2043" si="298">B2018&amp;REPT(" ",$AH$70-LEN(B2018))</f>
        <v xml:space="preserve">No pick yet                                                 </v>
      </c>
      <c r="E2018" s="52">
        <f t="shared" ref="E2018:E2043" si="299">VLOOKUP(RIGHT(B2018,LEN(B2018)-$AH$66),$H$138:$I$420,2,0)</f>
        <v>0</v>
      </c>
      <c r="F2018" s="18"/>
      <c r="M2018" s="18"/>
      <c r="N2018" s="18"/>
      <c r="O2018" s="18"/>
      <c r="P2018" s="18"/>
      <c r="Q2018" s="22"/>
      <c r="R2018" s="21"/>
      <c r="S2018" s="21"/>
      <c r="T2018" s="21"/>
      <c r="AA2018"/>
      <c r="AH2018" t="str">
        <f t="shared" ref="AH2018:AH2043" si="300">RIGHT(B2018,LEN(B2018)-$AH$66)</f>
        <v>k yet</v>
      </c>
    </row>
    <row r="2019" spans="1:39">
      <c r="A2019" s="42" t="s">
        <v>247</v>
      </c>
      <c r="B2019" s="1" t="s">
        <v>20</v>
      </c>
      <c r="C2019" s="40" t="str">
        <f t="shared" si="297"/>
        <v>02-&gt;</v>
      </c>
      <c r="D2019" s="40" t="str">
        <f t="shared" si="298"/>
        <v xml:space="preserve">No pick yet                                                 </v>
      </c>
      <c r="E2019" s="52">
        <f t="shared" si="299"/>
        <v>0</v>
      </c>
      <c r="F2019" s="18"/>
      <c r="K2019" s="22"/>
      <c r="N2019" s="22"/>
      <c r="O2019" s="22"/>
      <c r="P2019" s="22"/>
      <c r="Q2019" s="22"/>
      <c r="R2019" s="22"/>
      <c r="S2019" s="22"/>
      <c r="Z2019" s="53"/>
      <c r="AA2019"/>
      <c r="AH2019" t="str">
        <f t="shared" si="300"/>
        <v>k yet</v>
      </c>
    </row>
    <row r="2020" spans="1:39">
      <c r="A2020" s="42" t="s">
        <v>248</v>
      </c>
      <c r="B2020" s="1" t="s">
        <v>20</v>
      </c>
      <c r="C2020" s="40" t="str">
        <f t="shared" si="297"/>
        <v>03-&gt;</v>
      </c>
      <c r="D2020" s="40" t="str">
        <f t="shared" si="298"/>
        <v xml:space="preserve">No pick yet                                                 </v>
      </c>
      <c r="E2020" s="52">
        <f t="shared" si="299"/>
        <v>0</v>
      </c>
      <c r="F2020" s="18"/>
      <c r="L2020" s="21"/>
      <c r="N2020" s="22"/>
      <c r="O2020" s="22"/>
      <c r="P2020" s="18"/>
      <c r="Q2020" s="22"/>
      <c r="R2020" s="22"/>
      <c r="S2020" s="22"/>
      <c r="Z2020" s="53"/>
      <c r="AA2020"/>
      <c r="AH2020" t="str">
        <f t="shared" si="300"/>
        <v>k yet</v>
      </c>
    </row>
    <row r="2021" spans="1:39">
      <c r="A2021" s="42" t="s">
        <v>249</v>
      </c>
      <c r="B2021" s="1" t="s">
        <v>20</v>
      </c>
      <c r="C2021" s="40" t="str">
        <f t="shared" si="297"/>
        <v>04-&gt;</v>
      </c>
      <c r="D2021" s="40" t="str">
        <f t="shared" si="298"/>
        <v xml:space="preserve">No pick yet                                                 </v>
      </c>
      <c r="E2021" s="52">
        <f t="shared" si="299"/>
        <v>0</v>
      </c>
      <c r="F2021" s="18"/>
      <c r="M2021" s="18"/>
      <c r="N2021" s="18"/>
      <c r="O2021" s="18"/>
      <c r="P2021" s="18"/>
      <c r="Q2021" s="22"/>
      <c r="R2021" s="21"/>
      <c r="S2021" s="21"/>
      <c r="T2021" s="21"/>
      <c r="AA2021"/>
      <c r="AH2021" t="str">
        <f t="shared" si="300"/>
        <v>k yet</v>
      </c>
    </row>
    <row r="2022" spans="1:39">
      <c r="A2022" s="42" t="s">
        <v>250</v>
      </c>
      <c r="B2022" s="1" t="s">
        <v>20</v>
      </c>
      <c r="C2022" s="40" t="str">
        <f t="shared" si="297"/>
        <v>05-&gt;</v>
      </c>
      <c r="D2022" s="40" t="str">
        <f t="shared" si="298"/>
        <v xml:space="preserve">No pick yet                                                 </v>
      </c>
      <c r="E2022" s="52">
        <f t="shared" si="299"/>
        <v>0</v>
      </c>
      <c r="F2022" s="18"/>
      <c r="M2022" s="18"/>
      <c r="N2022" s="18"/>
      <c r="O2022" s="18"/>
      <c r="P2022" s="18"/>
      <c r="Q2022" s="22"/>
      <c r="R2022" s="21"/>
      <c r="S2022" s="21"/>
      <c r="T2022" s="21"/>
      <c r="AA2022"/>
      <c r="AH2022" t="str">
        <f t="shared" si="300"/>
        <v>k yet</v>
      </c>
    </row>
    <row r="2023" spans="1:39">
      <c r="A2023" s="42" t="s">
        <v>251</v>
      </c>
      <c r="B2023" s="1" t="s">
        <v>20</v>
      </c>
      <c r="C2023" s="40" t="str">
        <f t="shared" si="297"/>
        <v>06-&gt;</v>
      </c>
      <c r="D2023" s="40" t="str">
        <f t="shared" si="298"/>
        <v xml:space="preserve">No pick yet                                                 </v>
      </c>
      <c r="E2023" s="52">
        <f t="shared" si="299"/>
        <v>0</v>
      </c>
      <c r="F2023" s="18"/>
      <c r="M2023" s="18"/>
      <c r="N2023" s="18"/>
      <c r="O2023" s="18"/>
      <c r="P2023" s="18"/>
      <c r="Q2023" s="22"/>
      <c r="R2023" s="21"/>
      <c r="S2023" s="21"/>
      <c r="T2023" s="21"/>
      <c r="AA2023"/>
      <c r="AH2023" t="str">
        <f t="shared" si="300"/>
        <v>k yet</v>
      </c>
    </row>
    <row r="2024" spans="1:39">
      <c r="A2024" s="42" t="s">
        <v>252</v>
      </c>
      <c r="B2024" s="1" t="s">
        <v>20</v>
      </c>
      <c r="C2024" s="40" t="str">
        <f t="shared" si="297"/>
        <v>07-&gt;</v>
      </c>
      <c r="D2024" s="40" t="str">
        <f t="shared" si="298"/>
        <v xml:space="preserve">No pick yet                                                 </v>
      </c>
      <c r="E2024" s="52">
        <f t="shared" si="299"/>
        <v>0</v>
      </c>
      <c r="F2024" s="18"/>
      <c r="M2024" s="18"/>
      <c r="N2024" s="18"/>
      <c r="O2024" s="18"/>
      <c r="P2024" s="18"/>
      <c r="Q2024" s="22"/>
      <c r="R2024" s="21"/>
      <c r="S2024" s="21"/>
      <c r="T2024" s="21"/>
      <c r="AA2024"/>
      <c r="AH2024" t="str">
        <f t="shared" si="300"/>
        <v>k yet</v>
      </c>
    </row>
    <row r="2025" spans="1:39">
      <c r="A2025" s="42" t="s">
        <v>253</v>
      </c>
      <c r="B2025" s="1" t="s">
        <v>20</v>
      </c>
      <c r="C2025" s="40" t="str">
        <f t="shared" si="297"/>
        <v>08-&gt;</v>
      </c>
      <c r="D2025" s="40" t="str">
        <f t="shared" si="298"/>
        <v xml:space="preserve">No pick yet                                                 </v>
      </c>
      <c r="E2025" s="52">
        <f t="shared" si="299"/>
        <v>0</v>
      </c>
      <c r="F2025" s="18"/>
      <c r="M2025" s="18"/>
      <c r="N2025" s="18"/>
      <c r="O2025" s="18"/>
      <c r="P2025" s="18"/>
      <c r="Q2025" s="22"/>
      <c r="R2025" s="21"/>
      <c r="S2025" s="21"/>
      <c r="T2025" s="21"/>
      <c r="AA2025"/>
      <c r="AH2025" t="str">
        <f t="shared" si="300"/>
        <v>k yet</v>
      </c>
    </row>
    <row r="2026" spans="1:39">
      <c r="A2026" s="42" t="s">
        <v>254</v>
      </c>
      <c r="B2026" s="1" t="s">
        <v>20</v>
      </c>
      <c r="C2026" s="40" t="str">
        <f t="shared" si="297"/>
        <v>09-&gt;</v>
      </c>
      <c r="D2026" s="40" t="str">
        <f t="shared" si="298"/>
        <v xml:space="preserve">No pick yet                                                 </v>
      </c>
      <c r="E2026" s="52">
        <f t="shared" si="299"/>
        <v>0</v>
      </c>
      <c r="F2026" s="18"/>
      <c r="M2026" s="18"/>
      <c r="N2026" s="18"/>
      <c r="O2026" s="18"/>
      <c r="P2026" s="18"/>
      <c r="Q2026" s="22"/>
      <c r="R2026" s="21"/>
      <c r="S2026" s="21"/>
      <c r="T2026" s="21"/>
      <c r="AA2026"/>
      <c r="AH2026" t="str">
        <f t="shared" si="300"/>
        <v>k yet</v>
      </c>
    </row>
    <row r="2027" spans="1:39">
      <c r="A2027" s="42" t="s">
        <v>255</v>
      </c>
      <c r="B2027" s="1" t="s">
        <v>20</v>
      </c>
      <c r="C2027" s="40" t="str">
        <f t="shared" si="297"/>
        <v>10-&gt;</v>
      </c>
      <c r="D2027" s="40" t="str">
        <f t="shared" si="298"/>
        <v xml:space="preserve">No pick yet                                                 </v>
      </c>
      <c r="E2027" s="52">
        <f t="shared" si="299"/>
        <v>0</v>
      </c>
      <c r="F2027" s="22"/>
      <c r="M2027" s="18"/>
      <c r="N2027" s="18"/>
      <c r="O2027" s="18"/>
      <c r="P2027" s="18"/>
      <c r="Q2027" s="22"/>
      <c r="R2027" s="21"/>
      <c r="S2027" s="21"/>
      <c r="T2027" s="21"/>
      <c r="AA2027"/>
      <c r="AH2027" t="str">
        <f t="shared" si="300"/>
        <v>k yet</v>
      </c>
    </row>
    <row r="2028" spans="1:39">
      <c r="A2028" s="42" t="s">
        <v>256</v>
      </c>
      <c r="B2028" s="1" t="s">
        <v>20</v>
      </c>
      <c r="C2028" s="40" t="str">
        <f t="shared" si="297"/>
        <v>11-&gt;</v>
      </c>
      <c r="D2028" s="40" t="str">
        <f t="shared" si="298"/>
        <v xml:space="preserve">No pick yet                                                 </v>
      </c>
      <c r="E2028" s="52">
        <f t="shared" si="299"/>
        <v>0</v>
      </c>
      <c r="M2028" s="18"/>
      <c r="N2028" s="18"/>
      <c r="O2028" s="18"/>
      <c r="P2028" s="18"/>
      <c r="Q2028" s="22"/>
      <c r="R2028" s="21"/>
      <c r="S2028" s="21"/>
      <c r="T2028" s="21"/>
      <c r="AA2028"/>
      <c r="AH2028" t="str">
        <f t="shared" si="300"/>
        <v>k yet</v>
      </c>
    </row>
    <row r="2029" spans="1:39">
      <c r="A2029" s="42" t="s">
        <v>257</v>
      </c>
      <c r="B2029" s="1" t="s">
        <v>20</v>
      </c>
      <c r="C2029" s="40" t="str">
        <f t="shared" si="297"/>
        <v>12-&gt;</v>
      </c>
      <c r="D2029" s="40" t="str">
        <f t="shared" si="298"/>
        <v xml:space="preserve">No pick yet                                                 </v>
      </c>
      <c r="E2029" s="52">
        <f t="shared" si="299"/>
        <v>0</v>
      </c>
      <c r="M2029" s="18"/>
      <c r="N2029" s="18"/>
      <c r="O2029" s="18"/>
      <c r="P2029" s="18"/>
      <c r="Q2029" s="22"/>
      <c r="R2029" s="21"/>
      <c r="S2029" s="21"/>
      <c r="T2029" s="21"/>
      <c r="AA2029"/>
      <c r="AH2029" t="str">
        <f t="shared" si="300"/>
        <v>k yet</v>
      </c>
    </row>
    <row r="2030" spans="1:39">
      <c r="A2030" s="42" t="s">
        <v>258</v>
      </c>
      <c r="B2030" s="1" t="s">
        <v>20</v>
      </c>
      <c r="C2030" s="40" t="str">
        <f t="shared" si="297"/>
        <v>13-&gt;</v>
      </c>
      <c r="D2030" s="40" t="str">
        <f t="shared" si="298"/>
        <v xml:space="preserve">No pick yet                                                 </v>
      </c>
      <c r="E2030" s="52">
        <f t="shared" si="299"/>
        <v>0</v>
      </c>
      <c r="M2030" s="18"/>
      <c r="N2030" s="18"/>
      <c r="O2030" s="18"/>
      <c r="P2030" s="18"/>
      <c r="Q2030" s="22"/>
      <c r="R2030" s="21"/>
      <c r="S2030" s="21"/>
      <c r="T2030" s="21"/>
      <c r="AA2030"/>
      <c r="AH2030" t="str">
        <f t="shared" si="300"/>
        <v>k yet</v>
      </c>
    </row>
    <row r="2031" spans="1:39">
      <c r="A2031" s="42" t="s">
        <v>259</v>
      </c>
      <c r="B2031" s="1" t="s">
        <v>20</v>
      </c>
      <c r="C2031" s="40" t="str">
        <f t="shared" si="297"/>
        <v>14-&gt;</v>
      </c>
      <c r="D2031" s="40" t="str">
        <f t="shared" si="298"/>
        <v xml:space="preserve">No pick yet                                                 </v>
      </c>
      <c r="E2031" s="52">
        <f t="shared" si="299"/>
        <v>0</v>
      </c>
      <c r="M2031" s="18"/>
      <c r="N2031" s="18"/>
      <c r="O2031" s="18"/>
      <c r="P2031" s="18"/>
      <c r="Q2031" s="22"/>
      <c r="R2031" s="21"/>
      <c r="S2031" s="21"/>
      <c r="T2031" s="21"/>
      <c r="AA2031"/>
      <c r="AH2031" t="str">
        <f t="shared" si="300"/>
        <v>k yet</v>
      </c>
    </row>
    <row r="2032" spans="1:39">
      <c r="A2032" s="42" t="s">
        <v>260</v>
      </c>
      <c r="B2032" s="1" t="s">
        <v>20</v>
      </c>
      <c r="C2032" s="40" t="str">
        <f t="shared" si="297"/>
        <v>15-&gt;</v>
      </c>
      <c r="D2032" s="40" t="str">
        <f t="shared" si="298"/>
        <v xml:space="preserve">No pick yet                                                 </v>
      </c>
      <c r="E2032" s="52">
        <f t="shared" si="299"/>
        <v>0</v>
      </c>
      <c r="M2032" s="18"/>
      <c r="N2032" s="18"/>
      <c r="O2032" s="18"/>
      <c r="P2032" s="18"/>
      <c r="Q2032" s="22"/>
      <c r="R2032" s="21"/>
      <c r="S2032" s="21"/>
      <c r="T2032" s="21"/>
      <c r="AA2032"/>
      <c r="AH2032" t="str">
        <f t="shared" si="300"/>
        <v>k yet</v>
      </c>
    </row>
    <row r="2033" spans="1:39">
      <c r="A2033" s="42" t="s">
        <v>261</v>
      </c>
      <c r="B2033" s="1" t="s">
        <v>20</v>
      </c>
      <c r="C2033" s="40" t="str">
        <f t="shared" si="297"/>
        <v>16-&gt;</v>
      </c>
      <c r="D2033" s="40" t="str">
        <f t="shared" si="298"/>
        <v xml:space="preserve">No pick yet                                                 </v>
      </c>
      <c r="E2033" s="52">
        <f t="shared" si="299"/>
        <v>0</v>
      </c>
      <c r="M2033" s="18"/>
      <c r="N2033" s="18"/>
      <c r="O2033" s="18"/>
      <c r="P2033" s="18"/>
      <c r="Q2033" s="22"/>
      <c r="R2033" s="21"/>
      <c r="S2033" s="21"/>
      <c r="T2033" s="21"/>
      <c r="AA2033"/>
      <c r="AH2033" t="str">
        <f t="shared" si="300"/>
        <v>k yet</v>
      </c>
    </row>
    <row r="2034" spans="1:39">
      <c r="A2034" s="42" t="s">
        <v>262</v>
      </c>
      <c r="B2034" s="1" t="s">
        <v>20</v>
      </c>
      <c r="C2034" s="40" t="str">
        <f t="shared" si="297"/>
        <v>17-&gt;</v>
      </c>
      <c r="D2034" s="40" t="str">
        <f t="shared" si="298"/>
        <v xml:space="preserve">No pick yet                                                 </v>
      </c>
      <c r="E2034" s="52">
        <f t="shared" si="299"/>
        <v>0</v>
      </c>
      <c r="K2034" s="22"/>
      <c r="N2034" s="22"/>
      <c r="O2034" s="22"/>
      <c r="P2034" s="22"/>
      <c r="Q2034" s="22"/>
      <c r="R2034" s="22"/>
      <c r="S2034" s="22"/>
      <c r="Z2034" s="53"/>
      <c r="AA2034"/>
      <c r="AH2034" t="str">
        <f t="shared" si="300"/>
        <v>k yet</v>
      </c>
    </row>
    <row r="2035" spans="1:39">
      <c r="A2035" s="42" t="s">
        <v>263</v>
      </c>
      <c r="B2035" s="1" t="s">
        <v>20</v>
      </c>
      <c r="C2035" s="40" t="str">
        <f t="shared" si="297"/>
        <v>18-&gt;</v>
      </c>
      <c r="D2035" s="40" t="str">
        <f t="shared" si="298"/>
        <v xml:space="preserve">No pick yet                                                 </v>
      </c>
      <c r="E2035" s="52">
        <f t="shared" si="299"/>
        <v>0</v>
      </c>
      <c r="F2035" s="18"/>
      <c r="L2035" s="21"/>
      <c r="N2035" s="22"/>
      <c r="O2035" s="22"/>
      <c r="P2035" s="18"/>
      <c r="Q2035" s="22"/>
      <c r="R2035" s="22"/>
      <c r="S2035" s="22"/>
      <c r="Z2035" s="53"/>
      <c r="AA2035"/>
      <c r="AH2035" t="str">
        <f t="shared" si="300"/>
        <v>k yet</v>
      </c>
    </row>
    <row r="2036" spans="1:39">
      <c r="A2036" s="42" t="s">
        <v>264</v>
      </c>
      <c r="B2036" s="1" t="s">
        <v>20</v>
      </c>
      <c r="C2036" s="40" t="str">
        <f t="shared" si="297"/>
        <v>19-&gt;</v>
      </c>
      <c r="D2036" s="40" t="str">
        <f t="shared" si="298"/>
        <v xml:space="preserve">No pick yet                                                 </v>
      </c>
      <c r="E2036" s="52">
        <f t="shared" si="299"/>
        <v>0</v>
      </c>
      <c r="F2036" s="18"/>
      <c r="M2036" s="18"/>
      <c r="N2036" s="18"/>
      <c r="O2036" s="18"/>
      <c r="P2036" s="18"/>
      <c r="Q2036" s="22"/>
      <c r="R2036" s="21"/>
      <c r="S2036" s="21"/>
      <c r="T2036" s="21"/>
      <c r="AA2036"/>
      <c r="AH2036" t="str">
        <f t="shared" si="300"/>
        <v>k yet</v>
      </c>
    </row>
    <row r="2037" spans="1:39">
      <c r="A2037" s="42" t="s">
        <v>265</v>
      </c>
      <c r="B2037" s="1" t="s">
        <v>20</v>
      </c>
      <c r="C2037" s="40" t="str">
        <f t="shared" si="297"/>
        <v>20-&gt;</v>
      </c>
      <c r="D2037" s="40" t="str">
        <f t="shared" si="298"/>
        <v xml:space="preserve">No pick yet                                                 </v>
      </c>
      <c r="E2037" s="52">
        <f t="shared" si="299"/>
        <v>0</v>
      </c>
      <c r="F2037" s="18"/>
      <c r="M2037" s="18"/>
      <c r="N2037" s="18"/>
      <c r="O2037" s="18"/>
      <c r="P2037" s="18"/>
      <c r="Q2037" s="22"/>
      <c r="R2037" s="21"/>
      <c r="S2037" s="21"/>
      <c r="T2037" s="21"/>
      <c r="AA2037"/>
      <c r="AH2037" t="str">
        <f t="shared" si="300"/>
        <v>k yet</v>
      </c>
    </row>
    <row r="2038" spans="1:39">
      <c r="A2038" s="42" t="s">
        <v>266</v>
      </c>
      <c r="B2038" s="1" t="s">
        <v>20</v>
      </c>
      <c r="C2038" s="40" t="str">
        <f t="shared" si="297"/>
        <v>21-&gt;</v>
      </c>
      <c r="D2038" s="40" t="str">
        <f t="shared" si="298"/>
        <v xml:space="preserve">No pick yet                                                 </v>
      </c>
      <c r="E2038" s="52">
        <f t="shared" si="299"/>
        <v>0</v>
      </c>
      <c r="F2038" s="18"/>
      <c r="M2038" s="18"/>
      <c r="N2038" s="18"/>
      <c r="O2038" s="18"/>
      <c r="P2038" s="18"/>
      <c r="Q2038" s="22"/>
      <c r="R2038" s="21"/>
      <c r="S2038" s="21"/>
      <c r="T2038" s="21"/>
      <c r="AA2038"/>
      <c r="AH2038" t="str">
        <f t="shared" si="300"/>
        <v>k yet</v>
      </c>
    </row>
    <row r="2039" spans="1:39">
      <c r="A2039" s="42" t="s">
        <v>267</v>
      </c>
      <c r="B2039" s="1" t="s">
        <v>20</v>
      </c>
      <c r="C2039" s="40" t="str">
        <f t="shared" si="297"/>
        <v>22-&gt;</v>
      </c>
      <c r="D2039" s="40" t="str">
        <f t="shared" si="298"/>
        <v xml:space="preserve">No pick yet                                                 </v>
      </c>
      <c r="E2039" s="52">
        <f t="shared" si="299"/>
        <v>0</v>
      </c>
      <c r="F2039" s="18"/>
      <c r="M2039" s="18"/>
      <c r="N2039" s="18"/>
      <c r="O2039" s="18"/>
      <c r="P2039" s="18"/>
      <c r="Q2039" s="22"/>
      <c r="R2039" s="21"/>
      <c r="S2039" s="21"/>
      <c r="T2039" s="21"/>
      <c r="AA2039"/>
      <c r="AH2039" t="str">
        <f t="shared" si="300"/>
        <v>k yet</v>
      </c>
    </row>
    <row r="2040" spans="1:39">
      <c r="A2040" s="42" t="s">
        <v>268</v>
      </c>
      <c r="B2040" s="1" t="s">
        <v>20</v>
      </c>
      <c r="C2040" s="40" t="str">
        <f t="shared" si="297"/>
        <v>23-&gt;</v>
      </c>
      <c r="D2040" s="40" t="str">
        <f t="shared" si="298"/>
        <v xml:space="preserve">No pick yet                                                 </v>
      </c>
      <c r="E2040" s="52">
        <f t="shared" si="299"/>
        <v>0</v>
      </c>
      <c r="F2040" s="18"/>
      <c r="M2040" s="18"/>
      <c r="N2040" s="18"/>
      <c r="O2040" s="18"/>
      <c r="P2040" s="18"/>
      <c r="Q2040" s="22"/>
      <c r="R2040" s="21"/>
      <c r="S2040" s="21"/>
      <c r="T2040" s="21"/>
      <c r="AA2040"/>
      <c r="AH2040" t="str">
        <f t="shared" si="300"/>
        <v>k yet</v>
      </c>
    </row>
    <row r="2041" spans="1:39">
      <c r="A2041" s="42" t="s">
        <v>269</v>
      </c>
      <c r="B2041" s="1" t="s">
        <v>20</v>
      </c>
      <c r="C2041" s="40" t="str">
        <f t="shared" si="297"/>
        <v>24-&gt;</v>
      </c>
      <c r="D2041" s="40" t="str">
        <f t="shared" si="298"/>
        <v xml:space="preserve">No pick yet                                                 </v>
      </c>
      <c r="E2041" s="52">
        <f t="shared" si="299"/>
        <v>0</v>
      </c>
      <c r="F2041" s="18"/>
      <c r="M2041" s="18"/>
      <c r="N2041" s="18"/>
      <c r="O2041" s="18"/>
      <c r="P2041" s="18"/>
      <c r="Q2041" s="22"/>
      <c r="R2041" s="21"/>
      <c r="S2041" s="21"/>
      <c r="T2041" s="21"/>
      <c r="AA2041"/>
      <c r="AH2041" t="str">
        <f t="shared" si="300"/>
        <v>k yet</v>
      </c>
    </row>
    <row r="2042" spans="1:39">
      <c r="A2042" s="42" t="s">
        <v>270</v>
      </c>
      <c r="B2042" s="1" t="s">
        <v>20</v>
      </c>
      <c r="C2042" s="40" t="str">
        <f t="shared" si="297"/>
        <v>25-&gt;</v>
      </c>
      <c r="D2042" s="40" t="str">
        <f t="shared" si="298"/>
        <v xml:space="preserve">No pick yet                                                 </v>
      </c>
      <c r="E2042" s="52">
        <f t="shared" si="299"/>
        <v>0</v>
      </c>
      <c r="F2042" s="18"/>
      <c r="M2042" s="18"/>
      <c r="N2042" s="18"/>
      <c r="O2042" s="18"/>
      <c r="P2042" s="18"/>
      <c r="Q2042" s="22"/>
      <c r="R2042" s="21"/>
      <c r="S2042" s="21"/>
      <c r="T2042" s="21"/>
      <c r="AA2042"/>
      <c r="AH2042" t="str">
        <f t="shared" si="300"/>
        <v>k yet</v>
      </c>
    </row>
    <row r="2043" spans="1:39">
      <c r="A2043" s="42" t="s">
        <v>271</v>
      </c>
      <c r="B2043" s="1" t="s">
        <v>20</v>
      </c>
      <c r="C2043" s="40" t="str">
        <f t="shared" si="297"/>
        <v>26-&gt;</v>
      </c>
      <c r="D2043" s="40" t="str">
        <f t="shared" si="298"/>
        <v xml:space="preserve">No pick yet                                                 </v>
      </c>
      <c r="E2043" s="52">
        <f t="shared" si="299"/>
        <v>0</v>
      </c>
      <c r="F2043" s="18"/>
      <c r="M2043" s="18"/>
      <c r="N2043" s="18"/>
      <c r="O2043" s="18"/>
      <c r="P2043" s="18"/>
      <c r="Q2043" s="22"/>
      <c r="R2043" s="21"/>
      <c r="S2043" s="21"/>
      <c r="T2043" s="21"/>
      <c r="AA2043"/>
      <c r="AH2043" t="str">
        <f t="shared" si="300"/>
        <v>k yet</v>
      </c>
    </row>
    <row r="2044" spans="1:39">
      <c r="A2044" s="38"/>
      <c r="B2044" s="40"/>
      <c r="C2044" s="40"/>
      <c r="D2044" s="49"/>
      <c r="E2044" s="41" t="s">
        <v>69</v>
      </c>
      <c r="F2044" s="18"/>
      <c r="K2044" s="22" t="s">
        <v>73</v>
      </c>
      <c r="L2044" s="18" t="s">
        <v>74</v>
      </c>
      <c r="M2044" s="22" t="s">
        <v>78</v>
      </c>
      <c r="N2044" s="22" t="s">
        <v>79</v>
      </c>
      <c r="O2044" s="22" t="s">
        <v>80</v>
      </c>
      <c r="P2044" s="22" t="s">
        <v>81</v>
      </c>
      <c r="Q2044" s="22" t="s">
        <v>82</v>
      </c>
      <c r="R2044" s="22" t="s">
        <v>83</v>
      </c>
      <c r="S2044" s="22" t="s">
        <v>84</v>
      </c>
      <c r="T2044" s="18" t="s">
        <v>85</v>
      </c>
      <c r="U2044" s="18" t="s">
        <v>86</v>
      </c>
      <c r="V2044" s="18" t="s">
        <v>87</v>
      </c>
      <c r="W2044" s="18" t="s">
        <v>88</v>
      </c>
      <c r="X2044" s="18" t="s">
        <v>89</v>
      </c>
      <c r="Y2044" s="18" t="s">
        <v>90</v>
      </c>
      <c r="Z2044" s="18" t="s">
        <v>91</v>
      </c>
      <c r="AA2044" s="18" t="s">
        <v>92</v>
      </c>
      <c r="AB2044" s="18" t="s">
        <v>93</v>
      </c>
      <c r="AC2044" s="18" t="s">
        <v>94</v>
      </c>
      <c r="AD2044" s="18" t="s">
        <v>235</v>
      </c>
      <c r="AE2044" s="18" t="s">
        <v>236</v>
      </c>
      <c r="AF2044" s="18" t="s">
        <v>237</v>
      </c>
      <c r="AG2044" s="18" t="s">
        <v>238</v>
      </c>
      <c r="AH2044" s="18" t="s">
        <v>239</v>
      </c>
      <c r="AI2044" s="18" t="s">
        <v>240</v>
      </c>
      <c r="AJ2044" s="18" t="s">
        <v>241</v>
      </c>
      <c r="AK2044" s="18" t="s">
        <v>242</v>
      </c>
      <c r="AL2044" s="18" t="s">
        <v>243</v>
      </c>
      <c r="AM2044" s="50" t="s">
        <v>244</v>
      </c>
    </row>
    <row r="2045" spans="1:39">
      <c r="A2045" s="40" t="s">
        <v>245</v>
      </c>
      <c r="B2045" s="51" t="str">
        <f>D72</f>
        <v/>
      </c>
      <c r="C2045" s="40" t="str">
        <f t="shared" ref="C2045:C2071" si="301">A2045</f>
        <v>#</v>
      </c>
      <c r="D2045" s="40" t="str">
        <f>"   "&amp;B2045&amp;REPT(" ",$AH$70-LEN(B2045)-3)</f>
        <v xml:space="preserve">                                                            </v>
      </c>
      <c r="E2045" s="38" t="str">
        <f>SUM(E2046:E2071)&amp;" pts[/b]"</f>
        <v>0 pts[/b]</v>
      </c>
      <c r="F2045" s="21">
        <f>SUM(E2046:E2071)</f>
        <v>0</v>
      </c>
      <c r="K2045" s="18">
        <f>COUNTIF(E2046:E2071,"&gt;0")</f>
        <v>0</v>
      </c>
      <c r="L2045" s="21">
        <f>AM2045-K2045</f>
        <v>0</v>
      </c>
      <c r="M2045" s="22">
        <f>MAX(E2046:E2071)</f>
        <v>0</v>
      </c>
      <c r="N2045" s="22">
        <f>LARGE(E2046:E2071,2)</f>
        <v>0</v>
      </c>
      <c r="O2045" s="22">
        <f>LARGE(E2046:E2071,3)</f>
        <v>0</v>
      </c>
      <c r="P2045" s="18">
        <f>LARGE(E2046:E2071,4)</f>
        <v>0</v>
      </c>
      <c r="Q2045" s="22">
        <f>LARGE(E2046:E2071,5)</f>
        <v>0</v>
      </c>
      <c r="R2045" s="22">
        <f>LARGE(E2046:E2071,6)</f>
        <v>0</v>
      </c>
      <c r="S2045" s="22">
        <f>LARGE(E2046:E2071,7)</f>
        <v>0</v>
      </c>
      <c r="T2045" s="18">
        <f>LARGE(E2046:E2071,8)</f>
        <v>0</v>
      </c>
      <c r="U2045" s="18">
        <f>LARGE(E2046:E2071,9)</f>
        <v>0</v>
      </c>
      <c r="V2045" s="18">
        <f>LARGE(E2046:E2071,10)</f>
        <v>0</v>
      </c>
      <c r="W2045" s="18">
        <f>LARGE(E2046:E2071,11)</f>
        <v>0</v>
      </c>
      <c r="X2045" s="18">
        <f>LARGE(E2046:E2071,12)</f>
        <v>0</v>
      </c>
      <c r="Y2045" s="18">
        <f>LARGE(E2046:E2071,13)</f>
        <v>0</v>
      </c>
      <c r="Z2045" s="18">
        <f>LARGE(E2046:E2071,14)</f>
        <v>0</v>
      </c>
      <c r="AA2045" s="18">
        <f>LARGE(E2046:E2071,15)</f>
        <v>0</v>
      </c>
      <c r="AB2045" s="18">
        <f>LARGE(E2046:E2071,16)</f>
        <v>0</v>
      </c>
      <c r="AC2045" s="18">
        <f>LARGE(E2046:E2071,17)</f>
        <v>0</v>
      </c>
      <c r="AD2045" s="18">
        <f>LARGE(E2046:E2072,13)</f>
        <v>0</v>
      </c>
      <c r="AE2045" s="18">
        <f>LARGE(E2046:E2071,19)</f>
        <v>0</v>
      </c>
      <c r="AF2045" s="18">
        <f>LARGE(E2046:E2071,20)</f>
        <v>0</v>
      </c>
      <c r="AG2045" s="18">
        <f>LARGE(E2046:E2071,21)</f>
        <v>0</v>
      </c>
      <c r="AH2045" s="18">
        <f>LARGE(E2046:E2071,22)</f>
        <v>0</v>
      </c>
      <c r="AI2045" s="18">
        <f>LARGE(E2046:E2071,23)</f>
        <v>0</v>
      </c>
      <c r="AJ2045" s="18">
        <f>LARGE(E2046:E2071,24)</f>
        <v>0</v>
      </c>
      <c r="AK2045" s="18">
        <f>LARGE(E2046:E2071,25)</f>
        <v>0</v>
      </c>
      <c r="AL2045" s="18">
        <f>LARGE(E2046:E2071,26)</f>
        <v>0</v>
      </c>
      <c r="AM2045" s="50">
        <f>COUNTIF(AH2046:AH2071,"&lt;&gt;"&amp;$AH$76)-(26-COUNTIF(E2046:E2071,"&gt;=0"))</f>
        <v>0</v>
      </c>
    </row>
    <row r="2046" spans="1:39">
      <c r="A2046" s="42" t="s">
        <v>246</v>
      </c>
      <c r="B2046" s="1" t="s">
        <v>20</v>
      </c>
      <c r="C2046" s="40" t="str">
        <f t="shared" si="301"/>
        <v>01-&gt;</v>
      </c>
      <c r="D2046" s="40" t="str">
        <f t="shared" ref="D2046:D2071" si="302">B2046&amp;REPT(" ",$AH$70-LEN(B2046))</f>
        <v xml:space="preserve">No pick yet                                                 </v>
      </c>
      <c r="E2046" s="52">
        <f t="shared" ref="E2046:E2071" si="303">VLOOKUP(RIGHT(B2046,LEN(B2046)-$AH$66),$H$138:$I$420,2,0)</f>
        <v>0</v>
      </c>
      <c r="F2046" s="18"/>
      <c r="M2046" s="18"/>
      <c r="N2046" s="18"/>
      <c r="O2046" s="18"/>
      <c r="P2046" s="18"/>
      <c r="Q2046" s="22"/>
      <c r="R2046" s="21"/>
      <c r="S2046" s="21"/>
      <c r="T2046" s="21"/>
      <c r="AA2046"/>
      <c r="AH2046" t="str">
        <f t="shared" ref="AH2046:AH2071" si="304">RIGHT(B2046,LEN(B2046)-$AH$66)</f>
        <v>k yet</v>
      </c>
    </row>
    <row r="2047" spans="1:39">
      <c r="A2047" s="42" t="s">
        <v>247</v>
      </c>
      <c r="B2047" s="1" t="s">
        <v>20</v>
      </c>
      <c r="C2047" s="40" t="str">
        <f t="shared" si="301"/>
        <v>02-&gt;</v>
      </c>
      <c r="D2047" s="40" t="str">
        <f t="shared" si="302"/>
        <v xml:space="preserve">No pick yet                                                 </v>
      </c>
      <c r="E2047" s="52">
        <f t="shared" si="303"/>
        <v>0</v>
      </c>
      <c r="F2047" s="18"/>
      <c r="K2047" s="22"/>
      <c r="N2047" s="22"/>
      <c r="O2047" s="22"/>
      <c r="P2047" s="22"/>
      <c r="Q2047" s="22"/>
      <c r="R2047" s="22"/>
      <c r="S2047" s="22"/>
      <c r="Z2047" s="53"/>
      <c r="AA2047"/>
      <c r="AH2047" t="str">
        <f t="shared" si="304"/>
        <v>k yet</v>
      </c>
    </row>
    <row r="2048" spans="1:39">
      <c r="A2048" s="42" t="s">
        <v>248</v>
      </c>
      <c r="B2048" s="1" t="s">
        <v>20</v>
      </c>
      <c r="C2048" s="40" t="str">
        <f t="shared" si="301"/>
        <v>03-&gt;</v>
      </c>
      <c r="D2048" s="40" t="str">
        <f t="shared" si="302"/>
        <v xml:space="preserve">No pick yet                                                 </v>
      </c>
      <c r="E2048" s="52">
        <f t="shared" si="303"/>
        <v>0</v>
      </c>
      <c r="F2048" s="18"/>
      <c r="L2048" s="21"/>
      <c r="N2048" s="22"/>
      <c r="O2048" s="22"/>
      <c r="P2048" s="18"/>
      <c r="Q2048" s="22"/>
      <c r="R2048" s="22"/>
      <c r="S2048" s="22"/>
      <c r="Z2048" s="53"/>
      <c r="AA2048"/>
      <c r="AH2048" t="str">
        <f t="shared" si="304"/>
        <v>k yet</v>
      </c>
    </row>
    <row r="2049" spans="1:34">
      <c r="A2049" s="42" t="s">
        <v>249</v>
      </c>
      <c r="B2049" s="1" t="s">
        <v>20</v>
      </c>
      <c r="C2049" s="40" t="str">
        <f t="shared" si="301"/>
        <v>04-&gt;</v>
      </c>
      <c r="D2049" s="40" t="str">
        <f t="shared" si="302"/>
        <v xml:space="preserve">No pick yet                                                 </v>
      </c>
      <c r="E2049" s="52">
        <f t="shared" si="303"/>
        <v>0</v>
      </c>
      <c r="F2049" s="18"/>
      <c r="M2049" s="18"/>
      <c r="N2049" s="18"/>
      <c r="O2049" s="18"/>
      <c r="P2049" s="18"/>
      <c r="Q2049" s="22"/>
      <c r="R2049" s="21"/>
      <c r="S2049" s="21"/>
      <c r="T2049" s="21"/>
      <c r="AA2049"/>
      <c r="AH2049" t="str">
        <f t="shared" si="304"/>
        <v>k yet</v>
      </c>
    </row>
    <row r="2050" spans="1:34">
      <c r="A2050" s="42" t="s">
        <v>250</v>
      </c>
      <c r="B2050" s="1" t="s">
        <v>20</v>
      </c>
      <c r="C2050" s="40" t="str">
        <f t="shared" si="301"/>
        <v>05-&gt;</v>
      </c>
      <c r="D2050" s="40" t="str">
        <f t="shared" si="302"/>
        <v xml:space="preserve">No pick yet                                                 </v>
      </c>
      <c r="E2050" s="52">
        <f t="shared" si="303"/>
        <v>0</v>
      </c>
      <c r="F2050" s="18"/>
      <c r="M2050" s="18"/>
      <c r="N2050" s="18"/>
      <c r="O2050" s="18"/>
      <c r="P2050" s="18"/>
      <c r="Q2050" s="22"/>
      <c r="R2050" s="21"/>
      <c r="S2050" s="21"/>
      <c r="T2050" s="21"/>
      <c r="AA2050"/>
      <c r="AH2050" t="str">
        <f t="shared" si="304"/>
        <v>k yet</v>
      </c>
    </row>
    <row r="2051" spans="1:34">
      <c r="A2051" s="42" t="s">
        <v>251</v>
      </c>
      <c r="B2051" s="1" t="s">
        <v>20</v>
      </c>
      <c r="C2051" s="40" t="str">
        <f t="shared" si="301"/>
        <v>06-&gt;</v>
      </c>
      <c r="D2051" s="40" t="str">
        <f t="shared" si="302"/>
        <v xml:space="preserve">No pick yet                                                 </v>
      </c>
      <c r="E2051" s="52">
        <f t="shared" si="303"/>
        <v>0</v>
      </c>
      <c r="F2051" s="18"/>
      <c r="M2051" s="18"/>
      <c r="N2051" s="18"/>
      <c r="O2051" s="18"/>
      <c r="P2051" s="18"/>
      <c r="Q2051" s="22"/>
      <c r="R2051" s="21"/>
      <c r="S2051" s="21"/>
      <c r="T2051" s="21"/>
      <c r="AA2051"/>
      <c r="AH2051" t="str">
        <f t="shared" si="304"/>
        <v>k yet</v>
      </c>
    </row>
    <row r="2052" spans="1:34">
      <c r="A2052" s="42" t="s">
        <v>252</v>
      </c>
      <c r="B2052" s="1" t="s">
        <v>20</v>
      </c>
      <c r="C2052" s="40" t="str">
        <f t="shared" si="301"/>
        <v>07-&gt;</v>
      </c>
      <c r="D2052" s="40" t="str">
        <f t="shared" si="302"/>
        <v xml:space="preserve">No pick yet                                                 </v>
      </c>
      <c r="E2052" s="52">
        <f t="shared" si="303"/>
        <v>0</v>
      </c>
      <c r="F2052" s="18"/>
      <c r="M2052" s="18"/>
      <c r="N2052" s="18"/>
      <c r="O2052" s="18"/>
      <c r="P2052" s="18"/>
      <c r="Q2052" s="22"/>
      <c r="R2052" s="21"/>
      <c r="S2052" s="21"/>
      <c r="T2052" s="21"/>
      <c r="AA2052"/>
      <c r="AH2052" t="str">
        <f t="shared" si="304"/>
        <v>k yet</v>
      </c>
    </row>
    <row r="2053" spans="1:34">
      <c r="A2053" s="42" t="s">
        <v>253</v>
      </c>
      <c r="B2053" s="1" t="s">
        <v>20</v>
      </c>
      <c r="C2053" s="40" t="str">
        <f t="shared" si="301"/>
        <v>08-&gt;</v>
      </c>
      <c r="D2053" s="40" t="str">
        <f t="shared" si="302"/>
        <v xml:space="preserve">No pick yet                                                 </v>
      </c>
      <c r="E2053" s="52">
        <f t="shared" si="303"/>
        <v>0</v>
      </c>
      <c r="F2053" s="18"/>
      <c r="M2053" s="18"/>
      <c r="N2053" s="18"/>
      <c r="O2053" s="18"/>
      <c r="P2053" s="18"/>
      <c r="Q2053" s="22"/>
      <c r="R2053" s="21"/>
      <c r="S2053" s="21"/>
      <c r="T2053" s="21"/>
      <c r="AA2053"/>
      <c r="AH2053" t="str">
        <f t="shared" si="304"/>
        <v>k yet</v>
      </c>
    </row>
    <row r="2054" spans="1:34">
      <c r="A2054" s="42" t="s">
        <v>254</v>
      </c>
      <c r="B2054" s="1" t="s">
        <v>20</v>
      </c>
      <c r="C2054" s="40" t="str">
        <f t="shared" si="301"/>
        <v>09-&gt;</v>
      </c>
      <c r="D2054" s="40" t="str">
        <f t="shared" si="302"/>
        <v xml:space="preserve">No pick yet                                                 </v>
      </c>
      <c r="E2054" s="52">
        <f t="shared" si="303"/>
        <v>0</v>
      </c>
      <c r="F2054" s="18"/>
      <c r="M2054" s="18"/>
      <c r="N2054" s="18"/>
      <c r="O2054" s="18"/>
      <c r="P2054" s="18"/>
      <c r="Q2054" s="22"/>
      <c r="R2054" s="21"/>
      <c r="S2054" s="21"/>
      <c r="T2054" s="21"/>
      <c r="AA2054"/>
      <c r="AH2054" t="str">
        <f t="shared" si="304"/>
        <v>k yet</v>
      </c>
    </row>
    <row r="2055" spans="1:34">
      <c r="A2055" s="42" t="s">
        <v>255</v>
      </c>
      <c r="B2055" s="1" t="s">
        <v>20</v>
      </c>
      <c r="C2055" s="40" t="str">
        <f t="shared" si="301"/>
        <v>10-&gt;</v>
      </c>
      <c r="D2055" s="40" t="str">
        <f t="shared" si="302"/>
        <v xml:space="preserve">No pick yet                                                 </v>
      </c>
      <c r="E2055" s="52">
        <f t="shared" si="303"/>
        <v>0</v>
      </c>
      <c r="F2055" s="22"/>
      <c r="M2055" s="18"/>
      <c r="N2055" s="18"/>
      <c r="O2055" s="18"/>
      <c r="P2055" s="18"/>
      <c r="Q2055" s="22"/>
      <c r="R2055" s="21"/>
      <c r="S2055" s="21"/>
      <c r="T2055" s="21"/>
      <c r="AA2055"/>
      <c r="AH2055" t="str">
        <f t="shared" si="304"/>
        <v>k yet</v>
      </c>
    </row>
    <row r="2056" spans="1:34">
      <c r="A2056" s="42" t="s">
        <v>256</v>
      </c>
      <c r="B2056" s="1" t="s">
        <v>20</v>
      </c>
      <c r="C2056" s="40" t="str">
        <f t="shared" si="301"/>
        <v>11-&gt;</v>
      </c>
      <c r="D2056" s="40" t="str">
        <f t="shared" si="302"/>
        <v xml:space="preserve">No pick yet                                                 </v>
      </c>
      <c r="E2056" s="52">
        <f t="shared" si="303"/>
        <v>0</v>
      </c>
      <c r="M2056" s="18"/>
      <c r="N2056" s="18"/>
      <c r="O2056" s="18"/>
      <c r="P2056" s="18"/>
      <c r="Q2056" s="22"/>
      <c r="R2056" s="21"/>
      <c r="S2056" s="21"/>
      <c r="T2056" s="21"/>
      <c r="AA2056"/>
      <c r="AH2056" t="str">
        <f t="shared" si="304"/>
        <v>k yet</v>
      </c>
    </row>
    <row r="2057" spans="1:34">
      <c r="A2057" s="42" t="s">
        <v>257</v>
      </c>
      <c r="B2057" s="1" t="s">
        <v>20</v>
      </c>
      <c r="C2057" s="40" t="str">
        <f t="shared" si="301"/>
        <v>12-&gt;</v>
      </c>
      <c r="D2057" s="40" t="str">
        <f t="shared" si="302"/>
        <v xml:space="preserve">No pick yet                                                 </v>
      </c>
      <c r="E2057" s="52">
        <f t="shared" si="303"/>
        <v>0</v>
      </c>
      <c r="M2057" s="18"/>
      <c r="N2057" s="18"/>
      <c r="O2057" s="18"/>
      <c r="P2057" s="18"/>
      <c r="Q2057" s="22"/>
      <c r="R2057" s="21"/>
      <c r="S2057" s="21"/>
      <c r="T2057" s="21"/>
      <c r="AA2057"/>
      <c r="AH2057" t="str">
        <f t="shared" si="304"/>
        <v>k yet</v>
      </c>
    </row>
    <row r="2058" spans="1:34">
      <c r="A2058" s="42" t="s">
        <v>258</v>
      </c>
      <c r="B2058" s="1" t="s">
        <v>20</v>
      </c>
      <c r="C2058" s="40" t="str">
        <f t="shared" si="301"/>
        <v>13-&gt;</v>
      </c>
      <c r="D2058" s="40" t="str">
        <f t="shared" si="302"/>
        <v xml:space="preserve">No pick yet                                                 </v>
      </c>
      <c r="E2058" s="52">
        <f t="shared" si="303"/>
        <v>0</v>
      </c>
      <c r="M2058" s="18"/>
      <c r="N2058" s="18"/>
      <c r="O2058" s="18"/>
      <c r="P2058" s="18"/>
      <c r="Q2058" s="22"/>
      <c r="R2058" s="21"/>
      <c r="S2058" s="21"/>
      <c r="T2058" s="21"/>
      <c r="AA2058"/>
      <c r="AH2058" t="str">
        <f t="shared" si="304"/>
        <v>k yet</v>
      </c>
    </row>
    <row r="2059" spans="1:34">
      <c r="A2059" s="42" t="s">
        <v>259</v>
      </c>
      <c r="B2059" s="1" t="s">
        <v>20</v>
      </c>
      <c r="C2059" s="40" t="str">
        <f t="shared" si="301"/>
        <v>14-&gt;</v>
      </c>
      <c r="D2059" s="40" t="str">
        <f t="shared" si="302"/>
        <v xml:space="preserve">No pick yet                                                 </v>
      </c>
      <c r="E2059" s="52">
        <f t="shared" si="303"/>
        <v>0</v>
      </c>
      <c r="M2059" s="18"/>
      <c r="N2059" s="18"/>
      <c r="O2059" s="18"/>
      <c r="P2059" s="18"/>
      <c r="Q2059" s="22"/>
      <c r="R2059" s="21"/>
      <c r="S2059" s="21"/>
      <c r="T2059" s="21"/>
      <c r="AA2059"/>
      <c r="AH2059" t="str">
        <f t="shared" si="304"/>
        <v>k yet</v>
      </c>
    </row>
    <row r="2060" spans="1:34">
      <c r="A2060" s="42" t="s">
        <v>260</v>
      </c>
      <c r="B2060" s="1" t="s">
        <v>20</v>
      </c>
      <c r="C2060" s="40" t="str">
        <f t="shared" si="301"/>
        <v>15-&gt;</v>
      </c>
      <c r="D2060" s="40" t="str">
        <f t="shared" si="302"/>
        <v xml:space="preserve">No pick yet                                                 </v>
      </c>
      <c r="E2060" s="52">
        <f t="shared" si="303"/>
        <v>0</v>
      </c>
      <c r="M2060" s="18"/>
      <c r="N2060" s="18"/>
      <c r="O2060" s="18"/>
      <c r="P2060" s="18"/>
      <c r="Q2060" s="22"/>
      <c r="R2060" s="21"/>
      <c r="S2060" s="21"/>
      <c r="T2060" s="21"/>
      <c r="AA2060"/>
      <c r="AH2060" t="str">
        <f t="shared" si="304"/>
        <v>k yet</v>
      </c>
    </row>
    <row r="2061" spans="1:34">
      <c r="A2061" s="42" t="s">
        <v>261</v>
      </c>
      <c r="B2061" s="1" t="s">
        <v>20</v>
      </c>
      <c r="C2061" s="40" t="str">
        <f t="shared" si="301"/>
        <v>16-&gt;</v>
      </c>
      <c r="D2061" s="40" t="str">
        <f t="shared" si="302"/>
        <v xml:space="preserve">No pick yet                                                 </v>
      </c>
      <c r="E2061" s="52">
        <f t="shared" si="303"/>
        <v>0</v>
      </c>
      <c r="M2061" s="18"/>
      <c r="N2061" s="18"/>
      <c r="O2061" s="18"/>
      <c r="P2061" s="18"/>
      <c r="Q2061" s="22"/>
      <c r="R2061" s="21"/>
      <c r="S2061" s="21"/>
      <c r="T2061" s="21"/>
      <c r="AA2061"/>
      <c r="AH2061" t="str">
        <f t="shared" si="304"/>
        <v>k yet</v>
      </c>
    </row>
    <row r="2062" spans="1:34">
      <c r="A2062" s="42" t="s">
        <v>262</v>
      </c>
      <c r="B2062" s="1" t="s">
        <v>20</v>
      </c>
      <c r="C2062" s="40" t="str">
        <f t="shared" si="301"/>
        <v>17-&gt;</v>
      </c>
      <c r="D2062" s="40" t="str">
        <f t="shared" si="302"/>
        <v xml:space="preserve">No pick yet                                                 </v>
      </c>
      <c r="E2062" s="52">
        <f t="shared" si="303"/>
        <v>0</v>
      </c>
      <c r="K2062" s="22"/>
      <c r="N2062" s="22"/>
      <c r="O2062" s="22"/>
      <c r="P2062" s="22"/>
      <c r="Q2062" s="22"/>
      <c r="R2062" s="22"/>
      <c r="S2062" s="22"/>
      <c r="Z2062" s="53"/>
      <c r="AA2062"/>
      <c r="AH2062" t="str">
        <f t="shared" si="304"/>
        <v>k yet</v>
      </c>
    </row>
    <row r="2063" spans="1:34">
      <c r="A2063" s="42" t="s">
        <v>263</v>
      </c>
      <c r="B2063" s="1" t="s">
        <v>20</v>
      </c>
      <c r="C2063" s="40" t="str">
        <f t="shared" si="301"/>
        <v>18-&gt;</v>
      </c>
      <c r="D2063" s="40" t="str">
        <f t="shared" si="302"/>
        <v xml:space="preserve">No pick yet                                                 </v>
      </c>
      <c r="E2063" s="52">
        <f t="shared" si="303"/>
        <v>0</v>
      </c>
      <c r="F2063" s="18"/>
      <c r="L2063" s="21"/>
      <c r="N2063" s="22"/>
      <c r="O2063" s="22"/>
      <c r="P2063" s="18"/>
      <c r="Q2063" s="22"/>
      <c r="R2063" s="22"/>
      <c r="S2063" s="22"/>
      <c r="Z2063" s="53"/>
      <c r="AA2063"/>
      <c r="AH2063" t="str">
        <f t="shared" si="304"/>
        <v>k yet</v>
      </c>
    </row>
    <row r="2064" spans="1:34">
      <c r="A2064" s="42" t="s">
        <v>264</v>
      </c>
      <c r="B2064" s="1" t="s">
        <v>20</v>
      </c>
      <c r="C2064" s="40" t="str">
        <f t="shared" si="301"/>
        <v>19-&gt;</v>
      </c>
      <c r="D2064" s="40" t="str">
        <f t="shared" si="302"/>
        <v xml:space="preserve">No pick yet                                                 </v>
      </c>
      <c r="E2064" s="52">
        <f t="shared" si="303"/>
        <v>0</v>
      </c>
      <c r="F2064" s="18"/>
      <c r="M2064" s="18"/>
      <c r="N2064" s="18"/>
      <c r="O2064" s="18"/>
      <c r="P2064" s="18"/>
      <c r="Q2064" s="22"/>
      <c r="R2064" s="21"/>
      <c r="S2064" s="21"/>
      <c r="T2064" s="21"/>
      <c r="AA2064"/>
      <c r="AH2064" t="str">
        <f t="shared" si="304"/>
        <v>k yet</v>
      </c>
    </row>
    <row r="2065" spans="1:39">
      <c r="A2065" s="42" t="s">
        <v>265</v>
      </c>
      <c r="B2065" s="1" t="s">
        <v>20</v>
      </c>
      <c r="C2065" s="40" t="str">
        <f t="shared" si="301"/>
        <v>20-&gt;</v>
      </c>
      <c r="D2065" s="40" t="str">
        <f t="shared" si="302"/>
        <v xml:space="preserve">No pick yet                                                 </v>
      </c>
      <c r="E2065" s="52">
        <f t="shared" si="303"/>
        <v>0</v>
      </c>
      <c r="F2065" s="18"/>
      <c r="M2065" s="18"/>
      <c r="N2065" s="18"/>
      <c r="O2065" s="18"/>
      <c r="P2065" s="18"/>
      <c r="Q2065" s="22"/>
      <c r="R2065" s="21"/>
      <c r="S2065" s="21"/>
      <c r="T2065" s="21"/>
      <c r="AA2065"/>
      <c r="AH2065" t="str">
        <f t="shared" si="304"/>
        <v>k yet</v>
      </c>
    </row>
    <row r="2066" spans="1:39">
      <c r="A2066" s="42" t="s">
        <v>266</v>
      </c>
      <c r="B2066" s="1" t="s">
        <v>20</v>
      </c>
      <c r="C2066" s="40" t="str">
        <f t="shared" si="301"/>
        <v>21-&gt;</v>
      </c>
      <c r="D2066" s="40" t="str">
        <f t="shared" si="302"/>
        <v xml:space="preserve">No pick yet                                                 </v>
      </c>
      <c r="E2066" s="52">
        <f t="shared" si="303"/>
        <v>0</v>
      </c>
      <c r="F2066" s="18"/>
      <c r="M2066" s="18"/>
      <c r="N2066" s="18"/>
      <c r="O2066" s="18"/>
      <c r="P2066" s="18"/>
      <c r="Q2066" s="22"/>
      <c r="R2066" s="21"/>
      <c r="S2066" s="21"/>
      <c r="T2066" s="21"/>
      <c r="AA2066"/>
      <c r="AH2066" t="str">
        <f t="shared" si="304"/>
        <v>k yet</v>
      </c>
    </row>
    <row r="2067" spans="1:39">
      <c r="A2067" s="42" t="s">
        <v>267</v>
      </c>
      <c r="B2067" s="1" t="s">
        <v>20</v>
      </c>
      <c r="C2067" s="40" t="str">
        <f t="shared" si="301"/>
        <v>22-&gt;</v>
      </c>
      <c r="D2067" s="40" t="str">
        <f t="shared" si="302"/>
        <v xml:space="preserve">No pick yet                                                 </v>
      </c>
      <c r="E2067" s="52">
        <f t="shared" si="303"/>
        <v>0</v>
      </c>
      <c r="F2067" s="18"/>
      <c r="M2067" s="18"/>
      <c r="N2067" s="18"/>
      <c r="O2067" s="18"/>
      <c r="P2067" s="18"/>
      <c r="Q2067" s="22"/>
      <c r="R2067" s="21"/>
      <c r="S2067" s="21"/>
      <c r="T2067" s="21"/>
      <c r="AA2067"/>
      <c r="AH2067" t="str">
        <f t="shared" si="304"/>
        <v>k yet</v>
      </c>
    </row>
    <row r="2068" spans="1:39">
      <c r="A2068" s="42" t="s">
        <v>268</v>
      </c>
      <c r="B2068" s="1" t="s">
        <v>20</v>
      </c>
      <c r="C2068" s="40" t="str">
        <f t="shared" si="301"/>
        <v>23-&gt;</v>
      </c>
      <c r="D2068" s="40" t="str">
        <f t="shared" si="302"/>
        <v xml:space="preserve">No pick yet                                                 </v>
      </c>
      <c r="E2068" s="52">
        <f t="shared" si="303"/>
        <v>0</v>
      </c>
      <c r="F2068" s="18"/>
      <c r="M2068" s="18"/>
      <c r="N2068" s="18"/>
      <c r="O2068" s="18"/>
      <c r="P2068" s="18"/>
      <c r="Q2068" s="22"/>
      <c r="R2068" s="21"/>
      <c r="S2068" s="21"/>
      <c r="T2068" s="21"/>
      <c r="AA2068"/>
      <c r="AH2068" t="str">
        <f t="shared" si="304"/>
        <v>k yet</v>
      </c>
    </row>
    <row r="2069" spans="1:39">
      <c r="A2069" s="42" t="s">
        <v>269</v>
      </c>
      <c r="B2069" s="1" t="s">
        <v>20</v>
      </c>
      <c r="C2069" s="40" t="str">
        <f t="shared" si="301"/>
        <v>24-&gt;</v>
      </c>
      <c r="D2069" s="40" t="str">
        <f t="shared" si="302"/>
        <v xml:space="preserve">No pick yet                                                 </v>
      </c>
      <c r="E2069" s="52">
        <f t="shared" si="303"/>
        <v>0</v>
      </c>
      <c r="F2069" s="18"/>
      <c r="M2069" s="18"/>
      <c r="N2069" s="18"/>
      <c r="O2069" s="18"/>
      <c r="P2069" s="18"/>
      <c r="Q2069" s="22"/>
      <c r="R2069" s="21"/>
      <c r="S2069" s="21"/>
      <c r="T2069" s="21"/>
      <c r="AA2069"/>
      <c r="AH2069" t="str">
        <f t="shared" si="304"/>
        <v>k yet</v>
      </c>
    </row>
    <row r="2070" spans="1:39">
      <c r="A2070" s="42" t="s">
        <v>270</v>
      </c>
      <c r="B2070" s="1" t="s">
        <v>20</v>
      </c>
      <c r="C2070" s="40" t="str">
        <f t="shared" si="301"/>
        <v>25-&gt;</v>
      </c>
      <c r="D2070" s="40" t="str">
        <f t="shared" si="302"/>
        <v xml:space="preserve">No pick yet                                                 </v>
      </c>
      <c r="E2070" s="52">
        <f t="shared" si="303"/>
        <v>0</v>
      </c>
      <c r="F2070" s="18"/>
      <c r="M2070" s="18"/>
      <c r="N2070" s="18"/>
      <c r="O2070" s="18"/>
      <c r="P2070" s="18"/>
      <c r="Q2070" s="22"/>
      <c r="R2070" s="21"/>
      <c r="S2070" s="21"/>
      <c r="T2070" s="21"/>
      <c r="AA2070"/>
      <c r="AH2070" t="str">
        <f t="shared" si="304"/>
        <v>k yet</v>
      </c>
    </row>
    <row r="2071" spans="1:39">
      <c r="A2071" s="42" t="s">
        <v>271</v>
      </c>
      <c r="B2071" s="1" t="s">
        <v>20</v>
      </c>
      <c r="C2071" s="40" t="str">
        <f t="shared" si="301"/>
        <v>26-&gt;</v>
      </c>
      <c r="D2071" s="40" t="str">
        <f t="shared" si="302"/>
        <v xml:space="preserve">No pick yet                                                 </v>
      </c>
      <c r="E2071" s="52">
        <f t="shared" si="303"/>
        <v>0</v>
      </c>
      <c r="F2071" s="18"/>
      <c r="M2071" s="18"/>
      <c r="N2071" s="18"/>
      <c r="O2071" s="18"/>
      <c r="P2071" s="18"/>
      <c r="Q2071" s="22"/>
      <c r="R2071" s="21"/>
      <c r="S2071" s="21"/>
      <c r="T2071" s="21"/>
      <c r="AA2071"/>
      <c r="AH2071" t="str">
        <f t="shared" si="304"/>
        <v>k yet</v>
      </c>
    </row>
    <row r="2072" spans="1:39">
      <c r="A2072" s="38"/>
      <c r="B2072" s="40"/>
      <c r="C2072" s="40"/>
      <c r="D2072" s="49"/>
      <c r="E2072" s="41" t="s">
        <v>69</v>
      </c>
      <c r="F2072" s="18"/>
      <c r="K2072" s="22" t="s">
        <v>73</v>
      </c>
      <c r="L2072" s="18" t="s">
        <v>74</v>
      </c>
      <c r="M2072" s="22" t="s">
        <v>78</v>
      </c>
      <c r="N2072" s="22" t="s">
        <v>79</v>
      </c>
      <c r="O2072" s="22" t="s">
        <v>80</v>
      </c>
      <c r="P2072" s="22" t="s">
        <v>81</v>
      </c>
      <c r="Q2072" s="22" t="s">
        <v>82</v>
      </c>
      <c r="R2072" s="22" t="s">
        <v>83</v>
      </c>
      <c r="S2072" s="22" t="s">
        <v>84</v>
      </c>
      <c r="T2072" s="18" t="s">
        <v>85</v>
      </c>
      <c r="U2072" s="18" t="s">
        <v>86</v>
      </c>
      <c r="V2072" s="18" t="s">
        <v>87</v>
      </c>
      <c r="W2072" s="18" t="s">
        <v>88</v>
      </c>
      <c r="X2072" s="18" t="s">
        <v>89</v>
      </c>
      <c r="Y2072" s="18" t="s">
        <v>90</v>
      </c>
      <c r="Z2072" s="18" t="s">
        <v>91</v>
      </c>
      <c r="AA2072" s="18" t="s">
        <v>92</v>
      </c>
      <c r="AB2072" s="18" t="s">
        <v>93</v>
      </c>
      <c r="AC2072" s="18" t="s">
        <v>94</v>
      </c>
      <c r="AD2072" s="18" t="s">
        <v>235</v>
      </c>
      <c r="AE2072" s="18" t="s">
        <v>236</v>
      </c>
      <c r="AF2072" s="18" t="s">
        <v>237</v>
      </c>
      <c r="AG2072" s="18" t="s">
        <v>238</v>
      </c>
      <c r="AH2072" s="18" t="s">
        <v>239</v>
      </c>
      <c r="AI2072" s="18" t="s">
        <v>240</v>
      </c>
      <c r="AJ2072" s="18" t="s">
        <v>241</v>
      </c>
      <c r="AK2072" s="18" t="s">
        <v>242</v>
      </c>
      <c r="AL2072" s="18" t="s">
        <v>243</v>
      </c>
      <c r="AM2072" s="50" t="s">
        <v>244</v>
      </c>
    </row>
    <row r="2073" spans="1:39">
      <c r="A2073" s="40" t="s">
        <v>245</v>
      </c>
      <c r="B2073" s="51" t="str">
        <f>D73</f>
        <v/>
      </c>
      <c r="C2073" s="40" t="str">
        <f t="shared" ref="C2073:C2099" si="305">A2073</f>
        <v>#</v>
      </c>
      <c r="D2073" s="40" t="str">
        <f>"   "&amp;B2073&amp;REPT(" ",$AH$70-LEN(B2073)-3)</f>
        <v xml:space="preserve">                                                            </v>
      </c>
      <c r="E2073" s="38" t="str">
        <f>SUM(E2074:E2099)&amp;" pts[/b]"</f>
        <v>0 pts[/b]</v>
      </c>
      <c r="F2073" s="21">
        <f>SUM(E2074:E2099)</f>
        <v>0</v>
      </c>
      <c r="K2073" s="18">
        <f>COUNTIF(E2074:E2099,"&gt;0")</f>
        <v>0</v>
      </c>
      <c r="L2073" s="21">
        <f>AM2073-K2073</f>
        <v>0</v>
      </c>
      <c r="M2073" s="22">
        <f>MAX(E2074:E2099)</f>
        <v>0</v>
      </c>
      <c r="N2073" s="22">
        <f>LARGE(E2074:E2099,2)</f>
        <v>0</v>
      </c>
      <c r="O2073" s="22">
        <f>LARGE(E2074:E2099,3)</f>
        <v>0</v>
      </c>
      <c r="P2073" s="18">
        <f>LARGE(E2074:E2099,4)</f>
        <v>0</v>
      </c>
      <c r="Q2073" s="22">
        <f>LARGE(E2074:E2099,5)</f>
        <v>0</v>
      </c>
      <c r="R2073" s="22">
        <f>LARGE(E2074:E2099,6)</f>
        <v>0</v>
      </c>
      <c r="S2073" s="22">
        <f>LARGE(E2074:E2099,7)</f>
        <v>0</v>
      </c>
      <c r="T2073" s="18">
        <f>LARGE(E2074:E2099,8)</f>
        <v>0</v>
      </c>
      <c r="U2073" s="18">
        <f>LARGE(E2074:E2099,9)</f>
        <v>0</v>
      </c>
      <c r="V2073" s="18">
        <f>LARGE(E2074:E2099,10)</f>
        <v>0</v>
      </c>
      <c r="W2073" s="18">
        <f>LARGE(E2074:E2099,11)</f>
        <v>0</v>
      </c>
      <c r="X2073" s="18">
        <f>LARGE(E2074:E2099,12)</f>
        <v>0</v>
      </c>
      <c r="Y2073" s="18">
        <f>LARGE(E2074:E2099,13)</f>
        <v>0</v>
      </c>
      <c r="Z2073" s="18">
        <f>LARGE(E2074:E2099,14)</f>
        <v>0</v>
      </c>
      <c r="AA2073" s="18">
        <f>LARGE(E2074:E2099,15)</f>
        <v>0</v>
      </c>
      <c r="AB2073" s="18">
        <f>LARGE(E2074:E2099,16)</f>
        <v>0</v>
      </c>
      <c r="AC2073" s="18">
        <f>LARGE(E2074:E2099,17)</f>
        <v>0</v>
      </c>
      <c r="AD2073" s="18">
        <f>LARGE(E2074:E2100,13)</f>
        <v>0</v>
      </c>
      <c r="AE2073" s="18">
        <f>LARGE(E2074:E2099,19)</f>
        <v>0</v>
      </c>
      <c r="AF2073" s="18">
        <f>LARGE(E2074:E2099,20)</f>
        <v>0</v>
      </c>
      <c r="AG2073" s="18">
        <f>LARGE(E2074:E2099,21)</f>
        <v>0</v>
      </c>
      <c r="AH2073" s="18">
        <f>LARGE(E2074:E2099,22)</f>
        <v>0</v>
      </c>
      <c r="AI2073" s="18">
        <f>LARGE(E2074:E2099,23)</f>
        <v>0</v>
      </c>
      <c r="AJ2073" s="18">
        <f>LARGE(E2074:E2099,24)</f>
        <v>0</v>
      </c>
      <c r="AK2073" s="18">
        <f>LARGE(E2074:E2099,25)</f>
        <v>0</v>
      </c>
      <c r="AL2073" s="18">
        <f>LARGE(E2074:E2099,26)</f>
        <v>0</v>
      </c>
      <c r="AM2073" s="50">
        <f>COUNTIF(AH2074:AH2099,"&lt;&gt;"&amp;$AH$76)-(26-COUNTIF(E2074:E2099,"&gt;=0"))</f>
        <v>0</v>
      </c>
    </row>
    <row r="2074" spans="1:39">
      <c r="A2074" s="42" t="s">
        <v>246</v>
      </c>
      <c r="B2074" s="1" t="s">
        <v>20</v>
      </c>
      <c r="C2074" s="40" t="str">
        <f t="shared" si="305"/>
        <v>01-&gt;</v>
      </c>
      <c r="D2074" s="40" t="str">
        <f t="shared" ref="D2074:D2099" si="306">B2074&amp;REPT(" ",$AH$70-LEN(B2074))</f>
        <v xml:space="preserve">No pick yet                                                 </v>
      </c>
      <c r="E2074" s="52">
        <f t="shared" ref="E2074:E2099" si="307">VLOOKUP(RIGHT(B2074,LEN(B2074)-$AH$66),$H$138:$I$420,2,0)</f>
        <v>0</v>
      </c>
      <c r="F2074" s="18"/>
      <c r="M2074" s="18"/>
      <c r="N2074" s="18"/>
      <c r="O2074" s="18"/>
      <c r="P2074" s="18"/>
      <c r="Q2074" s="22"/>
      <c r="R2074" s="21"/>
      <c r="S2074" s="21"/>
      <c r="T2074" s="21"/>
      <c r="AA2074"/>
      <c r="AH2074" t="str">
        <f t="shared" ref="AH2074:AH2099" si="308">RIGHT(B2074,LEN(B2074)-$AH$66)</f>
        <v>k yet</v>
      </c>
    </row>
    <row r="2075" spans="1:39">
      <c r="A2075" s="42" t="s">
        <v>247</v>
      </c>
      <c r="B2075" s="1" t="s">
        <v>20</v>
      </c>
      <c r="C2075" s="40" t="str">
        <f t="shared" si="305"/>
        <v>02-&gt;</v>
      </c>
      <c r="D2075" s="40" t="str">
        <f t="shared" si="306"/>
        <v xml:space="preserve">No pick yet                                                 </v>
      </c>
      <c r="E2075" s="52">
        <f t="shared" si="307"/>
        <v>0</v>
      </c>
      <c r="F2075" s="18"/>
      <c r="K2075" s="22"/>
      <c r="N2075" s="22"/>
      <c r="O2075" s="22"/>
      <c r="P2075" s="22"/>
      <c r="Q2075" s="22"/>
      <c r="R2075" s="22"/>
      <c r="S2075" s="22"/>
      <c r="Z2075" s="53"/>
      <c r="AA2075"/>
      <c r="AH2075" t="str">
        <f t="shared" si="308"/>
        <v>k yet</v>
      </c>
    </row>
    <row r="2076" spans="1:39">
      <c r="A2076" s="42" t="s">
        <v>248</v>
      </c>
      <c r="B2076" s="1" t="s">
        <v>20</v>
      </c>
      <c r="C2076" s="40" t="str">
        <f t="shared" si="305"/>
        <v>03-&gt;</v>
      </c>
      <c r="D2076" s="40" t="str">
        <f t="shared" si="306"/>
        <v xml:space="preserve">No pick yet                                                 </v>
      </c>
      <c r="E2076" s="52">
        <f t="shared" si="307"/>
        <v>0</v>
      </c>
      <c r="F2076" s="18"/>
      <c r="L2076" s="21"/>
      <c r="N2076" s="22"/>
      <c r="O2076" s="22"/>
      <c r="P2076" s="18"/>
      <c r="Q2076" s="22"/>
      <c r="R2076" s="22"/>
      <c r="S2076" s="22"/>
      <c r="Z2076" s="53"/>
      <c r="AA2076"/>
      <c r="AH2076" t="str">
        <f t="shared" si="308"/>
        <v>k yet</v>
      </c>
    </row>
    <row r="2077" spans="1:39">
      <c r="A2077" s="42" t="s">
        <v>249</v>
      </c>
      <c r="B2077" s="1" t="s">
        <v>20</v>
      </c>
      <c r="C2077" s="40" t="str">
        <f t="shared" si="305"/>
        <v>04-&gt;</v>
      </c>
      <c r="D2077" s="40" t="str">
        <f t="shared" si="306"/>
        <v xml:space="preserve">No pick yet                                                 </v>
      </c>
      <c r="E2077" s="52">
        <f t="shared" si="307"/>
        <v>0</v>
      </c>
      <c r="F2077" s="18"/>
      <c r="M2077" s="18"/>
      <c r="N2077" s="18"/>
      <c r="O2077" s="18"/>
      <c r="P2077" s="18"/>
      <c r="Q2077" s="22"/>
      <c r="R2077" s="21"/>
      <c r="S2077" s="21"/>
      <c r="T2077" s="21"/>
      <c r="AA2077"/>
      <c r="AH2077" t="str">
        <f t="shared" si="308"/>
        <v>k yet</v>
      </c>
    </row>
    <row r="2078" spans="1:39">
      <c r="A2078" s="42" t="s">
        <v>250</v>
      </c>
      <c r="B2078" s="1" t="s">
        <v>20</v>
      </c>
      <c r="C2078" s="40" t="str">
        <f t="shared" si="305"/>
        <v>05-&gt;</v>
      </c>
      <c r="D2078" s="40" t="str">
        <f t="shared" si="306"/>
        <v xml:space="preserve">No pick yet                                                 </v>
      </c>
      <c r="E2078" s="52">
        <f t="shared" si="307"/>
        <v>0</v>
      </c>
      <c r="F2078" s="18"/>
      <c r="M2078" s="18"/>
      <c r="N2078" s="18"/>
      <c r="O2078" s="18"/>
      <c r="P2078" s="18"/>
      <c r="Q2078" s="22"/>
      <c r="R2078" s="21"/>
      <c r="S2078" s="21"/>
      <c r="T2078" s="21"/>
      <c r="AA2078"/>
      <c r="AH2078" t="str">
        <f t="shared" si="308"/>
        <v>k yet</v>
      </c>
    </row>
    <row r="2079" spans="1:39">
      <c r="A2079" s="42" t="s">
        <v>251</v>
      </c>
      <c r="B2079" s="1" t="s">
        <v>20</v>
      </c>
      <c r="C2079" s="40" t="str">
        <f t="shared" si="305"/>
        <v>06-&gt;</v>
      </c>
      <c r="D2079" s="40" t="str">
        <f t="shared" si="306"/>
        <v xml:space="preserve">No pick yet                                                 </v>
      </c>
      <c r="E2079" s="52">
        <f t="shared" si="307"/>
        <v>0</v>
      </c>
      <c r="F2079" s="18"/>
      <c r="M2079" s="18"/>
      <c r="N2079" s="18"/>
      <c r="O2079" s="18"/>
      <c r="P2079" s="18"/>
      <c r="Q2079" s="22"/>
      <c r="R2079" s="21"/>
      <c r="S2079" s="21"/>
      <c r="T2079" s="21"/>
      <c r="AA2079"/>
      <c r="AH2079" t="str">
        <f t="shared" si="308"/>
        <v>k yet</v>
      </c>
    </row>
    <row r="2080" spans="1:39">
      <c r="A2080" s="42" t="s">
        <v>252</v>
      </c>
      <c r="B2080" s="1" t="s">
        <v>20</v>
      </c>
      <c r="C2080" s="40" t="str">
        <f t="shared" si="305"/>
        <v>07-&gt;</v>
      </c>
      <c r="D2080" s="40" t="str">
        <f t="shared" si="306"/>
        <v xml:space="preserve">No pick yet                                                 </v>
      </c>
      <c r="E2080" s="52">
        <f t="shared" si="307"/>
        <v>0</v>
      </c>
      <c r="F2080" s="18"/>
      <c r="M2080" s="18"/>
      <c r="N2080" s="18"/>
      <c r="O2080" s="18"/>
      <c r="P2080" s="18"/>
      <c r="Q2080" s="22"/>
      <c r="R2080" s="21"/>
      <c r="S2080" s="21"/>
      <c r="T2080" s="21"/>
      <c r="AA2080"/>
      <c r="AH2080" t="str">
        <f t="shared" si="308"/>
        <v>k yet</v>
      </c>
    </row>
    <row r="2081" spans="1:34">
      <c r="A2081" s="42" t="s">
        <v>253</v>
      </c>
      <c r="B2081" s="1" t="s">
        <v>20</v>
      </c>
      <c r="C2081" s="40" t="str">
        <f t="shared" si="305"/>
        <v>08-&gt;</v>
      </c>
      <c r="D2081" s="40" t="str">
        <f t="shared" si="306"/>
        <v xml:space="preserve">No pick yet                                                 </v>
      </c>
      <c r="E2081" s="52">
        <f t="shared" si="307"/>
        <v>0</v>
      </c>
      <c r="F2081" s="18"/>
      <c r="M2081" s="18"/>
      <c r="N2081" s="18"/>
      <c r="O2081" s="18"/>
      <c r="P2081" s="18"/>
      <c r="Q2081" s="22"/>
      <c r="R2081" s="21"/>
      <c r="S2081" s="21"/>
      <c r="T2081" s="21"/>
      <c r="AA2081"/>
      <c r="AH2081" t="str">
        <f t="shared" si="308"/>
        <v>k yet</v>
      </c>
    </row>
    <row r="2082" spans="1:34">
      <c r="A2082" s="42" t="s">
        <v>254</v>
      </c>
      <c r="B2082" s="1" t="s">
        <v>20</v>
      </c>
      <c r="C2082" s="40" t="str">
        <f t="shared" si="305"/>
        <v>09-&gt;</v>
      </c>
      <c r="D2082" s="40" t="str">
        <f t="shared" si="306"/>
        <v xml:space="preserve">No pick yet                                                 </v>
      </c>
      <c r="E2082" s="52">
        <f t="shared" si="307"/>
        <v>0</v>
      </c>
      <c r="F2082" s="18"/>
      <c r="M2082" s="18"/>
      <c r="N2082" s="18"/>
      <c r="O2082" s="18"/>
      <c r="P2082" s="18"/>
      <c r="Q2082" s="22"/>
      <c r="R2082" s="21"/>
      <c r="S2082" s="21"/>
      <c r="T2082" s="21"/>
      <c r="AA2082"/>
      <c r="AH2082" t="str">
        <f t="shared" si="308"/>
        <v>k yet</v>
      </c>
    </row>
    <row r="2083" spans="1:34">
      <c r="A2083" s="42" t="s">
        <v>255</v>
      </c>
      <c r="B2083" s="1" t="s">
        <v>20</v>
      </c>
      <c r="C2083" s="40" t="str">
        <f t="shared" si="305"/>
        <v>10-&gt;</v>
      </c>
      <c r="D2083" s="40" t="str">
        <f t="shared" si="306"/>
        <v xml:space="preserve">No pick yet                                                 </v>
      </c>
      <c r="E2083" s="52">
        <f t="shared" si="307"/>
        <v>0</v>
      </c>
      <c r="F2083" s="22"/>
      <c r="M2083" s="18"/>
      <c r="N2083" s="18"/>
      <c r="O2083" s="18"/>
      <c r="P2083" s="18"/>
      <c r="Q2083" s="22"/>
      <c r="R2083" s="21"/>
      <c r="S2083" s="21"/>
      <c r="T2083" s="21"/>
      <c r="AA2083"/>
      <c r="AH2083" t="str">
        <f t="shared" si="308"/>
        <v>k yet</v>
      </c>
    </row>
    <row r="2084" spans="1:34">
      <c r="A2084" s="42" t="s">
        <v>256</v>
      </c>
      <c r="B2084" s="1" t="s">
        <v>20</v>
      </c>
      <c r="C2084" s="40" t="str">
        <f t="shared" si="305"/>
        <v>11-&gt;</v>
      </c>
      <c r="D2084" s="40" t="str">
        <f t="shared" si="306"/>
        <v xml:space="preserve">No pick yet                                                 </v>
      </c>
      <c r="E2084" s="52">
        <f t="shared" si="307"/>
        <v>0</v>
      </c>
      <c r="M2084" s="18"/>
      <c r="N2084" s="18"/>
      <c r="O2084" s="18"/>
      <c r="P2084" s="18"/>
      <c r="Q2084" s="22"/>
      <c r="R2084" s="21"/>
      <c r="S2084" s="21"/>
      <c r="T2084" s="21"/>
      <c r="AA2084"/>
      <c r="AH2084" t="str">
        <f t="shared" si="308"/>
        <v>k yet</v>
      </c>
    </row>
    <row r="2085" spans="1:34">
      <c r="A2085" s="42" t="s">
        <v>257</v>
      </c>
      <c r="B2085" s="1" t="s">
        <v>20</v>
      </c>
      <c r="C2085" s="40" t="str">
        <f t="shared" si="305"/>
        <v>12-&gt;</v>
      </c>
      <c r="D2085" s="40" t="str">
        <f t="shared" si="306"/>
        <v xml:space="preserve">No pick yet                                                 </v>
      </c>
      <c r="E2085" s="52">
        <f t="shared" si="307"/>
        <v>0</v>
      </c>
      <c r="M2085" s="18"/>
      <c r="N2085" s="18"/>
      <c r="O2085" s="18"/>
      <c r="P2085" s="18"/>
      <c r="Q2085" s="22"/>
      <c r="R2085" s="21"/>
      <c r="S2085" s="21"/>
      <c r="T2085" s="21"/>
      <c r="AA2085"/>
      <c r="AH2085" t="str">
        <f t="shared" si="308"/>
        <v>k yet</v>
      </c>
    </row>
    <row r="2086" spans="1:34">
      <c r="A2086" s="42" t="s">
        <v>258</v>
      </c>
      <c r="B2086" s="1" t="s">
        <v>20</v>
      </c>
      <c r="C2086" s="40" t="str">
        <f t="shared" si="305"/>
        <v>13-&gt;</v>
      </c>
      <c r="D2086" s="40" t="str">
        <f t="shared" si="306"/>
        <v xml:space="preserve">No pick yet                                                 </v>
      </c>
      <c r="E2086" s="52">
        <f t="shared" si="307"/>
        <v>0</v>
      </c>
      <c r="M2086" s="18"/>
      <c r="N2086" s="18"/>
      <c r="O2086" s="18"/>
      <c r="P2086" s="18"/>
      <c r="Q2086" s="22"/>
      <c r="R2086" s="21"/>
      <c r="S2086" s="21"/>
      <c r="T2086" s="21"/>
      <c r="AA2086"/>
      <c r="AH2086" t="str">
        <f t="shared" si="308"/>
        <v>k yet</v>
      </c>
    </row>
    <row r="2087" spans="1:34">
      <c r="A2087" s="42" t="s">
        <v>259</v>
      </c>
      <c r="B2087" s="1" t="s">
        <v>20</v>
      </c>
      <c r="C2087" s="40" t="str">
        <f t="shared" si="305"/>
        <v>14-&gt;</v>
      </c>
      <c r="D2087" s="40" t="str">
        <f t="shared" si="306"/>
        <v xml:space="preserve">No pick yet                                                 </v>
      </c>
      <c r="E2087" s="52">
        <f t="shared" si="307"/>
        <v>0</v>
      </c>
      <c r="M2087" s="18"/>
      <c r="N2087" s="18"/>
      <c r="O2087" s="18"/>
      <c r="P2087" s="18"/>
      <c r="Q2087" s="22"/>
      <c r="R2087" s="21"/>
      <c r="S2087" s="21"/>
      <c r="T2087" s="21"/>
      <c r="AA2087"/>
      <c r="AH2087" t="str">
        <f t="shared" si="308"/>
        <v>k yet</v>
      </c>
    </row>
    <row r="2088" spans="1:34">
      <c r="A2088" s="42" t="s">
        <v>260</v>
      </c>
      <c r="B2088" s="1" t="s">
        <v>20</v>
      </c>
      <c r="C2088" s="40" t="str">
        <f t="shared" si="305"/>
        <v>15-&gt;</v>
      </c>
      <c r="D2088" s="40" t="str">
        <f t="shared" si="306"/>
        <v xml:space="preserve">No pick yet                                                 </v>
      </c>
      <c r="E2088" s="52">
        <f t="shared" si="307"/>
        <v>0</v>
      </c>
      <c r="M2088" s="18"/>
      <c r="N2088" s="18"/>
      <c r="O2088" s="18"/>
      <c r="P2088" s="18"/>
      <c r="Q2088" s="22"/>
      <c r="R2088" s="21"/>
      <c r="S2088" s="21"/>
      <c r="T2088" s="21"/>
      <c r="AA2088"/>
      <c r="AH2088" t="str">
        <f t="shared" si="308"/>
        <v>k yet</v>
      </c>
    </row>
    <row r="2089" spans="1:34">
      <c r="A2089" s="42" t="s">
        <v>261</v>
      </c>
      <c r="B2089" s="1" t="s">
        <v>20</v>
      </c>
      <c r="C2089" s="40" t="str">
        <f t="shared" si="305"/>
        <v>16-&gt;</v>
      </c>
      <c r="D2089" s="40" t="str">
        <f t="shared" si="306"/>
        <v xml:space="preserve">No pick yet                                                 </v>
      </c>
      <c r="E2089" s="52">
        <f t="shared" si="307"/>
        <v>0</v>
      </c>
      <c r="M2089" s="18"/>
      <c r="N2089" s="18"/>
      <c r="O2089" s="18"/>
      <c r="P2089" s="18"/>
      <c r="Q2089" s="22"/>
      <c r="R2089" s="21"/>
      <c r="S2089" s="21"/>
      <c r="T2089" s="21"/>
      <c r="AA2089"/>
      <c r="AH2089" t="str">
        <f t="shared" si="308"/>
        <v>k yet</v>
      </c>
    </row>
    <row r="2090" spans="1:34">
      <c r="A2090" s="42" t="s">
        <v>262</v>
      </c>
      <c r="B2090" s="1" t="s">
        <v>20</v>
      </c>
      <c r="C2090" s="40" t="str">
        <f t="shared" si="305"/>
        <v>17-&gt;</v>
      </c>
      <c r="D2090" s="40" t="str">
        <f t="shared" si="306"/>
        <v xml:space="preserve">No pick yet                                                 </v>
      </c>
      <c r="E2090" s="52">
        <f t="shared" si="307"/>
        <v>0</v>
      </c>
      <c r="K2090" s="22"/>
      <c r="N2090" s="22"/>
      <c r="O2090" s="22"/>
      <c r="P2090" s="22"/>
      <c r="Q2090" s="22"/>
      <c r="R2090" s="22"/>
      <c r="S2090" s="22"/>
      <c r="Z2090" s="53"/>
      <c r="AA2090"/>
      <c r="AH2090" t="str">
        <f t="shared" si="308"/>
        <v>k yet</v>
      </c>
    </row>
    <row r="2091" spans="1:34">
      <c r="A2091" s="42" t="s">
        <v>263</v>
      </c>
      <c r="B2091" s="1" t="s">
        <v>20</v>
      </c>
      <c r="C2091" s="40" t="str">
        <f t="shared" si="305"/>
        <v>18-&gt;</v>
      </c>
      <c r="D2091" s="40" t="str">
        <f t="shared" si="306"/>
        <v xml:space="preserve">No pick yet                                                 </v>
      </c>
      <c r="E2091" s="52">
        <f t="shared" si="307"/>
        <v>0</v>
      </c>
      <c r="F2091" s="18"/>
      <c r="L2091" s="21"/>
      <c r="N2091" s="22"/>
      <c r="O2091" s="22"/>
      <c r="P2091" s="18"/>
      <c r="Q2091" s="22"/>
      <c r="R2091" s="22"/>
      <c r="S2091" s="22"/>
      <c r="Z2091" s="53"/>
      <c r="AA2091"/>
      <c r="AH2091" t="str">
        <f t="shared" si="308"/>
        <v>k yet</v>
      </c>
    </row>
    <row r="2092" spans="1:34">
      <c r="A2092" s="42" t="s">
        <v>264</v>
      </c>
      <c r="B2092" s="1" t="s">
        <v>20</v>
      </c>
      <c r="C2092" s="40" t="str">
        <f t="shared" si="305"/>
        <v>19-&gt;</v>
      </c>
      <c r="D2092" s="40" t="str">
        <f t="shared" si="306"/>
        <v xml:space="preserve">No pick yet                                                 </v>
      </c>
      <c r="E2092" s="52">
        <f t="shared" si="307"/>
        <v>0</v>
      </c>
      <c r="F2092" s="18"/>
      <c r="M2092" s="18"/>
      <c r="N2092" s="18"/>
      <c r="O2092" s="18"/>
      <c r="P2092" s="18"/>
      <c r="Q2092" s="22"/>
      <c r="R2092" s="21"/>
      <c r="S2092" s="21"/>
      <c r="T2092" s="21"/>
      <c r="AA2092"/>
      <c r="AH2092" t="str">
        <f t="shared" si="308"/>
        <v>k yet</v>
      </c>
    </row>
    <row r="2093" spans="1:34">
      <c r="A2093" s="42" t="s">
        <v>265</v>
      </c>
      <c r="B2093" s="1" t="s">
        <v>20</v>
      </c>
      <c r="C2093" s="40" t="str">
        <f t="shared" si="305"/>
        <v>20-&gt;</v>
      </c>
      <c r="D2093" s="40" t="str">
        <f t="shared" si="306"/>
        <v xml:space="preserve">No pick yet                                                 </v>
      </c>
      <c r="E2093" s="52">
        <f t="shared" si="307"/>
        <v>0</v>
      </c>
      <c r="F2093" s="18"/>
      <c r="M2093" s="18"/>
      <c r="N2093" s="18"/>
      <c r="O2093" s="18"/>
      <c r="P2093" s="18"/>
      <c r="Q2093" s="22"/>
      <c r="R2093" s="21"/>
      <c r="S2093" s="21"/>
      <c r="T2093" s="21"/>
      <c r="AA2093"/>
      <c r="AH2093" t="str">
        <f t="shared" si="308"/>
        <v>k yet</v>
      </c>
    </row>
    <row r="2094" spans="1:34">
      <c r="A2094" s="42" t="s">
        <v>266</v>
      </c>
      <c r="B2094" s="1" t="s">
        <v>20</v>
      </c>
      <c r="C2094" s="40" t="str">
        <f t="shared" si="305"/>
        <v>21-&gt;</v>
      </c>
      <c r="D2094" s="40" t="str">
        <f t="shared" si="306"/>
        <v xml:space="preserve">No pick yet                                                 </v>
      </c>
      <c r="E2094" s="52">
        <f t="shared" si="307"/>
        <v>0</v>
      </c>
      <c r="F2094" s="18"/>
      <c r="M2094" s="18"/>
      <c r="N2094" s="18"/>
      <c r="O2094" s="18"/>
      <c r="P2094" s="18"/>
      <c r="Q2094" s="22"/>
      <c r="R2094" s="21"/>
      <c r="S2094" s="21"/>
      <c r="T2094" s="21"/>
      <c r="AA2094"/>
      <c r="AH2094" t="str">
        <f t="shared" si="308"/>
        <v>k yet</v>
      </c>
    </row>
    <row r="2095" spans="1:34">
      <c r="A2095" s="42" t="s">
        <v>267</v>
      </c>
      <c r="B2095" s="1" t="s">
        <v>20</v>
      </c>
      <c r="C2095" s="40" t="str">
        <f t="shared" si="305"/>
        <v>22-&gt;</v>
      </c>
      <c r="D2095" s="40" t="str">
        <f t="shared" si="306"/>
        <v xml:space="preserve">No pick yet                                                 </v>
      </c>
      <c r="E2095" s="52">
        <f t="shared" si="307"/>
        <v>0</v>
      </c>
      <c r="F2095" s="18"/>
      <c r="M2095" s="18"/>
      <c r="N2095" s="18"/>
      <c r="O2095" s="18"/>
      <c r="P2095" s="18"/>
      <c r="Q2095" s="22"/>
      <c r="R2095" s="21"/>
      <c r="S2095" s="21"/>
      <c r="T2095" s="21"/>
      <c r="AA2095"/>
      <c r="AH2095" t="str">
        <f t="shared" si="308"/>
        <v>k yet</v>
      </c>
    </row>
    <row r="2096" spans="1:34">
      <c r="A2096" s="42" t="s">
        <v>268</v>
      </c>
      <c r="B2096" s="1" t="s">
        <v>20</v>
      </c>
      <c r="C2096" s="40" t="str">
        <f t="shared" si="305"/>
        <v>23-&gt;</v>
      </c>
      <c r="D2096" s="40" t="str">
        <f t="shared" si="306"/>
        <v xml:space="preserve">No pick yet                                                 </v>
      </c>
      <c r="E2096" s="52">
        <f t="shared" si="307"/>
        <v>0</v>
      </c>
      <c r="F2096" s="18"/>
      <c r="M2096" s="18"/>
      <c r="N2096" s="18"/>
      <c r="O2096" s="18"/>
      <c r="P2096" s="18"/>
      <c r="Q2096" s="22"/>
      <c r="R2096" s="21"/>
      <c r="S2096" s="21"/>
      <c r="T2096" s="21"/>
      <c r="AA2096"/>
      <c r="AH2096" t="str">
        <f t="shared" si="308"/>
        <v>k yet</v>
      </c>
    </row>
    <row r="2097" spans="1:39">
      <c r="A2097" s="42" t="s">
        <v>269</v>
      </c>
      <c r="B2097" s="1" t="s">
        <v>20</v>
      </c>
      <c r="C2097" s="40" t="str">
        <f t="shared" si="305"/>
        <v>24-&gt;</v>
      </c>
      <c r="D2097" s="40" t="str">
        <f t="shared" si="306"/>
        <v xml:space="preserve">No pick yet                                                 </v>
      </c>
      <c r="E2097" s="52">
        <f t="shared" si="307"/>
        <v>0</v>
      </c>
      <c r="F2097" s="18"/>
      <c r="M2097" s="18"/>
      <c r="N2097" s="18"/>
      <c r="O2097" s="18"/>
      <c r="P2097" s="18"/>
      <c r="Q2097" s="22"/>
      <c r="R2097" s="21"/>
      <c r="S2097" s="21"/>
      <c r="T2097" s="21"/>
      <c r="AA2097"/>
      <c r="AH2097" t="str">
        <f t="shared" si="308"/>
        <v>k yet</v>
      </c>
    </row>
    <row r="2098" spans="1:39">
      <c r="A2098" s="42" t="s">
        <v>270</v>
      </c>
      <c r="B2098" s="1" t="s">
        <v>20</v>
      </c>
      <c r="C2098" s="40" t="str">
        <f t="shared" si="305"/>
        <v>25-&gt;</v>
      </c>
      <c r="D2098" s="40" t="str">
        <f t="shared" si="306"/>
        <v xml:space="preserve">No pick yet                                                 </v>
      </c>
      <c r="E2098" s="52">
        <f t="shared" si="307"/>
        <v>0</v>
      </c>
      <c r="F2098" s="18"/>
      <c r="M2098" s="18"/>
      <c r="N2098" s="18"/>
      <c r="O2098" s="18"/>
      <c r="P2098" s="18"/>
      <c r="Q2098" s="22"/>
      <c r="R2098" s="21"/>
      <c r="S2098" s="21"/>
      <c r="T2098" s="21"/>
      <c r="AA2098"/>
      <c r="AH2098" t="str">
        <f t="shared" si="308"/>
        <v>k yet</v>
      </c>
    </row>
    <row r="2099" spans="1:39">
      <c r="A2099" s="42" t="s">
        <v>271</v>
      </c>
      <c r="B2099" s="1" t="s">
        <v>20</v>
      </c>
      <c r="C2099" s="40" t="str">
        <f t="shared" si="305"/>
        <v>26-&gt;</v>
      </c>
      <c r="D2099" s="40" t="str">
        <f t="shared" si="306"/>
        <v xml:space="preserve">No pick yet                                                 </v>
      </c>
      <c r="E2099" s="52">
        <f t="shared" si="307"/>
        <v>0</v>
      </c>
      <c r="F2099" s="18"/>
      <c r="M2099" s="18"/>
      <c r="N2099" s="18"/>
      <c r="O2099" s="18"/>
      <c r="P2099" s="18"/>
      <c r="Q2099" s="22"/>
      <c r="R2099" s="21"/>
      <c r="S2099" s="21"/>
      <c r="T2099" s="21"/>
      <c r="AA2099"/>
      <c r="AH2099" t="str">
        <f t="shared" si="308"/>
        <v>k yet</v>
      </c>
    </row>
    <row r="2100" spans="1:39">
      <c r="A2100" s="38"/>
      <c r="B2100" s="40"/>
      <c r="C2100" s="40"/>
      <c r="D2100" s="49"/>
      <c r="E2100" s="41" t="s">
        <v>69</v>
      </c>
      <c r="F2100" s="18"/>
      <c r="K2100" s="22" t="s">
        <v>73</v>
      </c>
      <c r="L2100" s="18" t="s">
        <v>74</v>
      </c>
      <c r="M2100" s="22" t="s">
        <v>78</v>
      </c>
      <c r="N2100" s="22" t="s">
        <v>79</v>
      </c>
      <c r="O2100" s="22" t="s">
        <v>80</v>
      </c>
      <c r="P2100" s="22" t="s">
        <v>81</v>
      </c>
      <c r="Q2100" s="22" t="s">
        <v>82</v>
      </c>
      <c r="R2100" s="22" t="s">
        <v>83</v>
      </c>
      <c r="S2100" s="22" t="s">
        <v>84</v>
      </c>
      <c r="T2100" s="18" t="s">
        <v>85</v>
      </c>
      <c r="U2100" s="18" t="s">
        <v>86</v>
      </c>
      <c r="V2100" s="18" t="s">
        <v>87</v>
      </c>
      <c r="W2100" s="18" t="s">
        <v>88</v>
      </c>
      <c r="X2100" s="18" t="s">
        <v>89</v>
      </c>
      <c r="Y2100" s="18" t="s">
        <v>90</v>
      </c>
      <c r="Z2100" s="18" t="s">
        <v>91</v>
      </c>
      <c r="AA2100" s="18" t="s">
        <v>92</v>
      </c>
      <c r="AB2100" s="18" t="s">
        <v>93</v>
      </c>
      <c r="AC2100" s="18" t="s">
        <v>94</v>
      </c>
      <c r="AD2100" s="18" t="s">
        <v>235</v>
      </c>
      <c r="AE2100" s="18" t="s">
        <v>236</v>
      </c>
      <c r="AF2100" s="18" t="s">
        <v>237</v>
      </c>
      <c r="AG2100" s="18" t="s">
        <v>238</v>
      </c>
      <c r="AH2100" s="18" t="s">
        <v>239</v>
      </c>
      <c r="AI2100" s="18" t="s">
        <v>240</v>
      </c>
      <c r="AJ2100" s="18" t="s">
        <v>241</v>
      </c>
      <c r="AK2100" s="18" t="s">
        <v>242</v>
      </c>
      <c r="AL2100" s="18" t="s">
        <v>243</v>
      </c>
      <c r="AM2100" s="50" t="s">
        <v>244</v>
      </c>
    </row>
    <row r="2101" spans="1:39">
      <c r="A2101" s="40" t="s">
        <v>245</v>
      </c>
      <c r="B2101" s="51" t="str">
        <f>D74</f>
        <v/>
      </c>
      <c r="C2101" s="40" t="str">
        <f t="shared" ref="C2101:C2127" si="309">A2101</f>
        <v>#</v>
      </c>
      <c r="D2101" s="40" t="str">
        <f>"   "&amp;B2101&amp;REPT(" ",$AH$70-LEN(B2101)-3)</f>
        <v xml:space="preserve">                                                            </v>
      </c>
      <c r="E2101" s="38" t="str">
        <f>SUM(E2102:E2127)&amp;" pts[/b]"</f>
        <v>0 pts[/b]</v>
      </c>
      <c r="F2101" s="21">
        <f>SUM(E2102:E2127)</f>
        <v>0</v>
      </c>
      <c r="K2101" s="18">
        <f>COUNTIF(E2102:E2127,"&gt;0")</f>
        <v>0</v>
      </c>
      <c r="L2101" s="21">
        <f>AM2101-K2101</f>
        <v>0</v>
      </c>
      <c r="M2101" s="22">
        <f>MAX(E2102:E2127)</f>
        <v>0</v>
      </c>
      <c r="N2101" s="22">
        <f>LARGE(E2102:E2127,2)</f>
        <v>0</v>
      </c>
      <c r="O2101" s="22">
        <f>LARGE(E2102:E2127,3)</f>
        <v>0</v>
      </c>
      <c r="P2101" s="18">
        <f>LARGE(E2102:E2127,4)</f>
        <v>0</v>
      </c>
      <c r="Q2101" s="22">
        <f>LARGE(E2102:E2127,5)</f>
        <v>0</v>
      </c>
      <c r="R2101" s="22">
        <f>LARGE(E2102:E2127,6)</f>
        <v>0</v>
      </c>
      <c r="S2101" s="22">
        <f>LARGE(E2102:E2127,7)</f>
        <v>0</v>
      </c>
      <c r="T2101" s="18">
        <f>LARGE(E2102:E2127,8)</f>
        <v>0</v>
      </c>
      <c r="U2101" s="18">
        <f>LARGE(E2102:E2127,9)</f>
        <v>0</v>
      </c>
      <c r="V2101" s="18">
        <f>LARGE(E2102:E2127,10)</f>
        <v>0</v>
      </c>
      <c r="W2101" s="18">
        <f>LARGE(E2102:E2127,11)</f>
        <v>0</v>
      </c>
      <c r="X2101" s="18">
        <f>LARGE(E2102:E2127,12)</f>
        <v>0</v>
      </c>
      <c r="Y2101" s="18">
        <f>LARGE(E2102:E2127,13)</f>
        <v>0</v>
      </c>
      <c r="Z2101" s="18">
        <f>LARGE(E2102:E2127,14)</f>
        <v>0</v>
      </c>
      <c r="AA2101" s="18">
        <f>LARGE(E2102:E2127,15)</f>
        <v>0</v>
      </c>
      <c r="AB2101" s="18">
        <f>LARGE(E2102:E2127,16)</f>
        <v>0</v>
      </c>
      <c r="AC2101" s="18">
        <f>LARGE(E2102:E2127,17)</f>
        <v>0</v>
      </c>
      <c r="AD2101" s="18">
        <f>LARGE(E2102:E2128,13)</f>
        <v>0</v>
      </c>
      <c r="AE2101" s="18">
        <f>LARGE(E2102:E2127,19)</f>
        <v>0</v>
      </c>
      <c r="AF2101" s="18">
        <f>LARGE(E2102:E2127,20)</f>
        <v>0</v>
      </c>
      <c r="AG2101" s="18">
        <f>LARGE(E2102:E2127,21)</f>
        <v>0</v>
      </c>
      <c r="AH2101" s="18">
        <f>LARGE(E2102:E2127,22)</f>
        <v>0</v>
      </c>
      <c r="AI2101" s="18">
        <f>LARGE(E2102:E2127,23)</f>
        <v>0</v>
      </c>
      <c r="AJ2101" s="18">
        <f>LARGE(E2102:E2127,24)</f>
        <v>0</v>
      </c>
      <c r="AK2101" s="18">
        <f>LARGE(E2102:E2127,25)</f>
        <v>0</v>
      </c>
      <c r="AL2101" s="18">
        <f>LARGE(E2102:E2127,26)</f>
        <v>0</v>
      </c>
      <c r="AM2101" s="50">
        <f>COUNTIF(AH2102:AH2127,"&lt;&gt;"&amp;$AH$76)-(26-COUNTIF(E2102:E2127,"&gt;=0"))</f>
        <v>0</v>
      </c>
    </row>
    <row r="2102" spans="1:39">
      <c r="A2102" s="42" t="s">
        <v>246</v>
      </c>
      <c r="B2102" s="1" t="s">
        <v>20</v>
      </c>
      <c r="C2102" s="40" t="str">
        <f t="shared" si="309"/>
        <v>01-&gt;</v>
      </c>
      <c r="D2102" s="40" t="str">
        <f t="shared" ref="D2102:D2127" si="310">B2102&amp;REPT(" ",$AH$70-LEN(B2102))</f>
        <v xml:space="preserve">No pick yet                                                 </v>
      </c>
      <c r="E2102" s="52">
        <f t="shared" ref="E2102:E2127" si="311">VLOOKUP(RIGHT(B2102,LEN(B2102)-$AH$66),$H$138:$I$420,2,0)</f>
        <v>0</v>
      </c>
      <c r="F2102" s="18"/>
      <c r="M2102" s="18"/>
      <c r="N2102" s="18"/>
      <c r="O2102" s="18"/>
      <c r="P2102" s="18"/>
      <c r="Q2102" s="22"/>
      <c r="R2102" s="21"/>
      <c r="S2102" s="21"/>
      <c r="T2102" s="21"/>
      <c r="AA2102"/>
      <c r="AH2102" t="str">
        <f t="shared" ref="AH2102:AH2127" si="312">RIGHT(B2102,LEN(B2102)-$AH$66)</f>
        <v>k yet</v>
      </c>
    </row>
    <row r="2103" spans="1:39">
      <c r="A2103" s="42" t="s">
        <v>247</v>
      </c>
      <c r="B2103" s="1" t="s">
        <v>20</v>
      </c>
      <c r="C2103" s="40" t="str">
        <f t="shared" si="309"/>
        <v>02-&gt;</v>
      </c>
      <c r="D2103" s="40" t="str">
        <f t="shared" si="310"/>
        <v xml:space="preserve">No pick yet                                                 </v>
      </c>
      <c r="E2103" s="52">
        <f t="shared" si="311"/>
        <v>0</v>
      </c>
      <c r="F2103" s="18"/>
      <c r="K2103" s="22"/>
      <c r="N2103" s="22"/>
      <c r="O2103" s="22"/>
      <c r="P2103" s="22"/>
      <c r="Q2103" s="22"/>
      <c r="R2103" s="22"/>
      <c r="S2103" s="22"/>
      <c r="Z2103" s="53"/>
      <c r="AA2103"/>
      <c r="AH2103" t="str">
        <f t="shared" si="312"/>
        <v>k yet</v>
      </c>
    </row>
    <row r="2104" spans="1:39">
      <c r="A2104" s="42" t="s">
        <v>248</v>
      </c>
      <c r="B2104" s="1" t="s">
        <v>20</v>
      </c>
      <c r="C2104" s="40" t="str">
        <f t="shared" si="309"/>
        <v>03-&gt;</v>
      </c>
      <c r="D2104" s="40" t="str">
        <f t="shared" si="310"/>
        <v xml:space="preserve">No pick yet                                                 </v>
      </c>
      <c r="E2104" s="52">
        <f t="shared" si="311"/>
        <v>0</v>
      </c>
      <c r="F2104" s="18"/>
      <c r="L2104" s="21"/>
      <c r="N2104" s="22"/>
      <c r="O2104" s="22"/>
      <c r="P2104" s="18"/>
      <c r="Q2104" s="22"/>
      <c r="R2104" s="22"/>
      <c r="S2104" s="22"/>
      <c r="Z2104" s="53"/>
      <c r="AA2104"/>
      <c r="AH2104" t="str">
        <f t="shared" si="312"/>
        <v>k yet</v>
      </c>
    </row>
    <row r="2105" spans="1:39">
      <c r="A2105" s="42" t="s">
        <v>249</v>
      </c>
      <c r="B2105" s="1" t="s">
        <v>20</v>
      </c>
      <c r="C2105" s="40" t="str">
        <f t="shared" si="309"/>
        <v>04-&gt;</v>
      </c>
      <c r="D2105" s="40" t="str">
        <f t="shared" si="310"/>
        <v xml:space="preserve">No pick yet                                                 </v>
      </c>
      <c r="E2105" s="52">
        <f t="shared" si="311"/>
        <v>0</v>
      </c>
      <c r="F2105" s="18"/>
      <c r="M2105" s="18"/>
      <c r="N2105" s="18"/>
      <c r="O2105" s="18"/>
      <c r="P2105" s="18"/>
      <c r="Q2105" s="22"/>
      <c r="R2105" s="21"/>
      <c r="S2105" s="21"/>
      <c r="T2105" s="21"/>
      <c r="AA2105"/>
      <c r="AH2105" t="str">
        <f t="shared" si="312"/>
        <v>k yet</v>
      </c>
    </row>
    <row r="2106" spans="1:39">
      <c r="A2106" s="42" t="s">
        <v>250</v>
      </c>
      <c r="B2106" s="1" t="s">
        <v>20</v>
      </c>
      <c r="C2106" s="40" t="str">
        <f t="shared" si="309"/>
        <v>05-&gt;</v>
      </c>
      <c r="D2106" s="40" t="str">
        <f t="shared" si="310"/>
        <v xml:space="preserve">No pick yet                                                 </v>
      </c>
      <c r="E2106" s="52">
        <f t="shared" si="311"/>
        <v>0</v>
      </c>
      <c r="F2106" s="18"/>
      <c r="M2106" s="18"/>
      <c r="N2106" s="18"/>
      <c r="O2106" s="18"/>
      <c r="P2106" s="18"/>
      <c r="Q2106" s="22"/>
      <c r="R2106" s="21"/>
      <c r="S2106" s="21"/>
      <c r="T2106" s="21"/>
      <c r="AA2106"/>
      <c r="AH2106" t="str">
        <f t="shared" si="312"/>
        <v>k yet</v>
      </c>
    </row>
    <row r="2107" spans="1:39">
      <c r="A2107" s="42" t="s">
        <v>251</v>
      </c>
      <c r="B2107" s="1" t="s">
        <v>20</v>
      </c>
      <c r="C2107" s="40" t="str">
        <f t="shared" si="309"/>
        <v>06-&gt;</v>
      </c>
      <c r="D2107" s="40" t="str">
        <f t="shared" si="310"/>
        <v xml:space="preserve">No pick yet                                                 </v>
      </c>
      <c r="E2107" s="52">
        <f t="shared" si="311"/>
        <v>0</v>
      </c>
      <c r="F2107" s="18"/>
      <c r="M2107" s="18"/>
      <c r="N2107" s="18"/>
      <c r="O2107" s="18"/>
      <c r="P2107" s="18"/>
      <c r="Q2107" s="22"/>
      <c r="R2107" s="21"/>
      <c r="S2107" s="21"/>
      <c r="T2107" s="21"/>
      <c r="AA2107"/>
      <c r="AH2107" t="str">
        <f t="shared" si="312"/>
        <v>k yet</v>
      </c>
    </row>
    <row r="2108" spans="1:39">
      <c r="A2108" s="42" t="s">
        <v>252</v>
      </c>
      <c r="B2108" s="1" t="s">
        <v>20</v>
      </c>
      <c r="C2108" s="40" t="str">
        <f t="shared" si="309"/>
        <v>07-&gt;</v>
      </c>
      <c r="D2108" s="40" t="str">
        <f t="shared" si="310"/>
        <v xml:space="preserve">No pick yet                                                 </v>
      </c>
      <c r="E2108" s="52">
        <f t="shared" si="311"/>
        <v>0</v>
      </c>
      <c r="F2108" s="18"/>
      <c r="M2108" s="18"/>
      <c r="N2108" s="18"/>
      <c r="O2108" s="18"/>
      <c r="P2108" s="18"/>
      <c r="Q2108" s="22"/>
      <c r="R2108" s="21"/>
      <c r="S2108" s="21"/>
      <c r="T2108" s="21"/>
      <c r="AA2108"/>
      <c r="AH2108" t="str">
        <f t="shared" si="312"/>
        <v>k yet</v>
      </c>
    </row>
    <row r="2109" spans="1:39">
      <c r="A2109" s="42" t="s">
        <v>253</v>
      </c>
      <c r="B2109" s="1" t="s">
        <v>20</v>
      </c>
      <c r="C2109" s="40" t="str">
        <f t="shared" si="309"/>
        <v>08-&gt;</v>
      </c>
      <c r="D2109" s="40" t="str">
        <f t="shared" si="310"/>
        <v xml:space="preserve">No pick yet                                                 </v>
      </c>
      <c r="E2109" s="52">
        <f t="shared" si="311"/>
        <v>0</v>
      </c>
      <c r="F2109" s="18"/>
      <c r="M2109" s="18"/>
      <c r="N2109" s="18"/>
      <c r="O2109" s="18"/>
      <c r="P2109" s="18"/>
      <c r="Q2109" s="22"/>
      <c r="R2109" s="21"/>
      <c r="S2109" s="21"/>
      <c r="T2109" s="21"/>
      <c r="AA2109"/>
      <c r="AH2109" t="str">
        <f t="shared" si="312"/>
        <v>k yet</v>
      </c>
    </row>
    <row r="2110" spans="1:39">
      <c r="A2110" s="42" t="s">
        <v>254</v>
      </c>
      <c r="B2110" s="1" t="s">
        <v>20</v>
      </c>
      <c r="C2110" s="40" t="str">
        <f t="shared" si="309"/>
        <v>09-&gt;</v>
      </c>
      <c r="D2110" s="40" t="str">
        <f t="shared" si="310"/>
        <v xml:space="preserve">No pick yet                                                 </v>
      </c>
      <c r="E2110" s="52">
        <f t="shared" si="311"/>
        <v>0</v>
      </c>
      <c r="F2110" s="18"/>
      <c r="M2110" s="18"/>
      <c r="N2110" s="18"/>
      <c r="O2110" s="18"/>
      <c r="P2110" s="18"/>
      <c r="Q2110" s="22"/>
      <c r="R2110" s="21"/>
      <c r="S2110" s="21"/>
      <c r="T2110" s="21"/>
      <c r="AA2110"/>
      <c r="AH2110" t="str">
        <f t="shared" si="312"/>
        <v>k yet</v>
      </c>
    </row>
    <row r="2111" spans="1:39">
      <c r="A2111" s="42" t="s">
        <v>255</v>
      </c>
      <c r="B2111" s="1" t="s">
        <v>20</v>
      </c>
      <c r="C2111" s="40" t="str">
        <f t="shared" si="309"/>
        <v>10-&gt;</v>
      </c>
      <c r="D2111" s="40" t="str">
        <f t="shared" si="310"/>
        <v xml:space="preserve">No pick yet                                                 </v>
      </c>
      <c r="E2111" s="52">
        <f t="shared" si="311"/>
        <v>0</v>
      </c>
      <c r="F2111" s="22"/>
      <c r="M2111" s="18"/>
      <c r="N2111" s="18"/>
      <c r="O2111" s="18"/>
      <c r="P2111" s="18"/>
      <c r="Q2111" s="22"/>
      <c r="R2111" s="21"/>
      <c r="S2111" s="21"/>
      <c r="T2111" s="21"/>
      <c r="AA2111"/>
      <c r="AH2111" t="str">
        <f t="shared" si="312"/>
        <v>k yet</v>
      </c>
    </row>
    <row r="2112" spans="1:39">
      <c r="A2112" s="42" t="s">
        <v>256</v>
      </c>
      <c r="B2112" s="1" t="s">
        <v>20</v>
      </c>
      <c r="C2112" s="40" t="str">
        <f t="shared" si="309"/>
        <v>11-&gt;</v>
      </c>
      <c r="D2112" s="40" t="str">
        <f t="shared" si="310"/>
        <v xml:space="preserve">No pick yet                                                 </v>
      </c>
      <c r="E2112" s="52">
        <f t="shared" si="311"/>
        <v>0</v>
      </c>
      <c r="M2112" s="18"/>
      <c r="N2112" s="18"/>
      <c r="O2112" s="18"/>
      <c r="P2112" s="18"/>
      <c r="Q2112" s="22"/>
      <c r="R2112" s="21"/>
      <c r="S2112" s="21"/>
      <c r="T2112" s="21"/>
      <c r="AA2112"/>
      <c r="AH2112" t="str">
        <f t="shared" si="312"/>
        <v>k yet</v>
      </c>
    </row>
    <row r="2113" spans="1:39">
      <c r="A2113" s="42" t="s">
        <v>257</v>
      </c>
      <c r="B2113" s="1" t="s">
        <v>20</v>
      </c>
      <c r="C2113" s="40" t="str">
        <f t="shared" si="309"/>
        <v>12-&gt;</v>
      </c>
      <c r="D2113" s="40" t="str">
        <f t="shared" si="310"/>
        <v xml:space="preserve">No pick yet                                                 </v>
      </c>
      <c r="E2113" s="52">
        <f t="shared" si="311"/>
        <v>0</v>
      </c>
      <c r="M2113" s="18"/>
      <c r="N2113" s="18"/>
      <c r="O2113" s="18"/>
      <c r="P2113" s="18"/>
      <c r="Q2113" s="22"/>
      <c r="R2113" s="21"/>
      <c r="S2113" s="21"/>
      <c r="T2113" s="21"/>
      <c r="AA2113"/>
      <c r="AH2113" t="str">
        <f t="shared" si="312"/>
        <v>k yet</v>
      </c>
    </row>
    <row r="2114" spans="1:39">
      <c r="A2114" s="42" t="s">
        <v>258</v>
      </c>
      <c r="B2114" s="1" t="s">
        <v>20</v>
      </c>
      <c r="C2114" s="40" t="str">
        <f t="shared" si="309"/>
        <v>13-&gt;</v>
      </c>
      <c r="D2114" s="40" t="str">
        <f t="shared" si="310"/>
        <v xml:space="preserve">No pick yet                                                 </v>
      </c>
      <c r="E2114" s="52">
        <f t="shared" si="311"/>
        <v>0</v>
      </c>
      <c r="M2114" s="18"/>
      <c r="N2114" s="18"/>
      <c r="O2114" s="18"/>
      <c r="P2114" s="18"/>
      <c r="Q2114" s="22"/>
      <c r="R2114" s="21"/>
      <c r="S2114" s="21"/>
      <c r="T2114" s="21"/>
      <c r="AA2114"/>
      <c r="AH2114" t="str">
        <f t="shared" si="312"/>
        <v>k yet</v>
      </c>
    </row>
    <row r="2115" spans="1:39">
      <c r="A2115" s="42" t="s">
        <v>259</v>
      </c>
      <c r="B2115" s="1" t="s">
        <v>20</v>
      </c>
      <c r="C2115" s="40" t="str">
        <f t="shared" si="309"/>
        <v>14-&gt;</v>
      </c>
      <c r="D2115" s="40" t="str">
        <f t="shared" si="310"/>
        <v xml:space="preserve">No pick yet                                                 </v>
      </c>
      <c r="E2115" s="52">
        <f t="shared" si="311"/>
        <v>0</v>
      </c>
      <c r="M2115" s="18"/>
      <c r="N2115" s="18"/>
      <c r="O2115" s="18"/>
      <c r="P2115" s="18"/>
      <c r="Q2115" s="22"/>
      <c r="R2115" s="21"/>
      <c r="S2115" s="21"/>
      <c r="T2115" s="21"/>
      <c r="AA2115"/>
      <c r="AH2115" t="str">
        <f t="shared" si="312"/>
        <v>k yet</v>
      </c>
    </row>
    <row r="2116" spans="1:39">
      <c r="A2116" s="42" t="s">
        <v>260</v>
      </c>
      <c r="B2116" s="1" t="s">
        <v>20</v>
      </c>
      <c r="C2116" s="40" t="str">
        <f t="shared" si="309"/>
        <v>15-&gt;</v>
      </c>
      <c r="D2116" s="40" t="str">
        <f t="shared" si="310"/>
        <v xml:space="preserve">No pick yet                                                 </v>
      </c>
      <c r="E2116" s="52">
        <f t="shared" si="311"/>
        <v>0</v>
      </c>
      <c r="M2116" s="18"/>
      <c r="N2116" s="18"/>
      <c r="O2116" s="18"/>
      <c r="P2116" s="18"/>
      <c r="Q2116" s="22"/>
      <c r="R2116" s="21"/>
      <c r="S2116" s="21"/>
      <c r="T2116" s="21"/>
      <c r="AA2116"/>
      <c r="AH2116" t="str">
        <f t="shared" si="312"/>
        <v>k yet</v>
      </c>
    </row>
    <row r="2117" spans="1:39">
      <c r="A2117" s="42" t="s">
        <v>261</v>
      </c>
      <c r="B2117" s="1" t="s">
        <v>20</v>
      </c>
      <c r="C2117" s="40" t="str">
        <f t="shared" si="309"/>
        <v>16-&gt;</v>
      </c>
      <c r="D2117" s="40" t="str">
        <f t="shared" si="310"/>
        <v xml:space="preserve">No pick yet                                                 </v>
      </c>
      <c r="E2117" s="52">
        <f t="shared" si="311"/>
        <v>0</v>
      </c>
      <c r="M2117" s="18"/>
      <c r="N2117" s="18"/>
      <c r="O2117" s="18"/>
      <c r="P2117" s="18"/>
      <c r="Q2117" s="22"/>
      <c r="R2117" s="21"/>
      <c r="S2117" s="21"/>
      <c r="T2117" s="21"/>
      <c r="AA2117"/>
      <c r="AH2117" t="str">
        <f t="shared" si="312"/>
        <v>k yet</v>
      </c>
    </row>
    <row r="2118" spans="1:39">
      <c r="A2118" s="42" t="s">
        <v>262</v>
      </c>
      <c r="B2118" s="1" t="s">
        <v>20</v>
      </c>
      <c r="C2118" s="40" t="str">
        <f t="shared" si="309"/>
        <v>17-&gt;</v>
      </c>
      <c r="D2118" s="40" t="str">
        <f t="shared" si="310"/>
        <v xml:space="preserve">No pick yet                                                 </v>
      </c>
      <c r="E2118" s="52">
        <f t="shared" si="311"/>
        <v>0</v>
      </c>
      <c r="K2118" s="22"/>
      <c r="N2118" s="22"/>
      <c r="O2118" s="22"/>
      <c r="P2118" s="22"/>
      <c r="Q2118" s="22"/>
      <c r="R2118" s="22"/>
      <c r="S2118" s="22"/>
      <c r="Z2118" s="53"/>
      <c r="AA2118"/>
      <c r="AH2118" t="str">
        <f t="shared" si="312"/>
        <v>k yet</v>
      </c>
    </row>
    <row r="2119" spans="1:39">
      <c r="A2119" s="42" t="s">
        <v>263</v>
      </c>
      <c r="B2119" s="1" t="s">
        <v>20</v>
      </c>
      <c r="C2119" s="40" t="str">
        <f t="shared" si="309"/>
        <v>18-&gt;</v>
      </c>
      <c r="D2119" s="40" t="str">
        <f t="shared" si="310"/>
        <v xml:space="preserve">No pick yet                                                 </v>
      </c>
      <c r="E2119" s="52">
        <f t="shared" si="311"/>
        <v>0</v>
      </c>
      <c r="F2119" s="18"/>
      <c r="L2119" s="21"/>
      <c r="N2119" s="22"/>
      <c r="O2119" s="22"/>
      <c r="P2119" s="18"/>
      <c r="Q2119" s="22"/>
      <c r="R2119" s="22"/>
      <c r="S2119" s="22"/>
      <c r="Z2119" s="53"/>
      <c r="AA2119"/>
      <c r="AH2119" t="str">
        <f t="shared" si="312"/>
        <v>k yet</v>
      </c>
    </row>
    <row r="2120" spans="1:39">
      <c r="A2120" s="42" t="s">
        <v>264</v>
      </c>
      <c r="B2120" s="1" t="s">
        <v>20</v>
      </c>
      <c r="C2120" s="40" t="str">
        <f t="shared" si="309"/>
        <v>19-&gt;</v>
      </c>
      <c r="D2120" s="40" t="str">
        <f t="shared" si="310"/>
        <v xml:space="preserve">No pick yet                                                 </v>
      </c>
      <c r="E2120" s="52">
        <f t="shared" si="311"/>
        <v>0</v>
      </c>
      <c r="F2120" s="18"/>
      <c r="M2120" s="18"/>
      <c r="N2120" s="18"/>
      <c r="O2120" s="18"/>
      <c r="P2120" s="18"/>
      <c r="Q2120" s="22"/>
      <c r="R2120" s="21"/>
      <c r="S2120" s="21"/>
      <c r="T2120" s="21"/>
      <c r="AA2120"/>
      <c r="AH2120" t="str">
        <f t="shared" si="312"/>
        <v>k yet</v>
      </c>
    </row>
    <row r="2121" spans="1:39">
      <c r="A2121" s="42" t="s">
        <v>265</v>
      </c>
      <c r="B2121" s="1" t="s">
        <v>20</v>
      </c>
      <c r="C2121" s="40" t="str">
        <f t="shared" si="309"/>
        <v>20-&gt;</v>
      </c>
      <c r="D2121" s="40" t="str">
        <f t="shared" si="310"/>
        <v xml:space="preserve">No pick yet                                                 </v>
      </c>
      <c r="E2121" s="52">
        <f t="shared" si="311"/>
        <v>0</v>
      </c>
      <c r="F2121" s="18"/>
      <c r="M2121" s="18"/>
      <c r="N2121" s="18"/>
      <c r="O2121" s="18"/>
      <c r="P2121" s="18"/>
      <c r="Q2121" s="22"/>
      <c r="R2121" s="21"/>
      <c r="S2121" s="21"/>
      <c r="T2121" s="21"/>
      <c r="AA2121"/>
      <c r="AH2121" t="str">
        <f t="shared" si="312"/>
        <v>k yet</v>
      </c>
    </row>
    <row r="2122" spans="1:39">
      <c r="A2122" s="42" t="s">
        <v>266</v>
      </c>
      <c r="B2122" s="1" t="s">
        <v>20</v>
      </c>
      <c r="C2122" s="40" t="str">
        <f t="shared" si="309"/>
        <v>21-&gt;</v>
      </c>
      <c r="D2122" s="40" t="str">
        <f t="shared" si="310"/>
        <v xml:space="preserve">No pick yet                                                 </v>
      </c>
      <c r="E2122" s="52">
        <f t="shared" si="311"/>
        <v>0</v>
      </c>
      <c r="F2122" s="18"/>
      <c r="M2122" s="18"/>
      <c r="N2122" s="18"/>
      <c r="O2122" s="18"/>
      <c r="P2122" s="18"/>
      <c r="Q2122" s="22"/>
      <c r="R2122" s="21"/>
      <c r="S2122" s="21"/>
      <c r="T2122" s="21"/>
      <c r="AA2122"/>
      <c r="AH2122" t="str">
        <f t="shared" si="312"/>
        <v>k yet</v>
      </c>
    </row>
    <row r="2123" spans="1:39">
      <c r="A2123" s="42" t="s">
        <v>267</v>
      </c>
      <c r="B2123" s="1" t="s">
        <v>20</v>
      </c>
      <c r="C2123" s="40" t="str">
        <f t="shared" si="309"/>
        <v>22-&gt;</v>
      </c>
      <c r="D2123" s="40" t="str">
        <f t="shared" si="310"/>
        <v xml:space="preserve">No pick yet                                                 </v>
      </c>
      <c r="E2123" s="52">
        <f t="shared" si="311"/>
        <v>0</v>
      </c>
      <c r="F2123" s="18"/>
      <c r="M2123" s="18"/>
      <c r="N2123" s="18"/>
      <c r="O2123" s="18"/>
      <c r="P2123" s="18"/>
      <c r="Q2123" s="22"/>
      <c r="R2123" s="21"/>
      <c r="S2123" s="21"/>
      <c r="T2123" s="21"/>
      <c r="AA2123"/>
      <c r="AH2123" t="str">
        <f t="shared" si="312"/>
        <v>k yet</v>
      </c>
    </row>
    <row r="2124" spans="1:39">
      <c r="A2124" s="42" t="s">
        <v>268</v>
      </c>
      <c r="B2124" s="1" t="s">
        <v>20</v>
      </c>
      <c r="C2124" s="40" t="str">
        <f t="shared" si="309"/>
        <v>23-&gt;</v>
      </c>
      <c r="D2124" s="40" t="str">
        <f t="shared" si="310"/>
        <v xml:space="preserve">No pick yet                                                 </v>
      </c>
      <c r="E2124" s="52">
        <f t="shared" si="311"/>
        <v>0</v>
      </c>
      <c r="F2124" s="18"/>
      <c r="M2124" s="18"/>
      <c r="N2124" s="18"/>
      <c r="O2124" s="18"/>
      <c r="P2124" s="18"/>
      <c r="Q2124" s="22"/>
      <c r="R2124" s="21"/>
      <c r="S2124" s="21"/>
      <c r="T2124" s="21"/>
      <c r="AA2124"/>
      <c r="AH2124" t="str">
        <f t="shared" si="312"/>
        <v>k yet</v>
      </c>
    </row>
    <row r="2125" spans="1:39">
      <c r="A2125" s="42" t="s">
        <v>269</v>
      </c>
      <c r="B2125" s="1" t="s">
        <v>20</v>
      </c>
      <c r="C2125" s="40" t="str">
        <f t="shared" si="309"/>
        <v>24-&gt;</v>
      </c>
      <c r="D2125" s="40" t="str">
        <f t="shared" si="310"/>
        <v xml:space="preserve">No pick yet                                                 </v>
      </c>
      <c r="E2125" s="52">
        <f t="shared" si="311"/>
        <v>0</v>
      </c>
      <c r="F2125" s="18"/>
      <c r="M2125" s="18"/>
      <c r="N2125" s="18"/>
      <c r="O2125" s="18"/>
      <c r="P2125" s="18"/>
      <c r="Q2125" s="22"/>
      <c r="R2125" s="21"/>
      <c r="S2125" s="21"/>
      <c r="T2125" s="21"/>
      <c r="AA2125"/>
      <c r="AH2125" t="str">
        <f t="shared" si="312"/>
        <v>k yet</v>
      </c>
    </row>
    <row r="2126" spans="1:39">
      <c r="A2126" s="42" t="s">
        <v>270</v>
      </c>
      <c r="B2126" s="1" t="s">
        <v>20</v>
      </c>
      <c r="C2126" s="40" t="str">
        <f t="shared" si="309"/>
        <v>25-&gt;</v>
      </c>
      <c r="D2126" s="40" t="str">
        <f t="shared" si="310"/>
        <v xml:space="preserve">No pick yet                                                 </v>
      </c>
      <c r="E2126" s="52">
        <f t="shared" si="311"/>
        <v>0</v>
      </c>
      <c r="F2126" s="18"/>
      <c r="M2126" s="18"/>
      <c r="N2126" s="18"/>
      <c r="O2126" s="18"/>
      <c r="P2126" s="18"/>
      <c r="Q2126" s="22"/>
      <c r="R2126" s="21"/>
      <c r="S2126" s="21"/>
      <c r="T2126" s="21"/>
      <c r="AA2126"/>
      <c r="AH2126" t="str">
        <f t="shared" si="312"/>
        <v>k yet</v>
      </c>
    </row>
    <row r="2127" spans="1:39">
      <c r="A2127" s="42" t="s">
        <v>271</v>
      </c>
      <c r="B2127" s="1" t="s">
        <v>20</v>
      </c>
      <c r="C2127" s="40" t="str">
        <f t="shared" si="309"/>
        <v>26-&gt;</v>
      </c>
      <c r="D2127" s="40" t="str">
        <f t="shared" si="310"/>
        <v xml:space="preserve">No pick yet                                                 </v>
      </c>
      <c r="E2127" s="52">
        <f t="shared" si="311"/>
        <v>0</v>
      </c>
      <c r="F2127" s="18"/>
      <c r="M2127" s="18"/>
      <c r="N2127" s="18"/>
      <c r="O2127" s="18"/>
      <c r="P2127" s="18"/>
      <c r="Q2127" s="22"/>
      <c r="R2127" s="21"/>
      <c r="S2127" s="21"/>
      <c r="T2127" s="21"/>
      <c r="AA2127"/>
      <c r="AH2127" t="str">
        <f t="shared" si="312"/>
        <v>k yet</v>
      </c>
    </row>
    <row r="2128" spans="1:39">
      <c r="A2128" s="38"/>
      <c r="B2128" s="40"/>
      <c r="C2128" s="40"/>
      <c r="D2128" s="49"/>
      <c r="E2128" s="41" t="s">
        <v>69</v>
      </c>
      <c r="F2128" s="18"/>
      <c r="K2128" s="22" t="s">
        <v>73</v>
      </c>
      <c r="L2128" s="18" t="s">
        <v>74</v>
      </c>
      <c r="M2128" s="22" t="s">
        <v>78</v>
      </c>
      <c r="N2128" s="22" t="s">
        <v>79</v>
      </c>
      <c r="O2128" s="22" t="s">
        <v>80</v>
      </c>
      <c r="P2128" s="22" t="s">
        <v>81</v>
      </c>
      <c r="Q2128" s="22" t="s">
        <v>82</v>
      </c>
      <c r="R2128" s="22" t="s">
        <v>83</v>
      </c>
      <c r="S2128" s="22" t="s">
        <v>84</v>
      </c>
      <c r="T2128" s="18" t="s">
        <v>85</v>
      </c>
      <c r="U2128" s="18" t="s">
        <v>86</v>
      </c>
      <c r="V2128" s="18" t="s">
        <v>87</v>
      </c>
      <c r="W2128" s="18" t="s">
        <v>88</v>
      </c>
      <c r="X2128" s="18" t="s">
        <v>89</v>
      </c>
      <c r="Y2128" s="18" t="s">
        <v>90</v>
      </c>
      <c r="Z2128" s="18" t="s">
        <v>91</v>
      </c>
      <c r="AA2128" s="18" t="s">
        <v>92</v>
      </c>
      <c r="AB2128" s="18" t="s">
        <v>93</v>
      </c>
      <c r="AC2128" s="18" t="s">
        <v>94</v>
      </c>
      <c r="AD2128" s="18" t="s">
        <v>235</v>
      </c>
      <c r="AE2128" s="18" t="s">
        <v>236</v>
      </c>
      <c r="AF2128" s="18" t="s">
        <v>237</v>
      </c>
      <c r="AG2128" s="18" t="s">
        <v>238</v>
      </c>
      <c r="AH2128" s="18" t="s">
        <v>239</v>
      </c>
      <c r="AI2128" s="18" t="s">
        <v>240</v>
      </c>
      <c r="AJ2128" s="18" t="s">
        <v>241</v>
      </c>
      <c r="AK2128" s="18" t="s">
        <v>242</v>
      </c>
      <c r="AL2128" s="18" t="s">
        <v>243</v>
      </c>
      <c r="AM2128" s="50" t="s">
        <v>244</v>
      </c>
    </row>
    <row r="2129" spans="1:39">
      <c r="A2129" s="40" t="s">
        <v>245</v>
      </c>
      <c r="B2129" s="51" t="str">
        <f>D75</f>
        <v/>
      </c>
      <c r="C2129" s="40" t="str">
        <f t="shared" ref="C2129:C2155" si="313">A2129</f>
        <v>#</v>
      </c>
      <c r="D2129" s="40" t="str">
        <f>"   "&amp;B2129&amp;REPT(" ",$AH$70-LEN(B2129)-3)</f>
        <v xml:space="preserve">                                                            </v>
      </c>
      <c r="E2129" s="38" t="str">
        <f>SUM(E2130:E2155)&amp;" pts[/b]"</f>
        <v>0 pts[/b]</v>
      </c>
      <c r="F2129" s="21">
        <f>SUM(E2130:E2155)</f>
        <v>0</v>
      </c>
      <c r="K2129" s="18">
        <f>COUNTIF(E2130:E2155,"&gt;0")</f>
        <v>0</v>
      </c>
      <c r="L2129" s="21">
        <f>AM2129-K2129</f>
        <v>0</v>
      </c>
      <c r="M2129" s="22">
        <f>MAX(E2130:E2155)</f>
        <v>0</v>
      </c>
      <c r="N2129" s="22">
        <f>LARGE(E2130:E2155,2)</f>
        <v>0</v>
      </c>
      <c r="O2129" s="22">
        <f>LARGE(E2130:E2155,3)</f>
        <v>0</v>
      </c>
      <c r="P2129" s="18">
        <f>LARGE(E2130:E2155,4)</f>
        <v>0</v>
      </c>
      <c r="Q2129" s="22">
        <f>LARGE(E2130:E2155,5)</f>
        <v>0</v>
      </c>
      <c r="R2129" s="22">
        <f>LARGE(E2130:E2155,6)</f>
        <v>0</v>
      </c>
      <c r="S2129" s="22">
        <f>LARGE(E2130:E2155,7)</f>
        <v>0</v>
      </c>
      <c r="T2129" s="18">
        <f>LARGE(E2130:E2155,8)</f>
        <v>0</v>
      </c>
      <c r="U2129" s="18">
        <f>LARGE(E2130:E2155,9)</f>
        <v>0</v>
      </c>
      <c r="V2129" s="18">
        <f>LARGE(E2130:E2155,10)</f>
        <v>0</v>
      </c>
      <c r="W2129" s="18">
        <f>LARGE(E2130:E2155,11)</f>
        <v>0</v>
      </c>
      <c r="X2129" s="18">
        <f>LARGE(E2130:E2155,12)</f>
        <v>0</v>
      </c>
      <c r="Y2129" s="18">
        <f>LARGE(E2130:E2155,13)</f>
        <v>0</v>
      </c>
      <c r="Z2129" s="18">
        <f>LARGE(E2130:E2155,14)</f>
        <v>0</v>
      </c>
      <c r="AA2129" s="18">
        <f>LARGE(E2130:E2155,15)</f>
        <v>0</v>
      </c>
      <c r="AB2129" s="18">
        <f>LARGE(E2130:E2155,16)</f>
        <v>0</v>
      </c>
      <c r="AC2129" s="18">
        <f>LARGE(E2130:E2155,17)</f>
        <v>0</v>
      </c>
      <c r="AD2129" s="18">
        <f>LARGE(E2130:E2156,13)</f>
        <v>0</v>
      </c>
      <c r="AE2129" s="18">
        <f>LARGE(E2130:E2155,19)</f>
        <v>0</v>
      </c>
      <c r="AF2129" s="18">
        <f>LARGE(E2130:E2155,20)</f>
        <v>0</v>
      </c>
      <c r="AG2129" s="18">
        <f>LARGE(E2130:E2155,21)</f>
        <v>0</v>
      </c>
      <c r="AH2129" s="18">
        <f>LARGE(E2130:E2155,22)</f>
        <v>0</v>
      </c>
      <c r="AI2129" s="18">
        <f>LARGE(E2130:E2155,23)</f>
        <v>0</v>
      </c>
      <c r="AJ2129" s="18">
        <f>LARGE(E2130:E2155,24)</f>
        <v>0</v>
      </c>
      <c r="AK2129" s="18">
        <f>LARGE(E2130:E2155,25)</f>
        <v>0</v>
      </c>
      <c r="AL2129" s="18">
        <f>LARGE(E2130:E2155,26)</f>
        <v>0</v>
      </c>
      <c r="AM2129" s="50">
        <f>COUNTIF(AH2130:AH2155,"&lt;&gt;"&amp;$AH$76)-(26-COUNTIF(E2130:E2155,"&gt;=0"))</f>
        <v>0</v>
      </c>
    </row>
    <row r="2130" spans="1:39">
      <c r="A2130" s="42" t="s">
        <v>246</v>
      </c>
      <c r="B2130" s="1" t="s">
        <v>20</v>
      </c>
      <c r="C2130" s="40" t="str">
        <f t="shared" si="313"/>
        <v>01-&gt;</v>
      </c>
      <c r="D2130" s="40" t="str">
        <f t="shared" ref="D2130:D2155" si="314">B2130&amp;REPT(" ",$AH$70-LEN(B2130))</f>
        <v xml:space="preserve">No pick yet                                                 </v>
      </c>
      <c r="E2130" s="52">
        <f t="shared" ref="E2130:E2155" si="315">VLOOKUP(RIGHT(B2130,LEN(B2130)-$AH$66),$H$138:$I$420,2,0)</f>
        <v>0</v>
      </c>
      <c r="F2130" s="18"/>
      <c r="M2130" s="18"/>
      <c r="N2130" s="18"/>
      <c r="O2130" s="18"/>
      <c r="P2130" s="18"/>
      <c r="Q2130" s="22"/>
      <c r="R2130" s="21"/>
      <c r="S2130" s="21"/>
      <c r="T2130" s="21"/>
      <c r="AA2130"/>
      <c r="AH2130" t="str">
        <f t="shared" ref="AH2130:AH2155" si="316">RIGHT(B2130,LEN(B2130)-$AH$66)</f>
        <v>k yet</v>
      </c>
    </row>
    <row r="2131" spans="1:39">
      <c r="A2131" s="42" t="s">
        <v>247</v>
      </c>
      <c r="B2131" s="1" t="s">
        <v>20</v>
      </c>
      <c r="C2131" s="40" t="str">
        <f t="shared" si="313"/>
        <v>02-&gt;</v>
      </c>
      <c r="D2131" s="40" t="str">
        <f t="shared" si="314"/>
        <v xml:space="preserve">No pick yet                                                 </v>
      </c>
      <c r="E2131" s="52">
        <f t="shared" si="315"/>
        <v>0</v>
      </c>
      <c r="F2131" s="18"/>
      <c r="K2131" s="22"/>
      <c r="N2131" s="22"/>
      <c r="O2131" s="22"/>
      <c r="P2131" s="22"/>
      <c r="Q2131" s="22"/>
      <c r="R2131" s="22"/>
      <c r="S2131" s="22"/>
      <c r="Z2131" s="53"/>
      <c r="AA2131"/>
      <c r="AH2131" t="str">
        <f t="shared" si="316"/>
        <v>k yet</v>
      </c>
    </row>
    <row r="2132" spans="1:39">
      <c r="A2132" s="42" t="s">
        <v>248</v>
      </c>
      <c r="B2132" s="1" t="s">
        <v>20</v>
      </c>
      <c r="C2132" s="40" t="str">
        <f t="shared" si="313"/>
        <v>03-&gt;</v>
      </c>
      <c r="D2132" s="40" t="str">
        <f t="shared" si="314"/>
        <v xml:space="preserve">No pick yet                                                 </v>
      </c>
      <c r="E2132" s="52">
        <f t="shared" si="315"/>
        <v>0</v>
      </c>
      <c r="F2132" s="18"/>
      <c r="L2132" s="21"/>
      <c r="N2132" s="22"/>
      <c r="O2132" s="22"/>
      <c r="P2132" s="18"/>
      <c r="Q2132" s="22"/>
      <c r="R2132" s="22"/>
      <c r="S2132" s="22"/>
      <c r="Z2132" s="53"/>
      <c r="AA2132"/>
      <c r="AH2132" t="str">
        <f t="shared" si="316"/>
        <v>k yet</v>
      </c>
    </row>
    <row r="2133" spans="1:39">
      <c r="A2133" s="42" t="s">
        <v>249</v>
      </c>
      <c r="B2133" s="1" t="s">
        <v>20</v>
      </c>
      <c r="C2133" s="40" t="str">
        <f t="shared" si="313"/>
        <v>04-&gt;</v>
      </c>
      <c r="D2133" s="40" t="str">
        <f t="shared" si="314"/>
        <v xml:space="preserve">No pick yet                                                 </v>
      </c>
      <c r="E2133" s="52">
        <f t="shared" si="315"/>
        <v>0</v>
      </c>
      <c r="F2133" s="18"/>
      <c r="M2133" s="18"/>
      <c r="N2133" s="18"/>
      <c r="O2133" s="18"/>
      <c r="P2133" s="18"/>
      <c r="Q2133" s="22"/>
      <c r="R2133" s="21"/>
      <c r="S2133" s="21"/>
      <c r="T2133" s="21"/>
      <c r="AA2133"/>
      <c r="AH2133" t="str">
        <f t="shared" si="316"/>
        <v>k yet</v>
      </c>
    </row>
    <row r="2134" spans="1:39">
      <c r="A2134" s="42" t="s">
        <v>250</v>
      </c>
      <c r="B2134" s="1" t="s">
        <v>20</v>
      </c>
      <c r="C2134" s="40" t="str">
        <f t="shared" si="313"/>
        <v>05-&gt;</v>
      </c>
      <c r="D2134" s="40" t="str">
        <f t="shared" si="314"/>
        <v xml:space="preserve">No pick yet                                                 </v>
      </c>
      <c r="E2134" s="52">
        <f t="shared" si="315"/>
        <v>0</v>
      </c>
      <c r="F2134" s="18"/>
      <c r="M2134" s="18"/>
      <c r="N2134" s="18"/>
      <c r="O2134" s="18"/>
      <c r="P2134" s="18"/>
      <c r="Q2134" s="22"/>
      <c r="R2134" s="21"/>
      <c r="S2134" s="21"/>
      <c r="T2134" s="21"/>
      <c r="AA2134"/>
      <c r="AH2134" t="str">
        <f t="shared" si="316"/>
        <v>k yet</v>
      </c>
    </row>
    <row r="2135" spans="1:39">
      <c r="A2135" s="42" t="s">
        <v>251</v>
      </c>
      <c r="B2135" s="1" t="s">
        <v>20</v>
      </c>
      <c r="C2135" s="40" t="str">
        <f t="shared" si="313"/>
        <v>06-&gt;</v>
      </c>
      <c r="D2135" s="40" t="str">
        <f t="shared" si="314"/>
        <v xml:space="preserve">No pick yet                                                 </v>
      </c>
      <c r="E2135" s="52">
        <f t="shared" si="315"/>
        <v>0</v>
      </c>
      <c r="F2135" s="18"/>
      <c r="M2135" s="18"/>
      <c r="N2135" s="18"/>
      <c r="O2135" s="18"/>
      <c r="P2135" s="18"/>
      <c r="Q2135" s="22"/>
      <c r="R2135" s="21"/>
      <c r="S2135" s="21"/>
      <c r="T2135" s="21"/>
      <c r="AA2135"/>
      <c r="AH2135" t="str">
        <f t="shared" si="316"/>
        <v>k yet</v>
      </c>
    </row>
    <row r="2136" spans="1:39">
      <c r="A2136" s="42" t="s">
        <v>252</v>
      </c>
      <c r="B2136" s="1" t="s">
        <v>20</v>
      </c>
      <c r="C2136" s="40" t="str">
        <f t="shared" si="313"/>
        <v>07-&gt;</v>
      </c>
      <c r="D2136" s="40" t="str">
        <f t="shared" si="314"/>
        <v xml:space="preserve">No pick yet                                                 </v>
      </c>
      <c r="E2136" s="52">
        <f t="shared" si="315"/>
        <v>0</v>
      </c>
      <c r="F2136" s="18"/>
      <c r="M2136" s="18"/>
      <c r="N2136" s="18"/>
      <c r="O2136" s="18"/>
      <c r="P2136" s="18"/>
      <c r="Q2136" s="22"/>
      <c r="R2136" s="21"/>
      <c r="S2136" s="21"/>
      <c r="T2136" s="21"/>
      <c r="AA2136"/>
      <c r="AH2136" t="str">
        <f t="shared" si="316"/>
        <v>k yet</v>
      </c>
    </row>
    <row r="2137" spans="1:39">
      <c r="A2137" s="42" t="s">
        <v>253</v>
      </c>
      <c r="B2137" s="1" t="s">
        <v>20</v>
      </c>
      <c r="C2137" s="40" t="str">
        <f t="shared" si="313"/>
        <v>08-&gt;</v>
      </c>
      <c r="D2137" s="40" t="str">
        <f t="shared" si="314"/>
        <v xml:space="preserve">No pick yet                                                 </v>
      </c>
      <c r="E2137" s="52">
        <f t="shared" si="315"/>
        <v>0</v>
      </c>
      <c r="F2137" s="18"/>
      <c r="M2137" s="18"/>
      <c r="N2137" s="18"/>
      <c r="O2137" s="18"/>
      <c r="P2137" s="18"/>
      <c r="Q2137" s="22"/>
      <c r="R2137" s="21"/>
      <c r="S2137" s="21"/>
      <c r="T2137" s="21"/>
      <c r="AA2137"/>
      <c r="AH2137" t="str">
        <f t="shared" si="316"/>
        <v>k yet</v>
      </c>
    </row>
    <row r="2138" spans="1:39">
      <c r="A2138" s="42" t="s">
        <v>254</v>
      </c>
      <c r="B2138" s="1" t="s">
        <v>20</v>
      </c>
      <c r="C2138" s="40" t="str">
        <f t="shared" si="313"/>
        <v>09-&gt;</v>
      </c>
      <c r="D2138" s="40" t="str">
        <f t="shared" si="314"/>
        <v xml:space="preserve">No pick yet                                                 </v>
      </c>
      <c r="E2138" s="52">
        <f t="shared" si="315"/>
        <v>0</v>
      </c>
      <c r="F2138" s="18"/>
      <c r="M2138" s="18"/>
      <c r="N2138" s="18"/>
      <c r="O2138" s="18"/>
      <c r="P2138" s="18"/>
      <c r="Q2138" s="22"/>
      <c r="R2138" s="21"/>
      <c r="S2138" s="21"/>
      <c r="T2138" s="21"/>
      <c r="AA2138"/>
      <c r="AH2138" t="str">
        <f t="shared" si="316"/>
        <v>k yet</v>
      </c>
    </row>
    <row r="2139" spans="1:39">
      <c r="A2139" s="42" t="s">
        <v>255</v>
      </c>
      <c r="B2139" s="1" t="s">
        <v>20</v>
      </c>
      <c r="C2139" s="40" t="str">
        <f t="shared" si="313"/>
        <v>10-&gt;</v>
      </c>
      <c r="D2139" s="40" t="str">
        <f t="shared" si="314"/>
        <v xml:space="preserve">No pick yet                                                 </v>
      </c>
      <c r="E2139" s="52">
        <f t="shared" si="315"/>
        <v>0</v>
      </c>
      <c r="F2139" s="22"/>
      <c r="M2139" s="18"/>
      <c r="N2139" s="18"/>
      <c r="O2139" s="18"/>
      <c r="P2139" s="18"/>
      <c r="Q2139" s="22"/>
      <c r="R2139" s="21"/>
      <c r="S2139" s="21"/>
      <c r="T2139" s="21"/>
      <c r="AA2139"/>
      <c r="AH2139" t="str">
        <f t="shared" si="316"/>
        <v>k yet</v>
      </c>
    </row>
    <row r="2140" spans="1:39">
      <c r="A2140" s="42" t="s">
        <v>256</v>
      </c>
      <c r="B2140" s="1" t="s">
        <v>20</v>
      </c>
      <c r="C2140" s="40" t="str">
        <f t="shared" si="313"/>
        <v>11-&gt;</v>
      </c>
      <c r="D2140" s="40" t="str">
        <f t="shared" si="314"/>
        <v xml:space="preserve">No pick yet                                                 </v>
      </c>
      <c r="E2140" s="52">
        <f t="shared" si="315"/>
        <v>0</v>
      </c>
      <c r="M2140" s="18"/>
      <c r="N2140" s="18"/>
      <c r="O2140" s="18"/>
      <c r="P2140" s="18"/>
      <c r="Q2140" s="22"/>
      <c r="R2140" s="21"/>
      <c r="S2140" s="21"/>
      <c r="T2140" s="21"/>
      <c r="AA2140"/>
      <c r="AH2140" t="str">
        <f t="shared" si="316"/>
        <v>k yet</v>
      </c>
    </row>
    <row r="2141" spans="1:39">
      <c r="A2141" s="42" t="s">
        <v>257</v>
      </c>
      <c r="B2141" s="1" t="s">
        <v>20</v>
      </c>
      <c r="C2141" s="40" t="str">
        <f t="shared" si="313"/>
        <v>12-&gt;</v>
      </c>
      <c r="D2141" s="40" t="str">
        <f t="shared" si="314"/>
        <v xml:space="preserve">No pick yet                                                 </v>
      </c>
      <c r="E2141" s="52">
        <f t="shared" si="315"/>
        <v>0</v>
      </c>
      <c r="M2141" s="18"/>
      <c r="N2141" s="18"/>
      <c r="O2141" s="18"/>
      <c r="P2141" s="18"/>
      <c r="Q2141" s="22"/>
      <c r="R2141" s="21"/>
      <c r="S2141" s="21"/>
      <c r="T2141" s="21"/>
      <c r="AA2141"/>
      <c r="AH2141" t="str">
        <f t="shared" si="316"/>
        <v>k yet</v>
      </c>
    </row>
    <row r="2142" spans="1:39">
      <c r="A2142" s="42" t="s">
        <v>258</v>
      </c>
      <c r="B2142" s="1" t="s">
        <v>20</v>
      </c>
      <c r="C2142" s="40" t="str">
        <f t="shared" si="313"/>
        <v>13-&gt;</v>
      </c>
      <c r="D2142" s="40" t="str">
        <f t="shared" si="314"/>
        <v xml:space="preserve">No pick yet                                                 </v>
      </c>
      <c r="E2142" s="52">
        <f t="shared" si="315"/>
        <v>0</v>
      </c>
      <c r="M2142" s="18"/>
      <c r="N2142" s="18"/>
      <c r="O2142" s="18"/>
      <c r="P2142" s="18"/>
      <c r="Q2142" s="22"/>
      <c r="R2142" s="21"/>
      <c r="S2142" s="21"/>
      <c r="T2142" s="21"/>
      <c r="AA2142"/>
      <c r="AH2142" t="str">
        <f t="shared" si="316"/>
        <v>k yet</v>
      </c>
    </row>
    <row r="2143" spans="1:39">
      <c r="A2143" s="42" t="s">
        <v>259</v>
      </c>
      <c r="B2143" s="1" t="s">
        <v>20</v>
      </c>
      <c r="C2143" s="40" t="str">
        <f t="shared" si="313"/>
        <v>14-&gt;</v>
      </c>
      <c r="D2143" s="40" t="str">
        <f t="shared" si="314"/>
        <v xml:space="preserve">No pick yet                                                 </v>
      </c>
      <c r="E2143" s="52">
        <f t="shared" si="315"/>
        <v>0</v>
      </c>
      <c r="M2143" s="18"/>
      <c r="N2143" s="18"/>
      <c r="O2143" s="18"/>
      <c r="P2143" s="18"/>
      <c r="Q2143" s="22"/>
      <c r="R2143" s="21"/>
      <c r="S2143" s="21"/>
      <c r="T2143" s="21"/>
      <c r="AA2143"/>
      <c r="AH2143" t="str">
        <f t="shared" si="316"/>
        <v>k yet</v>
      </c>
    </row>
    <row r="2144" spans="1:39">
      <c r="A2144" s="42" t="s">
        <v>260</v>
      </c>
      <c r="B2144" s="1" t="s">
        <v>20</v>
      </c>
      <c r="C2144" s="40" t="str">
        <f t="shared" si="313"/>
        <v>15-&gt;</v>
      </c>
      <c r="D2144" s="40" t="str">
        <f t="shared" si="314"/>
        <v xml:space="preserve">No pick yet                                                 </v>
      </c>
      <c r="E2144" s="52">
        <f t="shared" si="315"/>
        <v>0</v>
      </c>
      <c r="M2144" s="18"/>
      <c r="N2144" s="18"/>
      <c r="O2144" s="18"/>
      <c r="P2144" s="18"/>
      <c r="Q2144" s="22"/>
      <c r="R2144" s="21"/>
      <c r="S2144" s="21"/>
      <c r="T2144" s="21"/>
      <c r="AA2144"/>
      <c r="AH2144" t="str">
        <f t="shared" si="316"/>
        <v>k yet</v>
      </c>
    </row>
    <row r="2145" spans="1:39">
      <c r="A2145" s="42" t="s">
        <v>261</v>
      </c>
      <c r="B2145" s="1" t="s">
        <v>20</v>
      </c>
      <c r="C2145" s="40" t="str">
        <f t="shared" si="313"/>
        <v>16-&gt;</v>
      </c>
      <c r="D2145" s="40" t="str">
        <f t="shared" si="314"/>
        <v xml:space="preserve">No pick yet                                                 </v>
      </c>
      <c r="E2145" s="52">
        <f t="shared" si="315"/>
        <v>0</v>
      </c>
      <c r="M2145" s="18"/>
      <c r="N2145" s="18"/>
      <c r="O2145" s="18"/>
      <c r="P2145" s="18"/>
      <c r="Q2145" s="22"/>
      <c r="R2145" s="21"/>
      <c r="S2145" s="21"/>
      <c r="T2145" s="21"/>
      <c r="AA2145"/>
      <c r="AH2145" t="str">
        <f t="shared" si="316"/>
        <v>k yet</v>
      </c>
    </row>
    <row r="2146" spans="1:39">
      <c r="A2146" s="42" t="s">
        <v>262</v>
      </c>
      <c r="B2146" s="1" t="s">
        <v>20</v>
      </c>
      <c r="C2146" s="40" t="str">
        <f t="shared" si="313"/>
        <v>17-&gt;</v>
      </c>
      <c r="D2146" s="40" t="str">
        <f t="shared" si="314"/>
        <v xml:space="preserve">No pick yet                                                 </v>
      </c>
      <c r="E2146" s="52">
        <f t="shared" si="315"/>
        <v>0</v>
      </c>
      <c r="K2146" s="22"/>
      <c r="N2146" s="22"/>
      <c r="O2146" s="22"/>
      <c r="P2146" s="22"/>
      <c r="Q2146" s="22"/>
      <c r="R2146" s="22"/>
      <c r="S2146" s="22"/>
      <c r="Z2146" s="53"/>
      <c r="AA2146"/>
      <c r="AH2146" t="str">
        <f t="shared" si="316"/>
        <v>k yet</v>
      </c>
    </row>
    <row r="2147" spans="1:39">
      <c r="A2147" s="42" t="s">
        <v>263</v>
      </c>
      <c r="B2147" s="1" t="s">
        <v>20</v>
      </c>
      <c r="C2147" s="40" t="str">
        <f t="shared" si="313"/>
        <v>18-&gt;</v>
      </c>
      <c r="D2147" s="40" t="str">
        <f t="shared" si="314"/>
        <v xml:space="preserve">No pick yet                                                 </v>
      </c>
      <c r="E2147" s="52">
        <f t="shared" si="315"/>
        <v>0</v>
      </c>
      <c r="F2147" s="18"/>
      <c r="L2147" s="21"/>
      <c r="N2147" s="22"/>
      <c r="O2147" s="22"/>
      <c r="P2147" s="18"/>
      <c r="Q2147" s="22"/>
      <c r="R2147" s="22"/>
      <c r="S2147" s="22"/>
      <c r="Z2147" s="53"/>
      <c r="AA2147"/>
      <c r="AH2147" t="str">
        <f t="shared" si="316"/>
        <v>k yet</v>
      </c>
    </row>
    <row r="2148" spans="1:39">
      <c r="A2148" s="42" t="s">
        <v>264</v>
      </c>
      <c r="B2148" s="1" t="s">
        <v>20</v>
      </c>
      <c r="C2148" s="40" t="str">
        <f t="shared" si="313"/>
        <v>19-&gt;</v>
      </c>
      <c r="D2148" s="40" t="str">
        <f t="shared" si="314"/>
        <v xml:space="preserve">No pick yet                                                 </v>
      </c>
      <c r="E2148" s="52">
        <f t="shared" si="315"/>
        <v>0</v>
      </c>
      <c r="F2148" s="18"/>
      <c r="M2148" s="18"/>
      <c r="N2148" s="18"/>
      <c r="O2148" s="18"/>
      <c r="P2148" s="18"/>
      <c r="Q2148" s="22"/>
      <c r="R2148" s="21"/>
      <c r="S2148" s="21"/>
      <c r="T2148" s="21"/>
      <c r="AA2148"/>
      <c r="AH2148" t="str">
        <f t="shared" si="316"/>
        <v>k yet</v>
      </c>
    </row>
    <row r="2149" spans="1:39">
      <c r="A2149" s="42" t="s">
        <v>265</v>
      </c>
      <c r="B2149" s="1" t="s">
        <v>20</v>
      </c>
      <c r="C2149" s="40" t="str">
        <f t="shared" si="313"/>
        <v>20-&gt;</v>
      </c>
      <c r="D2149" s="40" t="str">
        <f t="shared" si="314"/>
        <v xml:space="preserve">No pick yet                                                 </v>
      </c>
      <c r="E2149" s="52">
        <f t="shared" si="315"/>
        <v>0</v>
      </c>
      <c r="F2149" s="18"/>
      <c r="M2149" s="18"/>
      <c r="N2149" s="18"/>
      <c r="O2149" s="18"/>
      <c r="P2149" s="18"/>
      <c r="Q2149" s="22"/>
      <c r="R2149" s="21"/>
      <c r="S2149" s="21"/>
      <c r="T2149" s="21"/>
      <c r="AA2149"/>
      <c r="AH2149" t="str">
        <f t="shared" si="316"/>
        <v>k yet</v>
      </c>
    </row>
    <row r="2150" spans="1:39">
      <c r="A2150" s="42" t="s">
        <v>266</v>
      </c>
      <c r="B2150" s="1" t="s">
        <v>20</v>
      </c>
      <c r="C2150" s="40" t="str">
        <f t="shared" si="313"/>
        <v>21-&gt;</v>
      </c>
      <c r="D2150" s="40" t="str">
        <f t="shared" si="314"/>
        <v xml:space="preserve">No pick yet                                                 </v>
      </c>
      <c r="E2150" s="52">
        <f t="shared" si="315"/>
        <v>0</v>
      </c>
      <c r="F2150" s="18"/>
      <c r="M2150" s="18"/>
      <c r="N2150" s="18"/>
      <c r="O2150" s="18"/>
      <c r="P2150" s="18"/>
      <c r="Q2150" s="22"/>
      <c r="R2150" s="21"/>
      <c r="S2150" s="21"/>
      <c r="T2150" s="21"/>
      <c r="AA2150"/>
      <c r="AH2150" t="str">
        <f t="shared" si="316"/>
        <v>k yet</v>
      </c>
    </row>
    <row r="2151" spans="1:39">
      <c r="A2151" s="42" t="s">
        <v>267</v>
      </c>
      <c r="B2151" s="1" t="s">
        <v>20</v>
      </c>
      <c r="C2151" s="40" t="str">
        <f t="shared" si="313"/>
        <v>22-&gt;</v>
      </c>
      <c r="D2151" s="40" t="str">
        <f t="shared" si="314"/>
        <v xml:space="preserve">No pick yet                                                 </v>
      </c>
      <c r="E2151" s="52">
        <f t="shared" si="315"/>
        <v>0</v>
      </c>
      <c r="F2151" s="18"/>
      <c r="M2151" s="18"/>
      <c r="N2151" s="18"/>
      <c r="O2151" s="18"/>
      <c r="P2151" s="18"/>
      <c r="Q2151" s="22"/>
      <c r="R2151" s="21"/>
      <c r="S2151" s="21"/>
      <c r="T2151" s="21"/>
      <c r="AA2151"/>
      <c r="AH2151" t="str">
        <f t="shared" si="316"/>
        <v>k yet</v>
      </c>
    </row>
    <row r="2152" spans="1:39">
      <c r="A2152" s="42" t="s">
        <v>268</v>
      </c>
      <c r="B2152" s="1" t="s">
        <v>20</v>
      </c>
      <c r="C2152" s="40" t="str">
        <f t="shared" si="313"/>
        <v>23-&gt;</v>
      </c>
      <c r="D2152" s="40" t="str">
        <f t="shared" si="314"/>
        <v xml:space="preserve">No pick yet                                                 </v>
      </c>
      <c r="E2152" s="52">
        <f t="shared" si="315"/>
        <v>0</v>
      </c>
      <c r="F2152" s="18"/>
      <c r="M2152" s="18"/>
      <c r="N2152" s="18"/>
      <c r="O2152" s="18"/>
      <c r="P2152" s="18"/>
      <c r="Q2152" s="22"/>
      <c r="R2152" s="21"/>
      <c r="S2152" s="21"/>
      <c r="T2152" s="21"/>
      <c r="AA2152"/>
      <c r="AH2152" t="str">
        <f t="shared" si="316"/>
        <v>k yet</v>
      </c>
    </row>
    <row r="2153" spans="1:39">
      <c r="A2153" s="42" t="s">
        <v>269</v>
      </c>
      <c r="B2153" s="1" t="s">
        <v>20</v>
      </c>
      <c r="C2153" s="40" t="str">
        <f t="shared" si="313"/>
        <v>24-&gt;</v>
      </c>
      <c r="D2153" s="40" t="str">
        <f t="shared" si="314"/>
        <v xml:space="preserve">No pick yet                                                 </v>
      </c>
      <c r="E2153" s="52">
        <f t="shared" si="315"/>
        <v>0</v>
      </c>
      <c r="F2153" s="18"/>
      <c r="M2153" s="18"/>
      <c r="N2153" s="18"/>
      <c r="O2153" s="18"/>
      <c r="P2153" s="18"/>
      <c r="Q2153" s="22"/>
      <c r="R2153" s="21"/>
      <c r="S2153" s="21"/>
      <c r="T2153" s="21"/>
      <c r="AA2153"/>
      <c r="AH2153" t="str">
        <f t="shared" si="316"/>
        <v>k yet</v>
      </c>
    </row>
    <row r="2154" spans="1:39">
      <c r="A2154" s="42" t="s">
        <v>270</v>
      </c>
      <c r="B2154" s="1" t="s">
        <v>20</v>
      </c>
      <c r="C2154" s="40" t="str">
        <f t="shared" si="313"/>
        <v>25-&gt;</v>
      </c>
      <c r="D2154" s="40" t="str">
        <f t="shared" si="314"/>
        <v xml:space="preserve">No pick yet                                                 </v>
      </c>
      <c r="E2154" s="52">
        <f t="shared" si="315"/>
        <v>0</v>
      </c>
      <c r="F2154" s="18"/>
      <c r="M2154" s="18"/>
      <c r="N2154" s="18"/>
      <c r="O2154" s="18"/>
      <c r="P2154" s="18"/>
      <c r="Q2154" s="22"/>
      <c r="R2154" s="21"/>
      <c r="S2154" s="21"/>
      <c r="T2154" s="21"/>
      <c r="AA2154"/>
      <c r="AH2154" t="str">
        <f t="shared" si="316"/>
        <v>k yet</v>
      </c>
    </row>
    <row r="2155" spans="1:39">
      <c r="A2155" s="42" t="s">
        <v>271</v>
      </c>
      <c r="B2155" s="1" t="s">
        <v>20</v>
      </c>
      <c r="C2155" s="40" t="str">
        <f t="shared" si="313"/>
        <v>26-&gt;</v>
      </c>
      <c r="D2155" s="40" t="str">
        <f t="shared" si="314"/>
        <v xml:space="preserve">No pick yet                                                 </v>
      </c>
      <c r="E2155" s="52">
        <f t="shared" si="315"/>
        <v>0</v>
      </c>
      <c r="F2155" s="18"/>
      <c r="M2155" s="18"/>
      <c r="N2155" s="18"/>
      <c r="O2155" s="18"/>
      <c r="P2155" s="18"/>
      <c r="Q2155" s="22"/>
      <c r="R2155" s="21"/>
      <c r="S2155" s="21"/>
      <c r="T2155" s="21"/>
      <c r="AA2155"/>
      <c r="AH2155" t="str">
        <f t="shared" si="316"/>
        <v>k yet</v>
      </c>
    </row>
    <row r="2156" spans="1:39">
      <c r="A2156" s="38"/>
      <c r="B2156" s="40"/>
      <c r="C2156" s="40"/>
      <c r="D2156" s="49"/>
      <c r="E2156" s="41" t="s">
        <v>69</v>
      </c>
      <c r="F2156" s="18"/>
      <c r="K2156" s="22" t="s">
        <v>73</v>
      </c>
      <c r="L2156" s="18" t="s">
        <v>74</v>
      </c>
      <c r="M2156" s="22" t="s">
        <v>78</v>
      </c>
      <c r="N2156" s="22" t="s">
        <v>79</v>
      </c>
      <c r="O2156" s="22" t="s">
        <v>80</v>
      </c>
      <c r="P2156" s="22" t="s">
        <v>81</v>
      </c>
      <c r="Q2156" s="22" t="s">
        <v>82</v>
      </c>
      <c r="R2156" s="22" t="s">
        <v>83</v>
      </c>
      <c r="S2156" s="22" t="s">
        <v>84</v>
      </c>
      <c r="T2156" s="18" t="s">
        <v>85</v>
      </c>
      <c r="U2156" s="18" t="s">
        <v>86</v>
      </c>
      <c r="V2156" s="18" t="s">
        <v>87</v>
      </c>
      <c r="W2156" s="18" t="s">
        <v>88</v>
      </c>
      <c r="X2156" s="18" t="s">
        <v>89</v>
      </c>
      <c r="Y2156" s="18" t="s">
        <v>90</v>
      </c>
      <c r="Z2156" s="18" t="s">
        <v>91</v>
      </c>
      <c r="AA2156" s="18" t="s">
        <v>92</v>
      </c>
      <c r="AB2156" s="18" t="s">
        <v>93</v>
      </c>
      <c r="AC2156" s="18" t="s">
        <v>94</v>
      </c>
      <c r="AD2156" s="18" t="s">
        <v>235</v>
      </c>
      <c r="AE2156" s="18" t="s">
        <v>236</v>
      </c>
      <c r="AF2156" s="18" t="s">
        <v>237</v>
      </c>
      <c r="AG2156" s="18" t="s">
        <v>238</v>
      </c>
      <c r="AH2156" s="18" t="s">
        <v>239</v>
      </c>
      <c r="AI2156" s="18" t="s">
        <v>240</v>
      </c>
      <c r="AJ2156" s="18" t="s">
        <v>241</v>
      </c>
      <c r="AK2156" s="18" t="s">
        <v>242</v>
      </c>
      <c r="AL2156" s="18" t="s">
        <v>243</v>
      </c>
      <c r="AM2156" s="50" t="s">
        <v>244</v>
      </c>
    </row>
    <row r="2157" spans="1:39">
      <c r="A2157" s="40" t="s">
        <v>245</v>
      </c>
      <c r="B2157" s="51" t="str">
        <f>D76</f>
        <v/>
      </c>
      <c r="C2157" s="40" t="str">
        <f t="shared" ref="C2157:C2183" si="317">A2157</f>
        <v>#</v>
      </c>
      <c r="D2157" s="40" t="str">
        <f>"   "&amp;B2157&amp;REPT(" ",$AH$70-LEN(B2157)-3)</f>
        <v xml:space="preserve">                                                            </v>
      </c>
      <c r="E2157" s="38" t="str">
        <f>SUM(E2158:E2183)&amp;" pts[/b]"</f>
        <v>0 pts[/b]</v>
      </c>
      <c r="F2157" s="21">
        <f>SUM(E2158:E2183)</f>
        <v>0</v>
      </c>
      <c r="K2157" s="18">
        <f>COUNTIF(E2158:E2183,"&gt;0")</f>
        <v>0</v>
      </c>
      <c r="L2157" s="21">
        <f>AM2157-K2157</f>
        <v>0</v>
      </c>
      <c r="M2157" s="22">
        <f>MAX(E2158:E2183)</f>
        <v>0</v>
      </c>
      <c r="N2157" s="22">
        <f>LARGE(E2158:E2183,2)</f>
        <v>0</v>
      </c>
      <c r="O2157" s="22">
        <f>LARGE(E2158:E2183,3)</f>
        <v>0</v>
      </c>
      <c r="P2157" s="18">
        <f>LARGE(E2158:E2183,4)</f>
        <v>0</v>
      </c>
      <c r="Q2157" s="22">
        <f>LARGE(E2158:E2183,5)</f>
        <v>0</v>
      </c>
      <c r="R2157" s="22">
        <f>LARGE(E2158:E2183,6)</f>
        <v>0</v>
      </c>
      <c r="S2157" s="22">
        <f>LARGE(E2158:E2183,7)</f>
        <v>0</v>
      </c>
      <c r="T2157" s="18">
        <f>LARGE(E2158:E2183,8)</f>
        <v>0</v>
      </c>
      <c r="U2157" s="18">
        <f>LARGE(E2158:E2183,9)</f>
        <v>0</v>
      </c>
      <c r="V2157" s="18">
        <f>LARGE(E2158:E2183,10)</f>
        <v>0</v>
      </c>
      <c r="W2157" s="18">
        <f>LARGE(E2158:E2183,11)</f>
        <v>0</v>
      </c>
      <c r="X2157" s="18">
        <f>LARGE(E2158:E2183,12)</f>
        <v>0</v>
      </c>
      <c r="Y2157" s="18">
        <f>LARGE(E2158:E2183,13)</f>
        <v>0</v>
      </c>
      <c r="Z2157" s="18">
        <f>LARGE(E2158:E2183,14)</f>
        <v>0</v>
      </c>
      <c r="AA2157" s="18">
        <f>LARGE(E2158:E2183,15)</f>
        <v>0</v>
      </c>
      <c r="AB2157" s="18">
        <f>LARGE(E2158:E2183,16)</f>
        <v>0</v>
      </c>
      <c r="AC2157" s="18">
        <f>LARGE(E2158:E2183,17)</f>
        <v>0</v>
      </c>
      <c r="AD2157" s="18">
        <f>LARGE(E2158:E2184,13)</f>
        <v>0</v>
      </c>
      <c r="AE2157" s="18">
        <f>LARGE(E2158:E2183,19)</f>
        <v>0</v>
      </c>
      <c r="AF2157" s="18">
        <f>LARGE(E2158:E2183,20)</f>
        <v>0</v>
      </c>
      <c r="AG2157" s="18">
        <f>LARGE(E2158:E2183,21)</f>
        <v>0</v>
      </c>
      <c r="AH2157" s="18">
        <f>LARGE(E2158:E2183,22)</f>
        <v>0</v>
      </c>
      <c r="AI2157" s="18">
        <f>LARGE(E2158:E2183,23)</f>
        <v>0</v>
      </c>
      <c r="AJ2157" s="18">
        <f>LARGE(E2158:E2183,24)</f>
        <v>0</v>
      </c>
      <c r="AK2157" s="18">
        <f>LARGE(E2158:E2183,25)</f>
        <v>0</v>
      </c>
      <c r="AL2157" s="18">
        <f>LARGE(E2158:E2183,26)</f>
        <v>0</v>
      </c>
      <c r="AM2157" s="50">
        <f>COUNTIF(AH2158:AH2183,"&lt;&gt;"&amp;$AH$76)-(26-COUNTIF(E2158:E2183,"&gt;=0"))</f>
        <v>0</v>
      </c>
    </row>
    <row r="2158" spans="1:39">
      <c r="A2158" s="42" t="s">
        <v>246</v>
      </c>
      <c r="B2158" s="1" t="s">
        <v>20</v>
      </c>
      <c r="C2158" s="40" t="str">
        <f t="shared" si="317"/>
        <v>01-&gt;</v>
      </c>
      <c r="D2158" s="40" t="str">
        <f t="shared" ref="D2158:D2183" si="318">B2158&amp;REPT(" ",$AH$70-LEN(B2158))</f>
        <v xml:space="preserve">No pick yet                                                 </v>
      </c>
      <c r="E2158" s="52">
        <f t="shared" ref="E2158:E2183" si="319">VLOOKUP(RIGHT(B2158,LEN(B2158)-$AH$66),$H$138:$I$420,2,0)</f>
        <v>0</v>
      </c>
      <c r="F2158" s="18"/>
      <c r="M2158" s="18"/>
      <c r="N2158" s="18"/>
      <c r="O2158" s="18"/>
      <c r="P2158" s="18"/>
      <c r="Q2158" s="22"/>
      <c r="R2158" s="21"/>
      <c r="S2158" s="21"/>
      <c r="T2158" s="21"/>
      <c r="AA2158"/>
      <c r="AH2158" t="str">
        <f t="shared" ref="AH2158:AH2183" si="320">RIGHT(B2158,LEN(B2158)-$AH$66)</f>
        <v>k yet</v>
      </c>
    </row>
    <row r="2159" spans="1:39">
      <c r="A2159" s="42" t="s">
        <v>247</v>
      </c>
      <c r="B2159" s="1" t="s">
        <v>20</v>
      </c>
      <c r="C2159" s="40" t="str">
        <f t="shared" si="317"/>
        <v>02-&gt;</v>
      </c>
      <c r="D2159" s="40" t="str">
        <f t="shared" si="318"/>
        <v xml:space="preserve">No pick yet                                                 </v>
      </c>
      <c r="E2159" s="52">
        <f t="shared" si="319"/>
        <v>0</v>
      </c>
      <c r="F2159" s="18"/>
      <c r="K2159" s="22"/>
      <c r="N2159" s="22"/>
      <c r="O2159" s="22"/>
      <c r="P2159" s="22"/>
      <c r="Q2159" s="22"/>
      <c r="R2159" s="22"/>
      <c r="S2159" s="22"/>
      <c r="Z2159" s="53"/>
      <c r="AA2159"/>
      <c r="AH2159" t="str">
        <f t="shared" si="320"/>
        <v>k yet</v>
      </c>
    </row>
    <row r="2160" spans="1:39">
      <c r="A2160" s="42" t="s">
        <v>248</v>
      </c>
      <c r="B2160" s="1" t="s">
        <v>20</v>
      </c>
      <c r="C2160" s="40" t="str">
        <f t="shared" si="317"/>
        <v>03-&gt;</v>
      </c>
      <c r="D2160" s="40" t="str">
        <f t="shared" si="318"/>
        <v xml:space="preserve">No pick yet                                                 </v>
      </c>
      <c r="E2160" s="52">
        <f t="shared" si="319"/>
        <v>0</v>
      </c>
      <c r="F2160" s="18"/>
      <c r="L2160" s="21"/>
      <c r="N2160" s="22"/>
      <c r="O2160" s="22"/>
      <c r="P2160" s="18"/>
      <c r="Q2160" s="22"/>
      <c r="R2160" s="22"/>
      <c r="S2160" s="22"/>
      <c r="Z2160" s="53"/>
      <c r="AA2160"/>
      <c r="AH2160" t="str">
        <f t="shared" si="320"/>
        <v>k yet</v>
      </c>
    </row>
    <row r="2161" spans="1:34">
      <c r="A2161" s="42" t="s">
        <v>249</v>
      </c>
      <c r="B2161" s="1" t="s">
        <v>20</v>
      </c>
      <c r="C2161" s="40" t="str">
        <f t="shared" si="317"/>
        <v>04-&gt;</v>
      </c>
      <c r="D2161" s="40" t="str">
        <f t="shared" si="318"/>
        <v xml:space="preserve">No pick yet                                                 </v>
      </c>
      <c r="E2161" s="52">
        <f t="shared" si="319"/>
        <v>0</v>
      </c>
      <c r="F2161" s="18"/>
      <c r="M2161" s="18"/>
      <c r="N2161" s="18"/>
      <c r="O2161" s="18"/>
      <c r="P2161" s="18"/>
      <c r="Q2161" s="22"/>
      <c r="R2161" s="21"/>
      <c r="S2161" s="21"/>
      <c r="T2161" s="21"/>
      <c r="AA2161"/>
      <c r="AH2161" t="str">
        <f t="shared" si="320"/>
        <v>k yet</v>
      </c>
    </row>
    <row r="2162" spans="1:34">
      <c r="A2162" s="42" t="s">
        <v>250</v>
      </c>
      <c r="B2162" s="1" t="s">
        <v>20</v>
      </c>
      <c r="C2162" s="40" t="str">
        <f t="shared" si="317"/>
        <v>05-&gt;</v>
      </c>
      <c r="D2162" s="40" t="str">
        <f t="shared" si="318"/>
        <v xml:space="preserve">No pick yet                                                 </v>
      </c>
      <c r="E2162" s="52">
        <f t="shared" si="319"/>
        <v>0</v>
      </c>
      <c r="F2162" s="18"/>
      <c r="M2162" s="18"/>
      <c r="N2162" s="18"/>
      <c r="O2162" s="18"/>
      <c r="P2162" s="18"/>
      <c r="Q2162" s="22"/>
      <c r="R2162" s="21"/>
      <c r="S2162" s="21"/>
      <c r="T2162" s="21"/>
      <c r="AA2162"/>
      <c r="AH2162" t="str">
        <f t="shared" si="320"/>
        <v>k yet</v>
      </c>
    </row>
    <row r="2163" spans="1:34">
      <c r="A2163" s="42" t="s">
        <v>251</v>
      </c>
      <c r="B2163" s="1" t="s">
        <v>20</v>
      </c>
      <c r="C2163" s="40" t="str">
        <f t="shared" si="317"/>
        <v>06-&gt;</v>
      </c>
      <c r="D2163" s="40" t="str">
        <f t="shared" si="318"/>
        <v xml:space="preserve">No pick yet                                                 </v>
      </c>
      <c r="E2163" s="52">
        <f t="shared" si="319"/>
        <v>0</v>
      </c>
      <c r="F2163" s="18"/>
      <c r="M2163" s="18"/>
      <c r="N2163" s="18"/>
      <c r="O2163" s="18"/>
      <c r="P2163" s="18"/>
      <c r="Q2163" s="22"/>
      <c r="R2163" s="21"/>
      <c r="S2163" s="21"/>
      <c r="T2163" s="21"/>
      <c r="AA2163"/>
      <c r="AH2163" t="str">
        <f t="shared" si="320"/>
        <v>k yet</v>
      </c>
    </row>
    <row r="2164" spans="1:34">
      <c r="A2164" s="42" t="s">
        <v>252</v>
      </c>
      <c r="B2164" s="1" t="s">
        <v>20</v>
      </c>
      <c r="C2164" s="40" t="str">
        <f t="shared" si="317"/>
        <v>07-&gt;</v>
      </c>
      <c r="D2164" s="40" t="str">
        <f t="shared" si="318"/>
        <v xml:space="preserve">No pick yet                                                 </v>
      </c>
      <c r="E2164" s="52">
        <f t="shared" si="319"/>
        <v>0</v>
      </c>
      <c r="F2164" s="18"/>
      <c r="M2164" s="18"/>
      <c r="N2164" s="18"/>
      <c r="O2164" s="18"/>
      <c r="P2164" s="18"/>
      <c r="Q2164" s="22"/>
      <c r="R2164" s="21"/>
      <c r="S2164" s="21"/>
      <c r="T2164" s="21"/>
      <c r="AA2164"/>
      <c r="AH2164" t="str">
        <f t="shared" si="320"/>
        <v>k yet</v>
      </c>
    </row>
    <row r="2165" spans="1:34">
      <c r="A2165" s="42" t="s">
        <v>253</v>
      </c>
      <c r="B2165" s="1" t="s">
        <v>20</v>
      </c>
      <c r="C2165" s="40" t="str">
        <f t="shared" si="317"/>
        <v>08-&gt;</v>
      </c>
      <c r="D2165" s="40" t="str">
        <f t="shared" si="318"/>
        <v xml:space="preserve">No pick yet                                                 </v>
      </c>
      <c r="E2165" s="52">
        <f t="shared" si="319"/>
        <v>0</v>
      </c>
      <c r="F2165" s="18"/>
      <c r="M2165" s="18"/>
      <c r="N2165" s="18"/>
      <c r="O2165" s="18"/>
      <c r="P2165" s="18"/>
      <c r="Q2165" s="22"/>
      <c r="R2165" s="21"/>
      <c r="S2165" s="21"/>
      <c r="T2165" s="21"/>
      <c r="AA2165"/>
      <c r="AH2165" t="str">
        <f t="shared" si="320"/>
        <v>k yet</v>
      </c>
    </row>
    <row r="2166" spans="1:34">
      <c r="A2166" s="42" t="s">
        <v>254</v>
      </c>
      <c r="B2166" s="1" t="s">
        <v>20</v>
      </c>
      <c r="C2166" s="40" t="str">
        <f t="shared" si="317"/>
        <v>09-&gt;</v>
      </c>
      <c r="D2166" s="40" t="str">
        <f t="shared" si="318"/>
        <v xml:space="preserve">No pick yet                                                 </v>
      </c>
      <c r="E2166" s="52">
        <f t="shared" si="319"/>
        <v>0</v>
      </c>
      <c r="F2166" s="18"/>
      <c r="M2166" s="18"/>
      <c r="N2166" s="18"/>
      <c r="O2166" s="18"/>
      <c r="P2166" s="18"/>
      <c r="Q2166" s="22"/>
      <c r="R2166" s="21"/>
      <c r="S2166" s="21"/>
      <c r="T2166" s="21"/>
      <c r="AA2166"/>
      <c r="AH2166" t="str">
        <f t="shared" si="320"/>
        <v>k yet</v>
      </c>
    </row>
    <row r="2167" spans="1:34">
      <c r="A2167" s="42" t="s">
        <v>255</v>
      </c>
      <c r="B2167" s="1" t="s">
        <v>20</v>
      </c>
      <c r="C2167" s="40" t="str">
        <f t="shared" si="317"/>
        <v>10-&gt;</v>
      </c>
      <c r="D2167" s="40" t="str">
        <f t="shared" si="318"/>
        <v xml:space="preserve">No pick yet                                                 </v>
      </c>
      <c r="E2167" s="52">
        <f t="shared" si="319"/>
        <v>0</v>
      </c>
      <c r="F2167" s="22"/>
      <c r="M2167" s="18"/>
      <c r="N2167" s="18"/>
      <c r="O2167" s="18"/>
      <c r="P2167" s="18"/>
      <c r="Q2167" s="22"/>
      <c r="R2167" s="21"/>
      <c r="S2167" s="21"/>
      <c r="T2167" s="21"/>
      <c r="AA2167"/>
      <c r="AH2167" t="str">
        <f t="shared" si="320"/>
        <v>k yet</v>
      </c>
    </row>
    <row r="2168" spans="1:34">
      <c r="A2168" s="42" t="s">
        <v>256</v>
      </c>
      <c r="B2168" s="1" t="s">
        <v>20</v>
      </c>
      <c r="C2168" s="40" t="str">
        <f t="shared" si="317"/>
        <v>11-&gt;</v>
      </c>
      <c r="D2168" s="40" t="str">
        <f t="shared" si="318"/>
        <v xml:space="preserve">No pick yet                                                 </v>
      </c>
      <c r="E2168" s="52">
        <f t="shared" si="319"/>
        <v>0</v>
      </c>
      <c r="M2168" s="18"/>
      <c r="N2168" s="18"/>
      <c r="O2168" s="18"/>
      <c r="P2168" s="18"/>
      <c r="Q2168" s="22"/>
      <c r="R2168" s="21"/>
      <c r="S2168" s="21"/>
      <c r="T2168" s="21"/>
      <c r="AA2168"/>
      <c r="AH2168" t="str">
        <f t="shared" si="320"/>
        <v>k yet</v>
      </c>
    </row>
    <row r="2169" spans="1:34">
      <c r="A2169" s="42" t="s">
        <v>257</v>
      </c>
      <c r="B2169" s="1" t="s">
        <v>20</v>
      </c>
      <c r="C2169" s="40" t="str">
        <f t="shared" si="317"/>
        <v>12-&gt;</v>
      </c>
      <c r="D2169" s="40" t="str">
        <f t="shared" si="318"/>
        <v xml:space="preserve">No pick yet                                                 </v>
      </c>
      <c r="E2169" s="52">
        <f t="shared" si="319"/>
        <v>0</v>
      </c>
      <c r="M2169" s="18"/>
      <c r="N2169" s="18"/>
      <c r="O2169" s="18"/>
      <c r="P2169" s="18"/>
      <c r="Q2169" s="22"/>
      <c r="R2169" s="21"/>
      <c r="S2169" s="21"/>
      <c r="T2169" s="21"/>
      <c r="AA2169"/>
      <c r="AH2169" t="str">
        <f t="shared" si="320"/>
        <v>k yet</v>
      </c>
    </row>
    <row r="2170" spans="1:34">
      <c r="A2170" s="42" t="s">
        <v>258</v>
      </c>
      <c r="B2170" s="1" t="s">
        <v>20</v>
      </c>
      <c r="C2170" s="40" t="str">
        <f t="shared" si="317"/>
        <v>13-&gt;</v>
      </c>
      <c r="D2170" s="40" t="str">
        <f t="shared" si="318"/>
        <v xml:space="preserve">No pick yet                                                 </v>
      </c>
      <c r="E2170" s="52">
        <f t="shared" si="319"/>
        <v>0</v>
      </c>
      <c r="M2170" s="18"/>
      <c r="N2170" s="18"/>
      <c r="O2170" s="18"/>
      <c r="P2170" s="18"/>
      <c r="Q2170" s="22"/>
      <c r="R2170" s="21"/>
      <c r="S2170" s="21"/>
      <c r="T2170" s="21"/>
      <c r="AA2170"/>
      <c r="AH2170" t="str">
        <f t="shared" si="320"/>
        <v>k yet</v>
      </c>
    </row>
    <row r="2171" spans="1:34">
      <c r="A2171" s="42" t="s">
        <v>259</v>
      </c>
      <c r="B2171" s="1" t="s">
        <v>20</v>
      </c>
      <c r="C2171" s="40" t="str">
        <f t="shared" si="317"/>
        <v>14-&gt;</v>
      </c>
      <c r="D2171" s="40" t="str">
        <f t="shared" si="318"/>
        <v xml:space="preserve">No pick yet                                                 </v>
      </c>
      <c r="E2171" s="52">
        <f t="shared" si="319"/>
        <v>0</v>
      </c>
      <c r="M2171" s="18"/>
      <c r="N2171" s="18"/>
      <c r="O2171" s="18"/>
      <c r="P2171" s="18"/>
      <c r="Q2171" s="22"/>
      <c r="R2171" s="21"/>
      <c r="S2171" s="21"/>
      <c r="T2171" s="21"/>
      <c r="AA2171"/>
      <c r="AH2171" t="str">
        <f t="shared" si="320"/>
        <v>k yet</v>
      </c>
    </row>
    <row r="2172" spans="1:34">
      <c r="A2172" s="42" t="s">
        <v>260</v>
      </c>
      <c r="B2172" s="1" t="s">
        <v>20</v>
      </c>
      <c r="C2172" s="40" t="str">
        <f t="shared" si="317"/>
        <v>15-&gt;</v>
      </c>
      <c r="D2172" s="40" t="str">
        <f t="shared" si="318"/>
        <v xml:space="preserve">No pick yet                                                 </v>
      </c>
      <c r="E2172" s="52">
        <f t="shared" si="319"/>
        <v>0</v>
      </c>
      <c r="M2172" s="18"/>
      <c r="N2172" s="18"/>
      <c r="O2172" s="18"/>
      <c r="P2172" s="18"/>
      <c r="Q2172" s="22"/>
      <c r="R2172" s="21"/>
      <c r="S2172" s="21"/>
      <c r="T2172" s="21"/>
      <c r="AA2172"/>
      <c r="AH2172" t="str">
        <f t="shared" si="320"/>
        <v>k yet</v>
      </c>
    </row>
    <row r="2173" spans="1:34">
      <c r="A2173" s="42" t="s">
        <v>261</v>
      </c>
      <c r="B2173" s="1" t="s">
        <v>20</v>
      </c>
      <c r="C2173" s="40" t="str">
        <f t="shared" si="317"/>
        <v>16-&gt;</v>
      </c>
      <c r="D2173" s="40" t="str">
        <f t="shared" si="318"/>
        <v xml:space="preserve">No pick yet                                                 </v>
      </c>
      <c r="E2173" s="52">
        <f t="shared" si="319"/>
        <v>0</v>
      </c>
      <c r="M2173" s="18"/>
      <c r="N2173" s="18"/>
      <c r="O2173" s="18"/>
      <c r="P2173" s="18"/>
      <c r="Q2173" s="22"/>
      <c r="R2173" s="21"/>
      <c r="S2173" s="21"/>
      <c r="T2173" s="21"/>
      <c r="AA2173"/>
      <c r="AH2173" t="str">
        <f t="shared" si="320"/>
        <v>k yet</v>
      </c>
    </row>
    <row r="2174" spans="1:34">
      <c r="A2174" s="42" t="s">
        <v>262</v>
      </c>
      <c r="B2174" s="1" t="s">
        <v>20</v>
      </c>
      <c r="C2174" s="40" t="str">
        <f t="shared" si="317"/>
        <v>17-&gt;</v>
      </c>
      <c r="D2174" s="40" t="str">
        <f t="shared" si="318"/>
        <v xml:space="preserve">No pick yet                                                 </v>
      </c>
      <c r="E2174" s="52">
        <f t="shared" si="319"/>
        <v>0</v>
      </c>
      <c r="K2174" s="22"/>
      <c r="N2174" s="22"/>
      <c r="O2174" s="22"/>
      <c r="P2174" s="22"/>
      <c r="Q2174" s="22"/>
      <c r="R2174" s="22"/>
      <c r="S2174" s="22"/>
      <c r="Z2174" s="53"/>
      <c r="AA2174"/>
      <c r="AH2174" t="str">
        <f t="shared" si="320"/>
        <v>k yet</v>
      </c>
    </row>
    <row r="2175" spans="1:34">
      <c r="A2175" s="42" t="s">
        <v>263</v>
      </c>
      <c r="B2175" s="1" t="s">
        <v>20</v>
      </c>
      <c r="C2175" s="40" t="str">
        <f t="shared" si="317"/>
        <v>18-&gt;</v>
      </c>
      <c r="D2175" s="40" t="str">
        <f t="shared" si="318"/>
        <v xml:space="preserve">No pick yet                                                 </v>
      </c>
      <c r="E2175" s="52">
        <f t="shared" si="319"/>
        <v>0</v>
      </c>
      <c r="F2175" s="18"/>
      <c r="L2175" s="21"/>
      <c r="N2175" s="22"/>
      <c r="O2175" s="22"/>
      <c r="P2175" s="18"/>
      <c r="Q2175" s="22"/>
      <c r="R2175" s="22"/>
      <c r="S2175" s="22"/>
      <c r="Z2175" s="53"/>
      <c r="AA2175"/>
      <c r="AH2175" t="str">
        <f t="shared" si="320"/>
        <v>k yet</v>
      </c>
    </row>
    <row r="2176" spans="1:34">
      <c r="A2176" s="42" t="s">
        <v>264</v>
      </c>
      <c r="B2176" s="1" t="s">
        <v>20</v>
      </c>
      <c r="C2176" s="40" t="str">
        <f t="shared" si="317"/>
        <v>19-&gt;</v>
      </c>
      <c r="D2176" s="40" t="str">
        <f t="shared" si="318"/>
        <v xml:space="preserve">No pick yet                                                 </v>
      </c>
      <c r="E2176" s="52">
        <f t="shared" si="319"/>
        <v>0</v>
      </c>
      <c r="F2176" s="18"/>
      <c r="M2176" s="18"/>
      <c r="N2176" s="18"/>
      <c r="O2176" s="18"/>
      <c r="P2176" s="18"/>
      <c r="Q2176" s="22"/>
      <c r="R2176" s="21"/>
      <c r="S2176" s="21"/>
      <c r="T2176" s="21"/>
      <c r="AA2176"/>
      <c r="AH2176" t="str">
        <f t="shared" si="320"/>
        <v>k yet</v>
      </c>
    </row>
    <row r="2177" spans="1:39">
      <c r="A2177" s="42" t="s">
        <v>265</v>
      </c>
      <c r="B2177" s="1" t="s">
        <v>20</v>
      </c>
      <c r="C2177" s="40" t="str">
        <f t="shared" si="317"/>
        <v>20-&gt;</v>
      </c>
      <c r="D2177" s="40" t="str">
        <f t="shared" si="318"/>
        <v xml:space="preserve">No pick yet                                                 </v>
      </c>
      <c r="E2177" s="52">
        <f t="shared" si="319"/>
        <v>0</v>
      </c>
      <c r="F2177" s="18"/>
      <c r="M2177" s="18"/>
      <c r="N2177" s="18"/>
      <c r="O2177" s="18"/>
      <c r="P2177" s="18"/>
      <c r="Q2177" s="22"/>
      <c r="R2177" s="21"/>
      <c r="S2177" s="21"/>
      <c r="T2177" s="21"/>
      <c r="AA2177"/>
      <c r="AH2177" t="str">
        <f t="shared" si="320"/>
        <v>k yet</v>
      </c>
    </row>
    <row r="2178" spans="1:39">
      <c r="A2178" s="42" t="s">
        <v>266</v>
      </c>
      <c r="B2178" s="1" t="s">
        <v>20</v>
      </c>
      <c r="C2178" s="40" t="str">
        <f t="shared" si="317"/>
        <v>21-&gt;</v>
      </c>
      <c r="D2178" s="40" t="str">
        <f t="shared" si="318"/>
        <v xml:space="preserve">No pick yet                                                 </v>
      </c>
      <c r="E2178" s="52">
        <f t="shared" si="319"/>
        <v>0</v>
      </c>
      <c r="F2178" s="18"/>
      <c r="M2178" s="18"/>
      <c r="N2178" s="18"/>
      <c r="O2178" s="18"/>
      <c r="P2178" s="18"/>
      <c r="Q2178" s="22"/>
      <c r="R2178" s="21"/>
      <c r="S2178" s="21"/>
      <c r="T2178" s="21"/>
      <c r="AA2178"/>
      <c r="AH2178" t="str">
        <f t="shared" si="320"/>
        <v>k yet</v>
      </c>
    </row>
    <row r="2179" spans="1:39">
      <c r="A2179" s="42" t="s">
        <v>267</v>
      </c>
      <c r="B2179" s="1" t="s">
        <v>20</v>
      </c>
      <c r="C2179" s="40" t="str">
        <f t="shared" si="317"/>
        <v>22-&gt;</v>
      </c>
      <c r="D2179" s="40" t="str">
        <f t="shared" si="318"/>
        <v xml:space="preserve">No pick yet                                                 </v>
      </c>
      <c r="E2179" s="52">
        <f t="shared" si="319"/>
        <v>0</v>
      </c>
      <c r="F2179" s="18"/>
      <c r="M2179" s="18"/>
      <c r="N2179" s="18"/>
      <c r="O2179" s="18"/>
      <c r="P2179" s="18"/>
      <c r="Q2179" s="22"/>
      <c r="R2179" s="21"/>
      <c r="S2179" s="21"/>
      <c r="T2179" s="21"/>
      <c r="AA2179"/>
      <c r="AH2179" t="str">
        <f t="shared" si="320"/>
        <v>k yet</v>
      </c>
    </row>
    <row r="2180" spans="1:39">
      <c r="A2180" s="42" t="s">
        <v>268</v>
      </c>
      <c r="B2180" s="1" t="s">
        <v>20</v>
      </c>
      <c r="C2180" s="40" t="str">
        <f t="shared" si="317"/>
        <v>23-&gt;</v>
      </c>
      <c r="D2180" s="40" t="str">
        <f t="shared" si="318"/>
        <v xml:space="preserve">No pick yet                                                 </v>
      </c>
      <c r="E2180" s="52">
        <f t="shared" si="319"/>
        <v>0</v>
      </c>
      <c r="F2180" s="18"/>
      <c r="M2180" s="18"/>
      <c r="N2180" s="18"/>
      <c r="O2180" s="18"/>
      <c r="P2180" s="18"/>
      <c r="Q2180" s="22"/>
      <c r="R2180" s="21"/>
      <c r="S2180" s="21"/>
      <c r="T2180" s="21"/>
      <c r="AA2180"/>
      <c r="AH2180" t="str">
        <f t="shared" si="320"/>
        <v>k yet</v>
      </c>
    </row>
    <row r="2181" spans="1:39">
      <c r="A2181" s="42" t="s">
        <v>269</v>
      </c>
      <c r="B2181" s="1" t="s">
        <v>20</v>
      </c>
      <c r="C2181" s="40" t="str">
        <f t="shared" si="317"/>
        <v>24-&gt;</v>
      </c>
      <c r="D2181" s="40" t="str">
        <f t="shared" si="318"/>
        <v xml:space="preserve">No pick yet                                                 </v>
      </c>
      <c r="E2181" s="52">
        <f t="shared" si="319"/>
        <v>0</v>
      </c>
      <c r="F2181" s="18"/>
      <c r="M2181" s="18"/>
      <c r="N2181" s="18"/>
      <c r="O2181" s="18"/>
      <c r="P2181" s="18"/>
      <c r="Q2181" s="22"/>
      <c r="R2181" s="21"/>
      <c r="S2181" s="21"/>
      <c r="T2181" s="21"/>
      <c r="AA2181"/>
      <c r="AH2181" t="str">
        <f t="shared" si="320"/>
        <v>k yet</v>
      </c>
    </row>
    <row r="2182" spans="1:39">
      <c r="A2182" s="42" t="s">
        <v>270</v>
      </c>
      <c r="B2182" s="1" t="s">
        <v>20</v>
      </c>
      <c r="C2182" s="40" t="str">
        <f t="shared" si="317"/>
        <v>25-&gt;</v>
      </c>
      <c r="D2182" s="40" t="str">
        <f t="shared" si="318"/>
        <v xml:space="preserve">No pick yet                                                 </v>
      </c>
      <c r="E2182" s="52">
        <f t="shared" si="319"/>
        <v>0</v>
      </c>
      <c r="F2182" s="18"/>
      <c r="M2182" s="18"/>
      <c r="N2182" s="18"/>
      <c r="O2182" s="18"/>
      <c r="P2182" s="18"/>
      <c r="Q2182" s="22"/>
      <c r="R2182" s="21"/>
      <c r="S2182" s="21"/>
      <c r="T2182" s="21"/>
      <c r="AA2182"/>
      <c r="AH2182" t="str">
        <f t="shared" si="320"/>
        <v>k yet</v>
      </c>
    </row>
    <row r="2183" spans="1:39">
      <c r="A2183" s="42" t="s">
        <v>271</v>
      </c>
      <c r="B2183" s="1" t="s">
        <v>20</v>
      </c>
      <c r="C2183" s="40" t="str">
        <f t="shared" si="317"/>
        <v>26-&gt;</v>
      </c>
      <c r="D2183" s="40" t="str">
        <f t="shared" si="318"/>
        <v xml:space="preserve">No pick yet                                                 </v>
      </c>
      <c r="E2183" s="52">
        <f t="shared" si="319"/>
        <v>0</v>
      </c>
      <c r="F2183" s="18"/>
      <c r="M2183" s="18"/>
      <c r="N2183" s="18"/>
      <c r="O2183" s="18"/>
      <c r="P2183" s="18"/>
      <c r="Q2183" s="22"/>
      <c r="R2183" s="21"/>
      <c r="S2183" s="21"/>
      <c r="T2183" s="21"/>
      <c r="AA2183"/>
      <c r="AH2183" t="str">
        <f t="shared" si="320"/>
        <v>k yet</v>
      </c>
    </row>
    <row r="2184" spans="1:39">
      <c r="A2184" s="38"/>
      <c r="B2184" s="40"/>
      <c r="C2184" s="40"/>
      <c r="D2184" s="49"/>
      <c r="E2184" s="41" t="s">
        <v>69</v>
      </c>
      <c r="F2184" s="18"/>
      <c r="K2184" s="22" t="s">
        <v>73</v>
      </c>
      <c r="L2184" s="18" t="s">
        <v>74</v>
      </c>
      <c r="M2184" s="22" t="s">
        <v>78</v>
      </c>
      <c r="N2184" s="22" t="s">
        <v>79</v>
      </c>
      <c r="O2184" s="22" t="s">
        <v>80</v>
      </c>
      <c r="P2184" s="22" t="s">
        <v>81</v>
      </c>
      <c r="Q2184" s="22" t="s">
        <v>82</v>
      </c>
      <c r="R2184" s="22" t="s">
        <v>83</v>
      </c>
      <c r="S2184" s="22" t="s">
        <v>84</v>
      </c>
      <c r="T2184" s="18" t="s">
        <v>85</v>
      </c>
      <c r="U2184" s="18" t="s">
        <v>86</v>
      </c>
      <c r="V2184" s="18" t="s">
        <v>87</v>
      </c>
      <c r="W2184" s="18" t="s">
        <v>88</v>
      </c>
      <c r="X2184" s="18" t="s">
        <v>89</v>
      </c>
      <c r="Y2184" s="18" t="s">
        <v>90</v>
      </c>
      <c r="Z2184" s="18" t="s">
        <v>91</v>
      </c>
      <c r="AA2184" s="18" t="s">
        <v>92</v>
      </c>
      <c r="AB2184" s="18" t="s">
        <v>93</v>
      </c>
      <c r="AC2184" s="18" t="s">
        <v>94</v>
      </c>
      <c r="AD2184" s="18" t="s">
        <v>235</v>
      </c>
      <c r="AE2184" s="18" t="s">
        <v>236</v>
      </c>
      <c r="AF2184" s="18" t="s">
        <v>237</v>
      </c>
      <c r="AG2184" s="18" t="s">
        <v>238</v>
      </c>
      <c r="AH2184" s="18" t="s">
        <v>239</v>
      </c>
      <c r="AI2184" s="18" t="s">
        <v>240</v>
      </c>
      <c r="AJ2184" s="18" t="s">
        <v>241</v>
      </c>
      <c r="AK2184" s="18" t="s">
        <v>242</v>
      </c>
      <c r="AL2184" s="18" t="s">
        <v>243</v>
      </c>
      <c r="AM2184" s="50" t="s">
        <v>244</v>
      </c>
    </row>
    <row r="2185" spans="1:39">
      <c r="A2185" s="40" t="s">
        <v>245</v>
      </c>
      <c r="B2185" s="51" t="str">
        <f>D77</f>
        <v/>
      </c>
      <c r="C2185" s="40" t="str">
        <f t="shared" ref="C2185:C2211" si="321">A2185</f>
        <v>#</v>
      </c>
      <c r="D2185" s="40" t="str">
        <f>"   "&amp;B2185&amp;REPT(" ",$AH$70-LEN(B2185)-3)</f>
        <v xml:space="preserve">                                                            </v>
      </c>
      <c r="E2185" s="38" t="str">
        <f>SUM(E2186:E2211)&amp;" pts[/b]"</f>
        <v>0 pts[/b]</v>
      </c>
      <c r="F2185" s="21">
        <f>SUM(E2186:E2211)</f>
        <v>0</v>
      </c>
      <c r="K2185" s="18">
        <f>COUNTIF(E2186:E2211,"&gt;0")</f>
        <v>0</v>
      </c>
      <c r="L2185" s="21">
        <f>AM2185-K2185</f>
        <v>0</v>
      </c>
      <c r="M2185" s="22">
        <f>MAX(E2186:E2211)</f>
        <v>0</v>
      </c>
      <c r="N2185" s="22">
        <f>LARGE(E2186:E2211,2)</f>
        <v>0</v>
      </c>
      <c r="O2185" s="22">
        <f>LARGE(E2186:E2211,3)</f>
        <v>0</v>
      </c>
      <c r="P2185" s="18">
        <f>LARGE(E2186:E2211,4)</f>
        <v>0</v>
      </c>
      <c r="Q2185" s="22">
        <f>LARGE(E2186:E2211,5)</f>
        <v>0</v>
      </c>
      <c r="R2185" s="22">
        <f>LARGE(E2186:E2211,6)</f>
        <v>0</v>
      </c>
      <c r="S2185" s="22">
        <f>LARGE(E2186:E2211,7)</f>
        <v>0</v>
      </c>
      <c r="T2185" s="18">
        <f>LARGE(E2186:E2211,8)</f>
        <v>0</v>
      </c>
      <c r="U2185" s="18">
        <f>LARGE(E2186:E2211,9)</f>
        <v>0</v>
      </c>
      <c r="V2185" s="18">
        <f>LARGE(E2186:E2211,10)</f>
        <v>0</v>
      </c>
      <c r="W2185" s="18">
        <f>LARGE(E2186:E2211,11)</f>
        <v>0</v>
      </c>
      <c r="X2185" s="18">
        <f>LARGE(E2186:E2211,12)</f>
        <v>0</v>
      </c>
      <c r="Y2185" s="18">
        <f>LARGE(E2186:E2211,13)</f>
        <v>0</v>
      </c>
      <c r="Z2185" s="18">
        <f>LARGE(E2186:E2211,14)</f>
        <v>0</v>
      </c>
      <c r="AA2185" s="18">
        <f>LARGE(E2186:E2211,15)</f>
        <v>0</v>
      </c>
      <c r="AB2185" s="18">
        <f>LARGE(E2186:E2211,16)</f>
        <v>0</v>
      </c>
      <c r="AC2185" s="18">
        <f>LARGE(E2186:E2211,17)</f>
        <v>0</v>
      </c>
      <c r="AD2185" s="18">
        <f>LARGE(E2186:E2212,13)</f>
        <v>0</v>
      </c>
      <c r="AE2185" s="18">
        <f>LARGE(E2186:E2211,19)</f>
        <v>0</v>
      </c>
      <c r="AF2185" s="18">
        <f>LARGE(E2186:E2211,20)</f>
        <v>0</v>
      </c>
      <c r="AG2185" s="18">
        <f>LARGE(E2186:E2211,21)</f>
        <v>0</v>
      </c>
      <c r="AH2185" s="18">
        <f>LARGE(E2186:E2211,22)</f>
        <v>0</v>
      </c>
      <c r="AI2185" s="18">
        <f>LARGE(E2186:E2211,23)</f>
        <v>0</v>
      </c>
      <c r="AJ2185" s="18">
        <f>LARGE(E2186:E2211,24)</f>
        <v>0</v>
      </c>
      <c r="AK2185" s="18">
        <f>LARGE(E2186:E2211,25)</f>
        <v>0</v>
      </c>
      <c r="AL2185" s="18">
        <f>LARGE(E2186:E2211,26)</f>
        <v>0</v>
      </c>
      <c r="AM2185" s="50">
        <f>COUNTIF(AH2186:AH2211,"&lt;&gt;"&amp;$AH$76)-(26-COUNTIF(E2186:E2211,"&gt;=0"))</f>
        <v>0</v>
      </c>
    </row>
    <row r="2186" spans="1:39">
      <c r="A2186" s="42" t="s">
        <v>246</v>
      </c>
      <c r="B2186" s="1" t="s">
        <v>20</v>
      </c>
      <c r="C2186" s="40" t="str">
        <f t="shared" si="321"/>
        <v>01-&gt;</v>
      </c>
      <c r="D2186" s="40" t="str">
        <f t="shared" ref="D2186:D2211" si="322">B2186&amp;REPT(" ",$AH$70-LEN(B2186))</f>
        <v xml:space="preserve">No pick yet                                                 </v>
      </c>
      <c r="E2186" s="52">
        <f t="shared" ref="E2186:E2211" si="323">VLOOKUP(RIGHT(B2186,LEN(B2186)-$AH$66),$H$138:$I$420,2,0)</f>
        <v>0</v>
      </c>
      <c r="F2186" s="18"/>
      <c r="M2186" s="18"/>
      <c r="N2186" s="18"/>
      <c r="O2186" s="18"/>
      <c r="P2186" s="18"/>
      <c r="Q2186" s="22"/>
      <c r="R2186" s="21"/>
      <c r="S2186" s="21"/>
      <c r="T2186" s="21"/>
      <c r="AA2186"/>
      <c r="AH2186" t="str">
        <f t="shared" ref="AH2186:AH2211" si="324">RIGHT(B2186,LEN(B2186)-$AH$66)</f>
        <v>k yet</v>
      </c>
    </row>
    <row r="2187" spans="1:39">
      <c r="A2187" s="42" t="s">
        <v>247</v>
      </c>
      <c r="B2187" s="1" t="s">
        <v>20</v>
      </c>
      <c r="C2187" s="40" t="str">
        <f t="shared" si="321"/>
        <v>02-&gt;</v>
      </c>
      <c r="D2187" s="40" t="str">
        <f t="shared" si="322"/>
        <v xml:space="preserve">No pick yet                                                 </v>
      </c>
      <c r="E2187" s="52">
        <f t="shared" si="323"/>
        <v>0</v>
      </c>
      <c r="F2187" s="18"/>
      <c r="K2187" s="22"/>
      <c r="N2187" s="22"/>
      <c r="O2187" s="22"/>
      <c r="P2187" s="22"/>
      <c r="Q2187" s="22"/>
      <c r="R2187" s="22"/>
      <c r="S2187" s="22"/>
      <c r="Z2187" s="53"/>
      <c r="AA2187"/>
      <c r="AH2187" t="str">
        <f t="shared" si="324"/>
        <v>k yet</v>
      </c>
    </row>
    <row r="2188" spans="1:39">
      <c r="A2188" s="42" t="s">
        <v>248</v>
      </c>
      <c r="B2188" s="1" t="s">
        <v>20</v>
      </c>
      <c r="C2188" s="40" t="str">
        <f t="shared" si="321"/>
        <v>03-&gt;</v>
      </c>
      <c r="D2188" s="40" t="str">
        <f t="shared" si="322"/>
        <v xml:space="preserve">No pick yet                                                 </v>
      </c>
      <c r="E2188" s="52">
        <f t="shared" si="323"/>
        <v>0</v>
      </c>
      <c r="F2188" s="18"/>
      <c r="L2188" s="21"/>
      <c r="N2188" s="22"/>
      <c r="O2188" s="22"/>
      <c r="P2188" s="18"/>
      <c r="Q2188" s="22"/>
      <c r="R2188" s="22"/>
      <c r="S2188" s="22"/>
      <c r="Z2188" s="53"/>
      <c r="AA2188"/>
      <c r="AH2188" t="str">
        <f t="shared" si="324"/>
        <v>k yet</v>
      </c>
    </row>
    <row r="2189" spans="1:39">
      <c r="A2189" s="42" t="s">
        <v>249</v>
      </c>
      <c r="B2189" s="1" t="s">
        <v>20</v>
      </c>
      <c r="C2189" s="40" t="str">
        <f t="shared" si="321"/>
        <v>04-&gt;</v>
      </c>
      <c r="D2189" s="40" t="str">
        <f t="shared" si="322"/>
        <v xml:space="preserve">No pick yet                                                 </v>
      </c>
      <c r="E2189" s="52">
        <f t="shared" si="323"/>
        <v>0</v>
      </c>
      <c r="F2189" s="18"/>
      <c r="M2189" s="18"/>
      <c r="N2189" s="18"/>
      <c r="O2189" s="18"/>
      <c r="P2189" s="18"/>
      <c r="Q2189" s="22"/>
      <c r="R2189" s="21"/>
      <c r="S2189" s="21"/>
      <c r="T2189" s="21"/>
      <c r="AA2189"/>
      <c r="AH2189" t="str">
        <f t="shared" si="324"/>
        <v>k yet</v>
      </c>
    </row>
    <row r="2190" spans="1:39">
      <c r="A2190" s="42" t="s">
        <v>250</v>
      </c>
      <c r="B2190" s="1" t="s">
        <v>20</v>
      </c>
      <c r="C2190" s="40" t="str">
        <f t="shared" si="321"/>
        <v>05-&gt;</v>
      </c>
      <c r="D2190" s="40" t="str">
        <f t="shared" si="322"/>
        <v xml:space="preserve">No pick yet                                                 </v>
      </c>
      <c r="E2190" s="52">
        <f t="shared" si="323"/>
        <v>0</v>
      </c>
      <c r="F2190" s="18"/>
      <c r="M2190" s="18"/>
      <c r="N2190" s="18"/>
      <c r="O2190" s="18"/>
      <c r="P2190" s="18"/>
      <c r="Q2190" s="22"/>
      <c r="R2190" s="21"/>
      <c r="S2190" s="21"/>
      <c r="T2190" s="21"/>
      <c r="AA2190"/>
      <c r="AH2190" t="str">
        <f t="shared" si="324"/>
        <v>k yet</v>
      </c>
    </row>
    <row r="2191" spans="1:39">
      <c r="A2191" s="42" t="s">
        <v>251</v>
      </c>
      <c r="B2191" s="1" t="s">
        <v>20</v>
      </c>
      <c r="C2191" s="40" t="str">
        <f t="shared" si="321"/>
        <v>06-&gt;</v>
      </c>
      <c r="D2191" s="40" t="str">
        <f t="shared" si="322"/>
        <v xml:space="preserve">No pick yet                                                 </v>
      </c>
      <c r="E2191" s="52">
        <f t="shared" si="323"/>
        <v>0</v>
      </c>
      <c r="F2191" s="18"/>
      <c r="M2191" s="18"/>
      <c r="N2191" s="18"/>
      <c r="O2191" s="18"/>
      <c r="P2191" s="18"/>
      <c r="Q2191" s="22"/>
      <c r="R2191" s="21"/>
      <c r="S2191" s="21"/>
      <c r="T2191" s="21"/>
      <c r="AA2191"/>
      <c r="AH2191" t="str">
        <f t="shared" si="324"/>
        <v>k yet</v>
      </c>
    </row>
    <row r="2192" spans="1:39">
      <c r="A2192" s="42" t="s">
        <v>252</v>
      </c>
      <c r="B2192" s="1" t="s">
        <v>20</v>
      </c>
      <c r="C2192" s="40" t="str">
        <f t="shared" si="321"/>
        <v>07-&gt;</v>
      </c>
      <c r="D2192" s="40" t="str">
        <f t="shared" si="322"/>
        <v xml:space="preserve">No pick yet                                                 </v>
      </c>
      <c r="E2192" s="52">
        <f t="shared" si="323"/>
        <v>0</v>
      </c>
      <c r="F2192" s="18"/>
      <c r="M2192" s="18"/>
      <c r="N2192" s="18"/>
      <c r="O2192" s="18"/>
      <c r="P2192" s="18"/>
      <c r="Q2192" s="22"/>
      <c r="R2192" s="21"/>
      <c r="S2192" s="21"/>
      <c r="T2192" s="21"/>
      <c r="AA2192"/>
      <c r="AH2192" t="str">
        <f t="shared" si="324"/>
        <v>k yet</v>
      </c>
    </row>
    <row r="2193" spans="1:34">
      <c r="A2193" s="42" t="s">
        <v>253</v>
      </c>
      <c r="B2193" s="1" t="s">
        <v>20</v>
      </c>
      <c r="C2193" s="40" t="str">
        <f t="shared" si="321"/>
        <v>08-&gt;</v>
      </c>
      <c r="D2193" s="40" t="str">
        <f t="shared" si="322"/>
        <v xml:space="preserve">No pick yet                                                 </v>
      </c>
      <c r="E2193" s="52">
        <f t="shared" si="323"/>
        <v>0</v>
      </c>
      <c r="F2193" s="18"/>
      <c r="M2193" s="18"/>
      <c r="N2193" s="18"/>
      <c r="O2193" s="18"/>
      <c r="P2193" s="18"/>
      <c r="Q2193" s="22"/>
      <c r="R2193" s="21"/>
      <c r="S2193" s="21"/>
      <c r="T2193" s="21"/>
      <c r="AA2193"/>
      <c r="AH2193" t="str">
        <f t="shared" si="324"/>
        <v>k yet</v>
      </c>
    </row>
    <row r="2194" spans="1:34">
      <c r="A2194" s="42" t="s">
        <v>254</v>
      </c>
      <c r="B2194" s="1" t="s">
        <v>20</v>
      </c>
      <c r="C2194" s="40" t="str">
        <f t="shared" si="321"/>
        <v>09-&gt;</v>
      </c>
      <c r="D2194" s="40" t="str">
        <f t="shared" si="322"/>
        <v xml:space="preserve">No pick yet                                                 </v>
      </c>
      <c r="E2194" s="52">
        <f t="shared" si="323"/>
        <v>0</v>
      </c>
      <c r="F2194" s="18"/>
      <c r="M2194" s="18"/>
      <c r="N2194" s="18"/>
      <c r="O2194" s="18"/>
      <c r="P2194" s="18"/>
      <c r="Q2194" s="22"/>
      <c r="R2194" s="21"/>
      <c r="S2194" s="21"/>
      <c r="T2194" s="21"/>
      <c r="AA2194"/>
      <c r="AH2194" t="str">
        <f t="shared" si="324"/>
        <v>k yet</v>
      </c>
    </row>
    <row r="2195" spans="1:34">
      <c r="A2195" s="42" t="s">
        <v>255</v>
      </c>
      <c r="B2195" s="1" t="s">
        <v>20</v>
      </c>
      <c r="C2195" s="40" t="str">
        <f t="shared" si="321"/>
        <v>10-&gt;</v>
      </c>
      <c r="D2195" s="40" t="str">
        <f t="shared" si="322"/>
        <v xml:space="preserve">No pick yet                                                 </v>
      </c>
      <c r="E2195" s="52">
        <f t="shared" si="323"/>
        <v>0</v>
      </c>
      <c r="F2195" s="22"/>
      <c r="M2195" s="18"/>
      <c r="N2195" s="18"/>
      <c r="O2195" s="18"/>
      <c r="P2195" s="18"/>
      <c r="Q2195" s="22"/>
      <c r="R2195" s="21"/>
      <c r="S2195" s="21"/>
      <c r="T2195" s="21"/>
      <c r="AA2195"/>
      <c r="AH2195" t="str">
        <f t="shared" si="324"/>
        <v>k yet</v>
      </c>
    </row>
    <row r="2196" spans="1:34">
      <c r="A2196" s="42" t="s">
        <v>256</v>
      </c>
      <c r="B2196" s="1" t="s">
        <v>20</v>
      </c>
      <c r="C2196" s="40" t="str">
        <f t="shared" si="321"/>
        <v>11-&gt;</v>
      </c>
      <c r="D2196" s="40" t="str">
        <f t="shared" si="322"/>
        <v xml:space="preserve">No pick yet                                                 </v>
      </c>
      <c r="E2196" s="52">
        <f t="shared" si="323"/>
        <v>0</v>
      </c>
      <c r="M2196" s="18"/>
      <c r="N2196" s="18"/>
      <c r="O2196" s="18"/>
      <c r="P2196" s="18"/>
      <c r="Q2196" s="22"/>
      <c r="R2196" s="21"/>
      <c r="S2196" s="21"/>
      <c r="T2196" s="21"/>
      <c r="AA2196"/>
      <c r="AH2196" t="str">
        <f t="shared" si="324"/>
        <v>k yet</v>
      </c>
    </row>
    <row r="2197" spans="1:34">
      <c r="A2197" s="42" t="s">
        <v>257</v>
      </c>
      <c r="B2197" s="1" t="s">
        <v>20</v>
      </c>
      <c r="C2197" s="40" t="str">
        <f t="shared" si="321"/>
        <v>12-&gt;</v>
      </c>
      <c r="D2197" s="40" t="str">
        <f t="shared" si="322"/>
        <v xml:space="preserve">No pick yet                                                 </v>
      </c>
      <c r="E2197" s="52">
        <f t="shared" si="323"/>
        <v>0</v>
      </c>
      <c r="M2197" s="18"/>
      <c r="N2197" s="18"/>
      <c r="O2197" s="18"/>
      <c r="P2197" s="18"/>
      <c r="Q2197" s="22"/>
      <c r="R2197" s="21"/>
      <c r="S2197" s="21"/>
      <c r="T2197" s="21"/>
      <c r="AA2197"/>
      <c r="AH2197" t="str">
        <f t="shared" si="324"/>
        <v>k yet</v>
      </c>
    </row>
    <row r="2198" spans="1:34">
      <c r="A2198" s="42" t="s">
        <v>258</v>
      </c>
      <c r="B2198" s="1" t="s">
        <v>20</v>
      </c>
      <c r="C2198" s="40" t="str">
        <f t="shared" si="321"/>
        <v>13-&gt;</v>
      </c>
      <c r="D2198" s="40" t="str">
        <f t="shared" si="322"/>
        <v xml:space="preserve">No pick yet                                                 </v>
      </c>
      <c r="E2198" s="52">
        <f t="shared" si="323"/>
        <v>0</v>
      </c>
      <c r="M2198" s="18"/>
      <c r="N2198" s="18"/>
      <c r="O2198" s="18"/>
      <c r="P2198" s="18"/>
      <c r="Q2198" s="22"/>
      <c r="R2198" s="21"/>
      <c r="S2198" s="21"/>
      <c r="T2198" s="21"/>
      <c r="AA2198"/>
      <c r="AH2198" t="str">
        <f t="shared" si="324"/>
        <v>k yet</v>
      </c>
    </row>
    <row r="2199" spans="1:34">
      <c r="A2199" s="42" t="s">
        <v>259</v>
      </c>
      <c r="B2199" s="1" t="s">
        <v>20</v>
      </c>
      <c r="C2199" s="40" t="str">
        <f t="shared" si="321"/>
        <v>14-&gt;</v>
      </c>
      <c r="D2199" s="40" t="str">
        <f t="shared" si="322"/>
        <v xml:space="preserve">No pick yet                                                 </v>
      </c>
      <c r="E2199" s="52">
        <f t="shared" si="323"/>
        <v>0</v>
      </c>
      <c r="M2199" s="18"/>
      <c r="N2199" s="18"/>
      <c r="O2199" s="18"/>
      <c r="P2199" s="18"/>
      <c r="Q2199" s="22"/>
      <c r="R2199" s="21"/>
      <c r="S2199" s="21"/>
      <c r="T2199" s="21"/>
      <c r="AA2199"/>
      <c r="AH2199" t="str">
        <f t="shared" si="324"/>
        <v>k yet</v>
      </c>
    </row>
    <row r="2200" spans="1:34">
      <c r="A2200" s="42" t="s">
        <v>260</v>
      </c>
      <c r="B2200" s="1" t="s">
        <v>20</v>
      </c>
      <c r="C2200" s="40" t="str">
        <f t="shared" si="321"/>
        <v>15-&gt;</v>
      </c>
      <c r="D2200" s="40" t="str">
        <f t="shared" si="322"/>
        <v xml:space="preserve">No pick yet                                                 </v>
      </c>
      <c r="E2200" s="52">
        <f t="shared" si="323"/>
        <v>0</v>
      </c>
      <c r="M2200" s="18"/>
      <c r="N2200" s="18"/>
      <c r="O2200" s="18"/>
      <c r="P2200" s="18"/>
      <c r="Q2200" s="22"/>
      <c r="R2200" s="21"/>
      <c r="S2200" s="21"/>
      <c r="T2200" s="21"/>
      <c r="AA2200"/>
      <c r="AH2200" t="str">
        <f t="shared" si="324"/>
        <v>k yet</v>
      </c>
    </row>
    <row r="2201" spans="1:34">
      <c r="A2201" s="42" t="s">
        <v>261</v>
      </c>
      <c r="B2201" s="1" t="s">
        <v>20</v>
      </c>
      <c r="C2201" s="40" t="str">
        <f t="shared" si="321"/>
        <v>16-&gt;</v>
      </c>
      <c r="D2201" s="40" t="str">
        <f t="shared" si="322"/>
        <v xml:space="preserve">No pick yet                                                 </v>
      </c>
      <c r="E2201" s="52">
        <f t="shared" si="323"/>
        <v>0</v>
      </c>
      <c r="M2201" s="18"/>
      <c r="N2201" s="18"/>
      <c r="O2201" s="18"/>
      <c r="P2201" s="18"/>
      <c r="Q2201" s="22"/>
      <c r="R2201" s="21"/>
      <c r="S2201" s="21"/>
      <c r="T2201" s="21"/>
      <c r="AA2201"/>
      <c r="AH2201" t="str">
        <f t="shared" si="324"/>
        <v>k yet</v>
      </c>
    </row>
    <row r="2202" spans="1:34">
      <c r="A2202" s="42" t="s">
        <v>262</v>
      </c>
      <c r="B2202" s="1" t="s">
        <v>20</v>
      </c>
      <c r="C2202" s="40" t="str">
        <f t="shared" si="321"/>
        <v>17-&gt;</v>
      </c>
      <c r="D2202" s="40" t="str">
        <f t="shared" si="322"/>
        <v xml:space="preserve">No pick yet                                                 </v>
      </c>
      <c r="E2202" s="52">
        <f t="shared" si="323"/>
        <v>0</v>
      </c>
      <c r="K2202" s="22"/>
      <c r="N2202" s="22"/>
      <c r="O2202" s="22"/>
      <c r="P2202" s="22"/>
      <c r="Q2202" s="22"/>
      <c r="R2202" s="22"/>
      <c r="S2202" s="22"/>
      <c r="Z2202" s="53"/>
      <c r="AA2202"/>
      <c r="AH2202" t="str">
        <f t="shared" si="324"/>
        <v>k yet</v>
      </c>
    </row>
    <row r="2203" spans="1:34">
      <c r="A2203" s="42" t="s">
        <v>263</v>
      </c>
      <c r="B2203" s="1" t="s">
        <v>20</v>
      </c>
      <c r="C2203" s="40" t="str">
        <f t="shared" si="321"/>
        <v>18-&gt;</v>
      </c>
      <c r="D2203" s="40" t="str">
        <f t="shared" si="322"/>
        <v xml:space="preserve">No pick yet                                                 </v>
      </c>
      <c r="E2203" s="52">
        <f t="shared" si="323"/>
        <v>0</v>
      </c>
      <c r="F2203" s="18"/>
      <c r="L2203" s="21"/>
      <c r="N2203" s="22"/>
      <c r="O2203" s="22"/>
      <c r="P2203" s="18"/>
      <c r="Q2203" s="22"/>
      <c r="R2203" s="22"/>
      <c r="S2203" s="22"/>
      <c r="Z2203" s="53"/>
      <c r="AA2203"/>
      <c r="AH2203" t="str">
        <f t="shared" si="324"/>
        <v>k yet</v>
      </c>
    </row>
    <row r="2204" spans="1:34">
      <c r="A2204" s="42" t="s">
        <v>264</v>
      </c>
      <c r="B2204" s="1" t="s">
        <v>20</v>
      </c>
      <c r="C2204" s="40" t="str">
        <f t="shared" si="321"/>
        <v>19-&gt;</v>
      </c>
      <c r="D2204" s="40" t="str">
        <f t="shared" si="322"/>
        <v xml:space="preserve">No pick yet                                                 </v>
      </c>
      <c r="E2204" s="52">
        <f t="shared" si="323"/>
        <v>0</v>
      </c>
      <c r="F2204" s="18"/>
      <c r="M2204" s="18"/>
      <c r="N2204" s="18"/>
      <c r="O2204" s="18"/>
      <c r="P2204" s="18"/>
      <c r="Q2204" s="22"/>
      <c r="R2204" s="21"/>
      <c r="S2204" s="21"/>
      <c r="T2204" s="21"/>
      <c r="AA2204"/>
      <c r="AH2204" t="str">
        <f t="shared" si="324"/>
        <v>k yet</v>
      </c>
    </row>
    <row r="2205" spans="1:34">
      <c r="A2205" s="42" t="s">
        <v>265</v>
      </c>
      <c r="B2205" s="1" t="s">
        <v>20</v>
      </c>
      <c r="C2205" s="40" t="str">
        <f t="shared" si="321"/>
        <v>20-&gt;</v>
      </c>
      <c r="D2205" s="40" t="str">
        <f t="shared" si="322"/>
        <v xml:space="preserve">No pick yet                                                 </v>
      </c>
      <c r="E2205" s="52">
        <f t="shared" si="323"/>
        <v>0</v>
      </c>
      <c r="F2205" s="18"/>
      <c r="M2205" s="18"/>
      <c r="N2205" s="18"/>
      <c r="O2205" s="18"/>
      <c r="P2205" s="18"/>
      <c r="Q2205" s="22"/>
      <c r="R2205" s="21"/>
      <c r="S2205" s="21"/>
      <c r="T2205" s="21"/>
      <c r="AA2205"/>
      <c r="AH2205" t="str">
        <f t="shared" si="324"/>
        <v>k yet</v>
      </c>
    </row>
    <row r="2206" spans="1:34">
      <c r="A2206" s="42" t="s">
        <v>266</v>
      </c>
      <c r="B2206" s="1" t="s">
        <v>20</v>
      </c>
      <c r="C2206" s="40" t="str">
        <f t="shared" si="321"/>
        <v>21-&gt;</v>
      </c>
      <c r="D2206" s="40" t="str">
        <f t="shared" si="322"/>
        <v xml:space="preserve">No pick yet                                                 </v>
      </c>
      <c r="E2206" s="52">
        <f t="shared" si="323"/>
        <v>0</v>
      </c>
      <c r="F2206" s="18"/>
      <c r="M2206" s="18"/>
      <c r="N2206" s="18"/>
      <c r="O2206" s="18"/>
      <c r="P2206" s="18"/>
      <c r="Q2206" s="22"/>
      <c r="R2206" s="21"/>
      <c r="S2206" s="21"/>
      <c r="T2206" s="21"/>
      <c r="AA2206"/>
      <c r="AH2206" t="str">
        <f t="shared" si="324"/>
        <v>k yet</v>
      </c>
    </row>
    <row r="2207" spans="1:34">
      <c r="A2207" s="42" t="s">
        <v>267</v>
      </c>
      <c r="B2207" s="1" t="s">
        <v>20</v>
      </c>
      <c r="C2207" s="40" t="str">
        <f t="shared" si="321"/>
        <v>22-&gt;</v>
      </c>
      <c r="D2207" s="40" t="str">
        <f t="shared" si="322"/>
        <v xml:space="preserve">No pick yet                                                 </v>
      </c>
      <c r="E2207" s="52">
        <f t="shared" si="323"/>
        <v>0</v>
      </c>
      <c r="F2207" s="18"/>
      <c r="M2207" s="18"/>
      <c r="N2207" s="18"/>
      <c r="O2207" s="18"/>
      <c r="P2207" s="18"/>
      <c r="Q2207" s="22"/>
      <c r="R2207" s="21"/>
      <c r="S2207" s="21"/>
      <c r="T2207" s="21"/>
      <c r="AA2207"/>
      <c r="AH2207" t="str">
        <f t="shared" si="324"/>
        <v>k yet</v>
      </c>
    </row>
    <row r="2208" spans="1:34">
      <c r="A2208" s="42" t="s">
        <v>268</v>
      </c>
      <c r="B2208" s="1" t="s">
        <v>20</v>
      </c>
      <c r="C2208" s="40" t="str">
        <f t="shared" si="321"/>
        <v>23-&gt;</v>
      </c>
      <c r="D2208" s="40" t="str">
        <f t="shared" si="322"/>
        <v xml:space="preserve">No pick yet                                                 </v>
      </c>
      <c r="E2208" s="52">
        <f t="shared" si="323"/>
        <v>0</v>
      </c>
      <c r="F2208" s="18"/>
      <c r="M2208" s="18"/>
      <c r="N2208" s="18"/>
      <c r="O2208" s="18"/>
      <c r="P2208" s="18"/>
      <c r="Q2208" s="22"/>
      <c r="R2208" s="21"/>
      <c r="S2208" s="21"/>
      <c r="T2208" s="21"/>
      <c r="AA2208"/>
      <c r="AH2208" t="str">
        <f t="shared" si="324"/>
        <v>k yet</v>
      </c>
    </row>
    <row r="2209" spans="1:39">
      <c r="A2209" s="42" t="s">
        <v>269</v>
      </c>
      <c r="B2209" s="1" t="s">
        <v>20</v>
      </c>
      <c r="C2209" s="40" t="str">
        <f t="shared" si="321"/>
        <v>24-&gt;</v>
      </c>
      <c r="D2209" s="40" t="str">
        <f t="shared" si="322"/>
        <v xml:space="preserve">No pick yet                                                 </v>
      </c>
      <c r="E2209" s="52">
        <f t="shared" si="323"/>
        <v>0</v>
      </c>
      <c r="F2209" s="18"/>
      <c r="M2209" s="18"/>
      <c r="N2209" s="18"/>
      <c r="O2209" s="18"/>
      <c r="P2209" s="18"/>
      <c r="Q2209" s="22"/>
      <c r="R2209" s="21"/>
      <c r="S2209" s="21"/>
      <c r="T2209" s="21"/>
      <c r="AA2209"/>
      <c r="AH2209" t="str">
        <f t="shared" si="324"/>
        <v>k yet</v>
      </c>
    </row>
    <row r="2210" spans="1:39">
      <c r="A2210" s="42" t="s">
        <v>270</v>
      </c>
      <c r="B2210" s="1" t="s">
        <v>20</v>
      </c>
      <c r="C2210" s="40" t="str">
        <f t="shared" si="321"/>
        <v>25-&gt;</v>
      </c>
      <c r="D2210" s="40" t="str">
        <f t="shared" si="322"/>
        <v xml:space="preserve">No pick yet                                                 </v>
      </c>
      <c r="E2210" s="52">
        <f t="shared" si="323"/>
        <v>0</v>
      </c>
      <c r="F2210" s="18"/>
      <c r="M2210" s="18"/>
      <c r="N2210" s="18"/>
      <c r="O2210" s="18"/>
      <c r="P2210" s="18"/>
      <c r="Q2210" s="22"/>
      <c r="R2210" s="21"/>
      <c r="S2210" s="21"/>
      <c r="T2210" s="21"/>
      <c r="AA2210"/>
      <c r="AH2210" t="str">
        <f t="shared" si="324"/>
        <v>k yet</v>
      </c>
    </row>
    <row r="2211" spans="1:39">
      <c r="A2211" s="42" t="s">
        <v>271</v>
      </c>
      <c r="B2211" s="1" t="s">
        <v>20</v>
      </c>
      <c r="C2211" s="40" t="str">
        <f t="shared" si="321"/>
        <v>26-&gt;</v>
      </c>
      <c r="D2211" s="40" t="str">
        <f t="shared" si="322"/>
        <v xml:space="preserve">No pick yet                                                 </v>
      </c>
      <c r="E2211" s="52">
        <f t="shared" si="323"/>
        <v>0</v>
      </c>
      <c r="F2211" s="18"/>
      <c r="M2211" s="18"/>
      <c r="N2211" s="18"/>
      <c r="O2211" s="18"/>
      <c r="P2211" s="18"/>
      <c r="Q2211" s="22"/>
      <c r="R2211" s="21"/>
      <c r="S2211" s="21"/>
      <c r="T2211" s="21"/>
      <c r="AA2211"/>
      <c r="AH2211" t="str">
        <f t="shared" si="324"/>
        <v>k yet</v>
      </c>
    </row>
    <row r="2212" spans="1:39">
      <c r="A2212" s="38"/>
      <c r="B2212" s="40"/>
      <c r="C2212" s="40"/>
      <c r="D2212" s="49"/>
      <c r="E2212" s="41" t="s">
        <v>69</v>
      </c>
      <c r="F2212" s="18"/>
      <c r="K2212" s="22" t="s">
        <v>73</v>
      </c>
      <c r="L2212" s="18" t="s">
        <v>74</v>
      </c>
      <c r="M2212" s="22" t="s">
        <v>78</v>
      </c>
      <c r="N2212" s="22" t="s">
        <v>79</v>
      </c>
      <c r="O2212" s="22" t="s">
        <v>80</v>
      </c>
      <c r="P2212" s="22" t="s">
        <v>81</v>
      </c>
      <c r="Q2212" s="22" t="s">
        <v>82</v>
      </c>
      <c r="R2212" s="22" t="s">
        <v>83</v>
      </c>
      <c r="S2212" s="22" t="s">
        <v>84</v>
      </c>
      <c r="T2212" s="18" t="s">
        <v>85</v>
      </c>
      <c r="U2212" s="18" t="s">
        <v>86</v>
      </c>
      <c r="V2212" s="18" t="s">
        <v>87</v>
      </c>
      <c r="W2212" s="18" t="s">
        <v>88</v>
      </c>
      <c r="X2212" s="18" t="s">
        <v>89</v>
      </c>
      <c r="Y2212" s="18" t="s">
        <v>90</v>
      </c>
      <c r="Z2212" s="18" t="s">
        <v>91</v>
      </c>
      <c r="AA2212" s="18" t="s">
        <v>92</v>
      </c>
      <c r="AB2212" s="18" t="s">
        <v>93</v>
      </c>
      <c r="AC2212" s="18" t="s">
        <v>94</v>
      </c>
      <c r="AD2212" s="18" t="s">
        <v>235</v>
      </c>
      <c r="AE2212" s="18" t="s">
        <v>236</v>
      </c>
      <c r="AF2212" s="18" t="s">
        <v>237</v>
      </c>
      <c r="AG2212" s="18" t="s">
        <v>238</v>
      </c>
      <c r="AH2212" s="18" t="s">
        <v>239</v>
      </c>
      <c r="AI2212" s="18" t="s">
        <v>240</v>
      </c>
      <c r="AJ2212" s="18" t="s">
        <v>241</v>
      </c>
      <c r="AK2212" s="18" t="s">
        <v>242</v>
      </c>
      <c r="AL2212" s="18" t="s">
        <v>243</v>
      </c>
      <c r="AM2212" s="50" t="s">
        <v>244</v>
      </c>
    </row>
    <row r="2213" spans="1:39">
      <c r="A2213" s="40" t="s">
        <v>245</v>
      </c>
      <c r="B2213" s="51" t="str">
        <f>D78</f>
        <v/>
      </c>
      <c r="C2213" s="40" t="str">
        <f t="shared" ref="C2213:C2239" si="325">A2213</f>
        <v>#</v>
      </c>
      <c r="D2213" s="40" t="str">
        <f>"   "&amp;B2213&amp;REPT(" ",$AH$70-LEN(B2213)-3)</f>
        <v xml:space="preserve">                                                            </v>
      </c>
      <c r="E2213" s="38" t="str">
        <f>SUM(E2214:E2239)&amp;" pts[/b]"</f>
        <v>0 pts[/b]</v>
      </c>
      <c r="F2213" s="21">
        <f>SUM(E2214:E2239)</f>
        <v>0</v>
      </c>
      <c r="K2213" s="18">
        <f>COUNTIF(E2214:E2239,"&gt;0")</f>
        <v>0</v>
      </c>
      <c r="L2213" s="21">
        <f>AM2213-K2213</f>
        <v>0</v>
      </c>
      <c r="M2213" s="22">
        <f>MAX(E2214:E2239)</f>
        <v>0</v>
      </c>
      <c r="N2213" s="22">
        <f>LARGE(E2214:E2239,2)</f>
        <v>0</v>
      </c>
      <c r="O2213" s="22">
        <f>LARGE(E2214:E2239,3)</f>
        <v>0</v>
      </c>
      <c r="P2213" s="18">
        <f>LARGE(E2214:E2239,4)</f>
        <v>0</v>
      </c>
      <c r="Q2213" s="22">
        <f>LARGE(E2214:E2239,5)</f>
        <v>0</v>
      </c>
      <c r="R2213" s="22">
        <f>LARGE(E2214:E2239,6)</f>
        <v>0</v>
      </c>
      <c r="S2213" s="22">
        <f>LARGE(E2214:E2239,7)</f>
        <v>0</v>
      </c>
      <c r="T2213" s="18">
        <f>LARGE(E2214:E2239,8)</f>
        <v>0</v>
      </c>
      <c r="U2213" s="18">
        <f>LARGE(E2214:E2239,9)</f>
        <v>0</v>
      </c>
      <c r="V2213" s="18">
        <f>LARGE(E2214:E2239,10)</f>
        <v>0</v>
      </c>
      <c r="W2213" s="18">
        <f>LARGE(E2214:E2239,11)</f>
        <v>0</v>
      </c>
      <c r="X2213" s="18">
        <f>LARGE(E2214:E2239,12)</f>
        <v>0</v>
      </c>
      <c r="Y2213" s="18">
        <f>LARGE(E2214:E2239,13)</f>
        <v>0</v>
      </c>
      <c r="Z2213" s="18">
        <f>LARGE(E2214:E2239,14)</f>
        <v>0</v>
      </c>
      <c r="AA2213" s="18">
        <f>LARGE(E2214:E2239,15)</f>
        <v>0</v>
      </c>
      <c r="AB2213" s="18">
        <f>LARGE(E2214:E2239,16)</f>
        <v>0</v>
      </c>
      <c r="AC2213" s="18">
        <f>LARGE(E2214:E2239,17)</f>
        <v>0</v>
      </c>
      <c r="AD2213" s="18">
        <f>LARGE(E2214:E2240,13)</f>
        <v>0</v>
      </c>
      <c r="AE2213" s="18">
        <f>LARGE(E2214:E2239,19)</f>
        <v>0</v>
      </c>
      <c r="AF2213" s="18">
        <f>LARGE(E2214:E2239,20)</f>
        <v>0</v>
      </c>
      <c r="AG2213" s="18">
        <f>LARGE(E2214:E2239,21)</f>
        <v>0</v>
      </c>
      <c r="AH2213" s="18">
        <f>LARGE(E2214:E2239,22)</f>
        <v>0</v>
      </c>
      <c r="AI2213" s="18">
        <f>LARGE(E2214:E2239,23)</f>
        <v>0</v>
      </c>
      <c r="AJ2213" s="18">
        <f>LARGE(E2214:E2239,24)</f>
        <v>0</v>
      </c>
      <c r="AK2213" s="18">
        <f>LARGE(E2214:E2239,25)</f>
        <v>0</v>
      </c>
      <c r="AL2213" s="18">
        <f>LARGE(E2214:E2239,26)</f>
        <v>0</v>
      </c>
      <c r="AM2213" s="50">
        <f>COUNTIF(AH2214:AH2239,"&lt;&gt;"&amp;$AH$76)-(26-COUNTIF(E2214:E2239,"&gt;=0"))</f>
        <v>0</v>
      </c>
    </row>
    <row r="2214" spans="1:39">
      <c r="A2214" s="42" t="s">
        <v>246</v>
      </c>
      <c r="B2214" s="1" t="s">
        <v>20</v>
      </c>
      <c r="C2214" s="40" t="str">
        <f t="shared" si="325"/>
        <v>01-&gt;</v>
      </c>
      <c r="D2214" s="40" t="str">
        <f t="shared" ref="D2214:D2236" si="326">B2214&amp;REPT(" ",$AH$70-LEN(B2214))</f>
        <v xml:space="preserve">No pick yet                                                 </v>
      </c>
      <c r="E2214" s="52">
        <f t="shared" ref="E2214:E2239" si="327">VLOOKUP(RIGHT(B2214,LEN(B2214)-$AH$66),$H$138:$I$420,2,0)</f>
        <v>0</v>
      </c>
      <c r="F2214" s="18"/>
      <c r="M2214" s="18"/>
      <c r="N2214" s="18"/>
      <c r="O2214" s="18"/>
      <c r="P2214" s="18"/>
      <c r="Q2214" s="22"/>
      <c r="R2214" s="21"/>
      <c r="S2214" s="21"/>
      <c r="T2214" s="21"/>
      <c r="AA2214"/>
      <c r="AH2214" t="str">
        <f t="shared" ref="AH2214:AH2239" si="328">RIGHT(B2214,LEN(B2214)-$AH$66)</f>
        <v>k yet</v>
      </c>
    </row>
    <row r="2215" spans="1:39">
      <c r="A2215" s="42" t="s">
        <v>247</v>
      </c>
      <c r="B2215" s="1" t="s">
        <v>20</v>
      </c>
      <c r="C2215" s="40" t="str">
        <f t="shared" si="325"/>
        <v>02-&gt;</v>
      </c>
      <c r="D2215" s="40" t="str">
        <f t="shared" si="326"/>
        <v xml:space="preserve">No pick yet                                                 </v>
      </c>
      <c r="E2215" s="52">
        <f t="shared" si="327"/>
        <v>0</v>
      </c>
      <c r="F2215" s="18"/>
      <c r="K2215" s="22"/>
      <c r="N2215" s="22"/>
      <c r="O2215" s="22"/>
      <c r="P2215" s="22"/>
      <c r="Q2215" s="22"/>
      <c r="R2215" s="22"/>
      <c r="S2215" s="22"/>
      <c r="Z2215" s="53"/>
      <c r="AA2215"/>
      <c r="AH2215" t="str">
        <f t="shared" si="328"/>
        <v>k yet</v>
      </c>
    </row>
    <row r="2216" spans="1:39">
      <c r="A2216" s="42" t="s">
        <v>248</v>
      </c>
      <c r="B2216" s="1" t="s">
        <v>20</v>
      </c>
      <c r="C2216" s="40" t="str">
        <f t="shared" si="325"/>
        <v>03-&gt;</v>
      </c>
      <c r="D2216" s="40" t="str">
        <f t="shared" si="326"/>
        <v xml:space="preserve">No pick yet                                                 </v>
      </c>
      <c r="E2216" s="52">
        <f t="shared" si="327"/>
        <v>0</v>
      </c>
      <c r="F2216" s="18"/>
      <c r="L2216" s="21"/>
      <c r="N2216" s="22"/>
      <c r="O2216" s="22"/>
      <c r="P2216" s="18"/>
      <c r="Q2216" s="22"/>
      <c r="R2216" s="22"/>
      <c r="S2216" s="22"/>
      <c r="Z2216" s="53"/>
      <c r="AA2216"/>
      <c r="AH2216" t="str">
        <f t="shared" si="328"/>
        <v>k yet</v>
      </c>
    </row>
    <row r="2217" spans="1:39">
      <c r="A2217" s="42" t="s">
        <v>249</v>
      </c>
      <c r="B2217" s="1" t="s">
        <v>20</v>
      </c>
      <c r="C2217" s="40" t="str">
        <f t="shared" si="325"/>
        <v>04-&gt;</v>
      </c>
      <c r="D2217" s="40" t="str">
        <f t="shared" si="326"/>
        <v xml:space="preserve">No pick yet                                                 </v>
      </c>
      <c r="E2217" s="52">
        <f t="shared" si="327"/>
        <v>0</v>
      </c>
      <c r="F2217" s="18"/>
      <c r="M2217" s="18"/>
      <c r="N2217" s="18"/>
      <c r="O2217" s="18"/>
      <c r="P2217" s="18"/>
      <c r="Q2217" s="22"/>
      <c r="R2217" s="21"/>
      <c r="S2217" s="21"/>
      <c r="T2217" s="21"/>
      <c r="AA2217"/>
      <c r="AH2217" t="str">
        <f t="shared" si="328"/>
        <v>k yet</v>
      </c>
    </row>
    <row r="2218" spans="1:39">
      <c r="A2218" s="42" t="s">
        <v>250</v>
      </c>
      <c r="B2218" s="1" t="s">
        <v>20</v>
      </c>
      <c r="C2218" s="40" t="str">
        <f t="shared" si="325"/>
        <v>05-&gt;</v>
      </c>
      <c r="D2218" s="40" t="str">
        <f t="shared" si="326"/>
        <v xml:space="preserve">No pick yet                                                 </v>
      </c>
      <c r="E2218" s="52">
        <f t="shared" si="327"/>
        <v>0</v>
      </c>
      <c r="F2218" s="18"/>
      <c r="M2218" s="18"/>
      <c r="N2218" s="18"/>
      <c r="O2218" s="18"/>
      <c r="P2218" s="18"/>
      <c r="Q2218" s="22"/>
      <c r="R2218" s="21"/>
      <c r="S2218" s="21"/>
      <c r="T2218" s="21"/>
      <c r="AA2218"/>
      <c r="AH2218" t="str">
        <f t="shared" si="328"/>
        <v>k yet</v>
      </c>
    </row>
    <row r="2219" spans="1:39">
      <c r="A2219" s="42" t="s">
        <v>251</v>
      </c>
      <c r="B2219" s="1" t="s">
        <v>20</v>
      </c>
      <c r="C2219" s="40" t="str">
        <f t="shared" si="325"/>
        <v>06-&gt;</v>
      </c>
      <c r="D2219" s="40" t="str">
        <f t="shared" si="326"/>
        <v xml:space="preserve">No pick yet                                                 </v>
      </c>
      <c r="E2219" s="52">
        <f t="shared" si="327"/>
        <v>0</v>
      </c>
      <c r="F2219" s="18"/>
      <c r="M2219" s="18"/>
      <c r="N2219" s="18"/>
      <c r="O2219" s="18"/>
      <c r="P2219" s="18"/>
      <c r="Q2219" s="22"/>
      <c r="R2219" s="21"/>
      <c r="S2219" s="21"/>
      <c r="T2219" s="21"/>
      <c r="AA2219"/>
      <c r="AH2219" t="str">
        <f t="shared" si="328"/>
        <v>k yet</v>
      </c>
    </row>
    <row r="2220" spans="1:39">
      <c r="A2220" s="42" t="s">
        <v>252</v>
      </c>
      <c r="B2220" s="1" t="s">
        <v>20</v>
      </c>
      <c r="C2220" s="40" t="str">
        <f t="shared" si="325"/>
        <v>07-&gt;</v>
      </c>
      <c r="D2220" s="40" t="str">
        <f t="shared" si="326"/>
        <v xml:space="preserve">No pick yet                                                 </v>
      </c>
      <c r="E2220" s="52">
        <f t="shared" si="327"/>
        <v>0</v>
      </c>
      <c r="F2220" s="18"/>
      <c r="M2220" s="18"/>
      <c r="N2220" s="18"/>
      <c r="O2220" s="18"/>
      <c r="P2220" s="18"/>
      <c r="Q2220" s="22"/>
      <c r="R2220" s="21"/>
      <c r="S2220" s="21"/>
      <c r="T2220" s="21"/>
      <c r="AA2220"/>
      <c r="AH2220" t="str">
        <f t="shared" si="328"/>
        <v>k yet</v>
      </c>
    </row>
    <row r="2221" spans="1:39">
      <c r="A2221" s="42" t="s">
        <v>253</v>
      </c>
      <c r="B2221" s="1" t="s">
        <v>20</v>
      </c>
      <c r="C2221" s="40" t="str">
        <f t="shared" si="325"/>
        <v>08-&gt;</v>
      </c>
      <c r="D2221" s="40" t="str">
        <f t="shared" si="326"/>
        <v xml:space="preserve">No pick yet                                                 </v>
      </c>
      <c r="E2221" s="52">
        <f t="shared" si="327"/>
        <v>0</v>
      </c>
      <c r="F2221" s="18"/>
      <c r="M2221" s="18"/>
      <c r="N2221" s="18"/>
      <c r="O2221" s="18"/>
      <c r="P2221" s="18"/>
      <c r="Q2221" s="22"/>
      <c r="R2221" s="21"/>
      <c r="S2221" s="21"/>
      <c r="T2221" s="21"/>
      <c r="AA2221"/>
      <c r="AH2221" t="str">
        <f t="shared" si="328"/>
        <v>k yet</v>
      </c>
    </row>
    <row r="2222" spans="1:39">
      <c r="A2222" s="42" t="s">
        <v>254</v>
      </c>
      <c r="B2222" s="1" t="s">
        <v>20</v>
      </c>
      <c r="C2222" s="40" t="str">
        <f t="shared" si="325"/>
        <v>09-&gt;</v>
      </c>
      <c r="D2222" s="40" t="str">
        <f t="shared" si="326"/>
        <v xml:space="preserve">No pick yet                                                 </v>
      </c>
      <c r="E2222" s="52">
        <f t="shared" si="327"/>
        <v>0</v>
      </c>
      <c r="F2222" s="18"/>
      <c r="M2222" s="18"/>
      <c r="N2222" s="18"/>
      <c r="O2222" s="18"/>
      <c r="P2222" s="18"/>
      <c r="Q2222" s="22"/>
      <c r="R2222" s="21"/>
      <c r="S2222" s="21"/>
      <c r="T2222" s="21"/>
      <c r="AA2222"/>
      <c r="AH2222" t="str">
        <f t="shared" si="328"/>
        <v>k yet</v>
      </c>
    </row>
    <row r="2223" spans="1:39">
      <c r="A2223" s="42" t="s">
        <v>255</v>
      </c>
      <c r="B2223" s="1" t="s">
        <v>20</v>
      </c>
      <c r="C2223" s="40" t="str">
        <f t="shared" si="325"/>
        <v>10-&gt;</v>
      </c>
      <c r="D2223" s="40" t="str">
        <f t="shared" si="326"/>
        <v xml:space="preserve">No pick yet                                                 </v>
      </c>
      <c r="E2223" s="52">
        <f t="shared" si="327"/>
        <v>0</v>
      </c>
      <c r="F2223" s="22"/>
      <c r="M2223" s="18"/>
      <c r="N2223" s="18"/>
      <c r="O2223" s="18"/>
      <c r="P2223" s="18"/>
      <c r="Q2223" s="22"/>
      <c r="R2223" s="21"/>
      <c r="S2223" s="21"/>
      <c r="T2223" s="21"/>
      <c r="AA2223"/>
      <c r="AH2223" t="str">
        <f t="shared" si="328"/>
        <v>k yet</v>
      </c>
    </row>
    <row r="2224" spans="1:39">
      <c r="A2224" s="42" t="s">
        <v>256</v>
      </c>
      <c r="B2224" s="1" t="s">
        <v>20</v>
      </c>
      <c r="C2224" s="40" t="str">
        <f t="shared" si="325"/>
        <v>11-&gt;</v>
      </c>
      <c r="D2224" s="40" t="str">
        <f t="shared" si="326"/>
        <v xml:space="preserve">No pick yet                                                 </v>
      </c>
      <c r="E2224" s="52">
        <f t="shared" si="327"/>
        <v>0</v>
      </c>
      <c r="M2224" s="18"/>
      <c r="N2224" s="18"/>
      <c r="O2224" s="18"/>
      <c r="P2224" s="18"/>
      <c r="Q2224" s="22"/>
      <c r="R2224" s="21"/>
      <c r="S2224" s="21"/>
      <c r="T2224" s="21"/>
      <c r="AA2224"/>
      <c r="AH2224" t="str">
        <f t="shared" si="328"/>
        <v>k yet</v>
      </c>
    </row>
    <row r="2225" spans="1:39">
      <c r="A2225" s="42" t="s">
        <v>257</v>
      </c>
      <c r="B2225" s="1" t="s">
        <v>20</v>
      </c>
      <c r="C2225" s="40" t="str">
        <f t="shared" si="325"/>
        <v>12-&gt;</v>
      </c>
      <c r="D2225" s="40" t="str">
        <f t="shared" si="326"/>
        <v xml:space="preserve">No pick yet                                                 </v>
      </c>
      <c r="E2225" s="52">
        <f t="shared" si="327"/>
        <v>0</v>
      </c>
      <c r="M2225" s="18"/>
      <c r="N2225" s="18"/>
      <c r="O2225" s="18"/>
      <c r="P2225" s="18"/>
      <c r="Q2225" s="22"/>
      <c r="R2225" s="21"/>
      <c r="S2225" s="21"/>
      <c r="T2225" s="21"/>
      <c r="AA2225"/>
      <c r="AH2225" t="str">
        <f t="shared" si="328"/>
        <v>k yet</v>
      </c>
    </row>
    <row r="2226" spans="1:39">
      <c r="A2226" s="42" t="s">
        <v>258</v>
      </c>
      <c r="B2226" s="1" t="s">
        <v>20</v>
      </c>
      <c r="C2226" s="40" t="str">
        <f t="shared" si="325"/>
        <v>13-&gt;</v>
      </c>
      <c r="D2226" s="40" t="str">
        <f t="shared" si="326"/>
        <v xml:space="preserve">No pick yet                                                 </v>
      </c>
      <c r="E2226" s="52">
        <f t="shared" si="327"/>
        <v>0</v>
      </c>
      <c r="M2226" s="18"/>
      <c r="N2226" s="18"/>
      <c r="O2226" s="18"/>
      <c r="P2226" s="18"/>
      <c r="Q2226" s="22"/>
      <c r="R2226" s="21"/>
      <c r="S2226" s="21"/>
      <c r="T2226" s="21"/>
      <c r="AA2226"/>
      <c r="AH2226" t="str">
        <f t="shared" si="328"/>
        <v>k yet</v>
      </c>
    </row>
    <row r="2227" spans="1:39">
      <c r="A2227" s="42" t="s">
        <v>259</v>
      </c>
      <c r="B2227" s="1" t="s">
        <v>20</v>
      </c>
      <c r="C2227" s="40" t="str">
        <f t="shared" si="325"/>
        <v>14-&gt;</v>
      </c>
      <c r="D2227" s="40" t="str">
        <f t="shared" si="326"/>
        <v xml:space="preserve">No pick yet                                                 </v>
      </c>
      <c r="E2227" s="52">
        <f t="shared" si="327"/>
        <v>0</v>
      </c>
      <c r="M2227" s="18"/>
      <c r="N2227" s="18"/>
      <c r="O2227" s="18"/>
      <c r="P2227" s="18"/>
      <c r="Q2227" s="22"/>
      <c r="R2227" s="21"/>
      <c r="S2227" s="21"/>
      <c r="T2227" s="21"/>
      <c r="AA2227"/>
      <c r="AH2227" t="str">
        <f t="shared" si="328"/>
        <v>k yet</v>
      </c>
    </row>
    <row r="2228" spans="1:39">
      <c r="A2228" s="42" t="s">
        <v>260</v>
      </c>
      <c r="B2228" s="1" t="s">
        <v>20</v>
      </c>
      <c r="C2228" s="40" t="str">
        <f t="shared" si="325"/>
        <v>15-&gt;</v>
      </c>
      <c r="D2228" s="40" t="str">
        <f t="shared" si="326"/>
        <v xml:space="preserve">No pick yet                                                 </v>
      </c>
      <c r="E2228" s="52">
        <f t="shared" si="327"/>
        <v>0</v>
      </c>
      <c r="M2228" s="18"/>
      <c r="N2228" s="18"/>
      <c r="O2228" s="18"/>
      <c r="P2228" s="18"/>
      <c r="Q2228" s="22"/>
      <c r="R2228" s="21"/>
      <c r="S2228" s="21"/>
      <c r="T2228" s="21"/>
      <c r="AA2228"/>
      <c r="AH2228" t="str">
        <f t="shared" si="328"/>
        <v>k yet</v>
      </c>
    </row>
    <row r="2229" spans="1:39">
      <c r="A2229" s="42" t="s">
        <v>261</v>
      </c>
      <c r="B2229" s="1" t="s">
        <v>20</v>
      </c>
      <c r="C2229" s="40" t="str">
        <f t="shared" si="325"/>
        <v>16-&gt;</v>
      </c>
      <c r="D2229" s="40" t="str">
        <f t="shared" si="326"/>
        <v xml:space="preserve">No pick yet                                                 </v>
      </c>
      <c r="E2229" s="52">
        <f t="shared" si="327"/>
        <v>0</v>
      </c>
      <c r="M2229" s="18"/>
      <c r="N2229" s="18"/>
      <c r="O2229" s="18"/>
      <c r="P2229" s="18"/>
      <c r="Q2229" s="22"/>
      <c r="R2229" s="21"/>
      <c r="S2229" s="21"/>
      <c r="T2229" s="21"/>
      <c r="AA2229"/>
      <c r="AH2229" t="str">
        <f t="shared" si="328"/>
        <v>k yet</v>
      </c>
    </row>
    <row r="2230" spans="1:39">
      <c r="A2230" s="42" t="s">
        <v>262</v>
      </c>
      <c r="B2230" s="1" t="s">
        <v>20</v>
      </c>
      <c r="C2230" s="40" t="str">
        <f t="shared" si="325"/>
        <v>17-&gt;</v>
      </c>
      <c r="D2230" s="40" t="str">
        <f t="shared" si="326"/>
        <v xml:space="preserve">No pick yet                                                 </v>
      </c>
      <c r="E2230" s="52">
        <f t="shared" si="327"/>
        <v>0</v>
      </c>
      <c r="K2230" s="22"/>
      <c r="N2230" s="22"/>
      <c r="O2230" s="22"/>
      <c r="P2230" s="22"/>
      <c r="Q2230" s="22"/>
      <c r="R2230" s="22"/>
      <c r="S2230" s="22"/>
      <c r="Z2230" s="53"/>
      <c r="AA2230"/>
      <c r="AH2230" t="str">
        <f t="shared" si="328"/>
        <v>k yet</v>
      </c>
    </row>
    <row r="2231" spans="1:39">
      <c r="A2231" s="42" t="s">
        <v>263</v>
      </c>
      <c r="B2231" s="1" t="s">
        <v>20</v>
      </c>
      <c r="C2231" s="40" t="str">
        <f t="shared" si="325"/>
        <v>18-&gt;</v>
      </c>
      <c r="D2231" s="40" t="str">
        <f t="shared" si="326"/>
        <v xml:space="preserve">No pick yet                                                 </v>
      </c>
      <c r="E2231" s="52">
        <f t="shared" si="327"/>
        <v>0</v>
      </c>
      <c r="F2231" s="18"/>
      <c r="L2231" s="21"/>
      <c r="N2231" s="22"/>
      <c r="O2231" s="22"/>
      <c r="P2231" s="18"/>
      <c r="Q2231" s="22"/>
      <c r="R2231" s="22"/>
      <c r="S2231" s="22"/>
      <c r="Z2231" s="53"/>
      <c r="AA2231"/>
      <c r="AH2231" t="str">
        <f t="shared" si="328"/>
        <v>k yet</v>
      </c>
    </row>
    <row r="2232" spans="1:39">
      <c r="A2232" s="42" t="s">
        <v>264</v>
      </c>
      <c r="B2232" s="1" t="s">
        <v>20</v>
      </c>
      <c r="C2232" s="40" t="str">
        <f t="shared" si="325"/>
        <v>19-&gt;</v>
      </c>
      <c r="D2232" s="40" t="str">
        <f t="shared" si="326"/>
        <v xml:space="preserve">No pick yet                                                 </v>
      </c>
      <c r="E2232" s="52">
        <f t="shared" si="327"/>
        <v>0</v>
      </c>
      <c r="F2232" s="18"/>
      <c r="M2232" s="18"/>
      <c r="N2232" s="18"/>
      <c r="O2232" s="18"/>
      <c r="P2232" s="18"/>
      <c r="Q2232" s="22"/>
      <c r="R2232" s="21"/>
      <c r="S2232" s="21"/>
      <c r="T2232" s="21"/>
      <c r="AA2232"/>
      <c r="AH2232" t="str">
        <f t="shared" si="328"/>
        <v>k yet</v>
      </c>
    </row>
    <row r="2233" spans="1:39">
      <c r="A2233" s="42" t="s">
        <v>265</v>
      </c>
      <c r="B2233" s="1" t="s">
        <v>20</v>
      </c>
      <c r="C2233" s="40" t="str">
        <f t="shared" si="325"/>
        <v>20-&gt;</v>
      </c>
      <c r="D2233" s="40" t="str">
        <f t="shared" si="326"/>
        <v xml:space="preserve">No pick yet                                                 </v>
      </c>
      <c r="E2233" s="52">
        <f t="shared" si="327"/>
        <v>0</v>
      </c>
      <c r="F2233" s="18"/>
      <c r="M2233" s="18"/>
      <c r="N2233" s="18"/>
      <c r="O2233" s="18"/>
      <c r="P2233" s="18"/>
      <c r="Q2233" s="22"/>
      <c r="R2233" s="21"/>
      <c r="S2233" s="21"/>
      <c r="T2233" s="21"/>
      <c r="AA2233"/>
      <c r="AH2233" t="str">
        <f t="shared" si="328"/>
        <v>k yet</v>
      </c>
    </row>
    <row r="2234" spans="1:39">
      <c r="A2234" s="42" t="s">
        <v>266</v>
      </c>
      <c r="B2234" s="1" t="s">
        <v>20</v>
      </c>
      <c r="C2234" s="40" t="str">
        <f t="shared" si="325"/>
        <v>21-&gt;</v>
      </c>
      <c r="D2234" s="40" t="str">
        <f t="shared" si="326"/>
        <v xml:space="preserve">No pick yet                                                 </v>
      </c>
      <c r="E2234" s="52">
        <f t="shared" si="327"/>
        <v>0</v>
      </c>
      <c r="F2234" s="18"/>
      <c r="M2234" s="18"/>
      <c r="N2234" s="18"/>
      <c r="O2234" s="18"/>
      <c r="P2234" s="18"/>
      <c r="Q2234" s="22"/>
      <c r="R2234" s="21"/>
      <c r="S2234" s="21"/>
      <c r="T2234" s="21"/>
      <c r="AA2234"/>
      <c r="AH2234" t="str">
        <f t="shared" si="328"/>
        <v>k yet</v>
      </c>
    </row>
    <row r="2235" spans="1:39">
      <c r="A2235" s="42" t="s">
        <v>267</v>
      </c>
      <c r="B2235" s="1" t="s">
        <v>20</v>
      </c>
      <c r="C2235" s="40" t="str">
        <f t="shared" si="325"/>
        <v>22-&gt;</v>
      </c>
      <c r="D2235" s="40" t="str">
        <f t="shared" si="326"/>
        <v xml:space="preserve">No pick yet                                                 </v>
      </c>
      <c r="E2235" s="52">
        <f t="shared" si="327"/>
        <v>0</v>
      </c>
      <c r="F2235" s="18"/>
      <c r="M2235" s="18"/>
      <c r="N2235" s="18"/>
      <c r="O2235" s="18"/>
      <c r="P2235" s="18"/>
      <c r="Q2235" s="22"/>
      <c r="R2235" s="21"/>
      <c r="S2235" s="21"/>
      <c r="T2235" s="21"/>
      <c r="AA2235"/>
      <c r="AH2235" t="str">
        <f t="shared" si="328"/>
        <v>k yet</v>
      </c>
    </row>
    <row r="2236" spans="1:39">
      <c r="A2236" s="42" t="s">
        <v>268</v>
      </c>
      <c r="B2236" s="1" t="s">
        <v>20</v>
      </c>
      <c r="C2236" s="40" t="str">
        <f t="shared" si="325"/>
        <v>23-&gt;</v>
      </c>
      <c r="D2236" s="40" t="str">
        <f t="shared" si="326"/>
        <v xml:space="preserve">No pick yet                                                 </v>
      </c>
      <c r="E2236" s="52">
        <f t="shared" si="327"/>
        <v>0</v>
      </c>
      <c r="F2236" s="18"/>
      <c r="M2236" s="18"/>
      <c r="N2236" s="18"/>
      <c r="O2236" s="18"/>
      <c r="P2236" s="18"/>
      <c r="Q2236" s="22"/>
      <c r="R2236" s="21"/>
      <c r="S2236" s="21"/>
      <c r="T2236" s="21"/>
      <c r="AA2236"/>
      <c r="AH2236" t="str">
        <f t="shared" si="328"/>
        <v>k yet</v>
      </c>
    </row>
    <row r="2237" spans="1:39">
      <c r="A2237" s="42" t="s">
        <v>269</v>
      </c>
      <c r="B2237" s="1" t="s">
        <v>20</v>
      </c>
      <c r="C2237" s="40" t="str">
        <f t="shared" si="325"/>
        <v>24-&gt;</v>
      </c>
      <c r="D2237" s="40" t="str">
        <f>B2237&amp;REPT(" ",$AH$70-LEN(B2237))</f>
        <v xml:space="preserve">No pick yet                                                 </v>
      </c>
      <c r="E2237" s="52">
        <f t="shared" si="327"/>
        <v>0</v>
      </c>
      <c r="F2237" s="18"/>
      <c r="M2237" s="18"/>
      <c r="N2237" s="18"/>
      <c r="O2237" s="18"/>
      <c r="P2237" s="18"/>
      <c r="Q2237" s="22"/>
      <c r="R2237" s="21"/>
      <c r="S2237" s="21"/>
      <c r="T2237" s="21"/>
      <c r="AA2237"/>
      <c r="AH2237" t="str">
        <f t="shared" si="328"/>
        <v>k yet</v>
      </c>
    </row>
    <row r="2238" spans="1:39">
      <c r="A2238" s="42" t="s">
        <v>270</v>
      </c>
      <c r="B2238" s="1" t="s">
        <v>20</v>
      </c>
      <c r="C2238" s="40" t="str">
        <f t="shared" si="325"/>
        <v>25-&gt;</v>
      </c>
      <c r="D2238" s="40" t="str">
        <f>B2238&amp;REPT(" ",$AH$70-LEN(B2238))</f>
        <v xml:space="preserve">No pick yet                                                 </v>
      </c>
      <c r="E2238" s="52">
        <f t="shared" si="327"/>
        <v>0</v>
      </c>
      <c r="F2238" s="18"/>
      <c r="M2238" s="18"/>
      <c r="N2238" s="18"/>
      <c r="O2238" s="18"/>
      <c r="P2238" s="18"/>
      <c r="Q2238" s="22"/>
      <c r="R2238" s="21"/>
      <c r="S2238" s="21"/>
      <c r="T2238" s="21"/>
      <c r="AA2238"/>
      <c r="AH2238" t="str">
        <f t="shared" si="328"/>
        <v>k yet</v>
      </c>
    </row>
    <row r="2239" spans="1:39">
      <c r="A2239" s="42" t="s">
        <v>271</v>
      </c>
      <c r="B2239" s="1" t="s">
        <v>20</v>
      </c>
      <c r="C2239" s="40" t="str">
        <f t="shared" si="325"/>
        <v>26-&gt;</v>
      </c>
      <c r="D2239" s="40" t="str">
        <f>B2239&amp;REPT(" ",$AH$70-LEN(B2239))</f>
        <v xml:space="preserve">No pick yet                                                 </v>
      </c>
      <c r="E2239" s="52">
        <f t="shared" si="327"/>
        <v>0</v>
      </c>
      <c r="F2239" s="18"/>
      <c r="M2239" s="18"/>
      <c r="N2239" s="18"/>
      <c r="O2239" s="18"/>
      <c r="P2239" s="18"/>
      <c r="Q2239" s="22"/>
      <c r="R2239" s="21"/>
      <c r="S2239" s="21"/>
      <c r="T2239" s="21"/>
      <c r="AA2239"/>
      <c r="AH2239" t="str">
        <f t="shared" si="328"/>
        <v>k yet</v>
      </c>
    </row>
    <row r="2240" spans="1:39">
      <c r="A2240" s="38"/>
      <c r="B2240" s="40"/>
      <c r="C2240" s="40"/>
      <c r="D2240" s="49"/>
      <c r="E2240" s="41" t="s">
        <v>69</v>
      </c>
      <c r="F2240" s="18"/>
      <c r="K2240" s="22" t="s">
        <v>73</v>
      </c>
      <c r="L2240" s="18" t="s">
        <v>74</v>
      </c>
      <c r="M2240" s="22" t="s">
        <v>78</v>
      </c>
      <c r="N2240" s="22" t="s">
        <v>79</v>
      </c>
      <c r="O2240" s="22" t="s">
        <v>80</v>
      </c>
      <c r="P2240" s="22" t="s">
        <v>81</v>
      </c>
      <c r="Q2240" s="22" t="s">
        <v>82</v>
      </c>
      <c r="R2240" s="22" t="s">
        <v>83</v>
      </c>
      <c r="S2240" s="22" t="s">
        <v>84</v>
      </c>
      <c r="T2240" s="18" t="s">
        <v>85</v>
      </c>
      <c r="U2240" s="18" t="s">
        <v>86</v>
      </c>
      <c r="V2240" s="18" t="s">
        <v>87</v>
      </c>
      <c r="W2240" s="18" t="s">
        <v>88</v>
      </c>
      <c r="X2240" s="18" t="s">
        <v>89</v>
      </c>
      <c r="Y2240" s="18" t="s">
        <v>90</v>
      </c>
      <c r="Z2240" s="18" t="s">
        <v>91</v>
      </c>
      <c r="AA2240" s="18" t="s">
        <v>92</v>
      </c>
      <c r="AB2240" s="18" t="s">
        <v>93</v>
      </c>
      <c r="AC2240" s="18" t="s">
        <v>94</v>
      </c>
      <c r="AD2240" s="18" t="s">
        <v>235</v>
      </c>
      <c r="AE2240" s="18" t="s">
        <v>236</v>
      </c>
      <c r="AF2240" s="18" t="s">
        <v>237</v>
      </c>
      <c r="AG2240" s="18" t="s">
        <v>238</v>
      </c>
      <c r="AH2240" s="18" t="s">
        <v>239</v>
      </c>
      <c r="AI2240" s="18" t="s">
        <v>240</v>
      </c>
      <c r="AJ2240" s="18" t="s">
        <v>241</v>
      </c>
      <c r="AK2240" s="18" t="s">
        <v>242</v>
      </c>
      <c r="AL2240" s="18" t="s">
        <v>243</v>
      </c>
      <c r="AM2240" s="50" t="s">
        <v>244</v>
      </c>
    </row>
    <row r="2241" spans="1:39">
      <c r="A2241" s="40" t="s">
        <v>245</v>
      </c>
      <c r="B2241" s="51" t="str">
        <f>D79</f>
        <v/>
      </c>
      <c r="C2241" s="40" t="str">
        <f t="shared" ref="C2241:C2267" si="329">A2241</f>
        <v>#</v>
      </c>
      <c r="D2241" s="40" t="str">
        <f>"   "&amp;B2241&amp;REPT(" ",$AH$70-LEN(B2241)-3)</f>
        <v xml:space="preserve">                                                            </v>
      </c>
      <c r="E2241" s="38" t="str">
        <f>SUM(E2242:E2267)&amp;" pts[/b]"</f>
        <v>0 pts[/b]</v>
      </c>
      <c r="F2241" s="21">
        <f>SUM(E2242:E2267)</f>
        <v>0</v>
      </c>
      <c r="K2241" s="18">
        <f>COUNTIF(E2242:E2267,"&gt;0")</f>
        <v>0</v>
      </c>
      <c r="L2241" s="21">
        <f>AM2241-K2241</f>
        <v>0</v>
      </c>
      <c r="M2241" s="22">
        <f>MAX(E2242:E2267)</f>
        <v>0</v>
      </c>
      <c r="N2241" s="22">
        <f>LARGE(E2242:E2267,2)</f>
        <v>0</v>
      </c>
      <c r="O2241" s="22">
        <f>LARGE(E2242:E2267,3)</f>
        <v>0</v>
      </c>
      <c r="P2241" s="18">
        <f>LARGE(E2242:E2267,4)</f>
        <v>0</v>
      </c>
      <c r="Q2241" s="22">
        <f>LARGE(E2242:E2267,5)</f>
        <v>0</v>
      </c>
      <c r="R2241" s="22">
        <f>LARGE(E2242:E2267,6)</f>
        <v>0</v>
      </c>
      <c r="S2241" s="22">
        <f>LARGE(E2242:E2267,7)</f>
        <v>0</v>
      </c>
      <c r="T2241" s="18">
        <f>LARGE(E2242:E2267,8)</f>
        <v>0</v>
      </c>
      <c r="U2241" s="18">
        <f>LARGE(E2242:E2267,9)</f>
        <v>0</v>
      </c>
      <c r="V2241" s="18">
        <f>LARGE(E2242:E2267,10)</f>
        <v>0</v>
      </c>
      <c r="W2241" s="18">
        <f>LARGE(E2242:E2267,11)</f>
        <v>0</v>
      </c>
      <c r="X2241" s="18">
        <f>LARGE(E2242:E2267,12)</f>
        <v>0</v>
      </c>
      <c r="Y2241" s="18">
        <f>LARGE(E2242:E2267,13)</f>
        <v>0</v>
      </c>
      <c r="Z2241" s="18">
        <f>LARGE(E2242:E2267,14)</f>
        <v>0</v>
      </c>
      <c r="AA2241" s="18">
        <f>LARGE(E2242:E2267,15)</f>
        <v>0</v>
      </c>
      <c r="AB2241" s="18">
        <f>LARGE(E2242:E2267,16)</f>
        <v>0</v>
      </c>
      <c r="AC2241" s="18">
        <f>LARGE(E2242:E2267,17)</f>
        <v>0</v>
      </c>
      <c r="AD2241" s="18">
        <f>LARGE(E2242:E2268,13)</f>
        <v>0</v>
      </c>
      <c r="AE2241" s="18">
        <f>LARGE(E2242:E2267,19)</f>
        <v>0</v>
      </c>
      <c r="AF2241" s="18">
        <f>LARGE(E2242:E2267,20)</f>
        <v>0</v>
      </c>
      <c r="AG2241" s="18">
        <f>LARGE(E2242:E2267,21)</f>
        <v>0</v>
      </c>
      <c r="AH2241" s="18">
        <f>LARGE(E2242:E2267,22)</f>
        <v>0</v>
      </c>
      <c r="AI2241" s="18">
        <f>LARGE(E2242:E2267,23)</f>
        <v>0</v>
      </c>
      <c r="AJ2241" s="18">
        <f>LARGE(E2242:E2267,24)</f>
        <v>0</v>
      </c>
      <c r="AK2241" s="18">
        <f>LARGE(E2242:E2267,25)</f>
        <v>0</v>
      </c>
      <c r="AL2241" s="18">
        <f>LARGE(E2242:E2267,26)</f>
        <v>0</v>
      </c>
      <c r="AM2241" s="50">
        <f>COUNTIF(AH2242:AH2267,"&lt;&gt;"&amp;$AH$76)-(26-COUNTIF(E2242:E2267,"&gt;=0"))</f>
        <v>0</v>
      </c>
    </row>
    <row r="2242" spans="1:39">
      <c r="A2242" s="42" t="s">
        <v>246</v>
      </c>
      <c r="B2242" s="1" t="s">
        <v>20</v>
      </c>
      <c r="C2242" s="40" t="str">
        <f t="shared" si="329"/>
        <v>01-&gt;</v>
      </c>
      <c r="D2242" s="40" t="str">
        <f t="shared" ref="D2242:D2267" si="330">B2242&amp;REPT(" ",$AH$70-LEN(B2242))</f>
        <v xml:space="preserve">No pick yet                                                 </v>
      </c>
      <c r="E2242" s="52">
        <f t="shared" ref="E2242:E2267" si="331">VLOOKUP(RIGHT(B2242,LEN(B2242)-$AH$66),$H$138:$I$420,2,0)</f>
        <v>0</v>
      </c>
      <c r="F2242" s="18"/>
      <c r="M2242" s="18"/>
      <c r="N2242" s="18"/>
      <c r="O2242" s="18"/>
      <c r="P2242" s="18"/>
      <c r="Q2242" s="22"/>
      <c r="R2242" s="21"/>
      <c r="S2242" s="21"/>
      <c r="T2242" s="21"/>
      <c r="AA2242"/>
      <c r="AH2242" t="str">
        <f t="shared" ref="AH2242:AH2267" si="332">RIGHT(B2242,LEN(B2242)-$AH$66)</f>
        <v>k yet</v>
      </c>
    </row>
    <row r="2243" spans="1:39">
      <c r="A2243" s="42" t="s">
        <v>247</v>
      </c>
      <c r="B2243" s="1" t="s">
        <v>20</v>
      </c>
      <c r="C2243" s="40" t="str">
        <f t="shared" si="329"/>
        <v>02-&gt;</v>
      </c>
      <c r="D2243" s="40" t="str">
        <f t="shared" si="330"/>
        <v xml:space="preserve">No pick yet                                                 </v>
      </c>
      <c r="E2243" s="52">
        <f t="shared" si="331"/>
        <v>0</v>
      </c>
      <c r="F2243" s="18"/>
      <c r="K2243" s="22"/>
      <c r="N2243" s="22"/>
      <c r="O2243" s="22"/>
      <c r="P2243" s="22"/>
      <c r="Q2243" s="22"/>
      <c r="R2243" s="22"/>
      <c r="S2243" s="22"/>
      <c r="Z2243" s="53"/>
      <c r="AA2243"/>
      <c r="AH2243" t="str">
        <f t="shared" si="332"/>
        <v>k yet</v>
      </c>
    </row>
    <row r="2244" spans="1:39">
      <c r="A2244" s="42" t="s">
        <v>248</v>
      </c>
      <c r="B2244" s="1" t="s">
        <v>20</v>
      </c>
      <c r="C2244" s="40" t="str">
        <f t="shared" si="329"/>
        <v>03-&gt;</v>
      </c>
      <c r="D2244" s="40" t="str">
        <f t="shared" si="330"/>
        <v xml:space="preserve">No pick yet                                                 </v>
      </c>
      <c r="E2244" s="52">
        <f t="shared" si="331"/>
        <v>0</v>
      </c>
      <c r="F2244" s="18"/>
      <c r="L2244" s="21"/>
      <c r="N2244" s="22"/>
      <c r="O2244" s="22"/>
      <c r="P2244" s="18"/>
      <c r="Q2244" s="22"/>
      <c r="R2244" s="22"/>
      <c r="S2244" s="22"/>
      <c r="Z2244" s="53"/>
      <c r="AA2244"/>
      <c r="AH2244" t="str">
        <f t="shared" si="332"/>
        <v>k yet</v>
      </c>
    </row>
    <row r="2245" spans="1:39">
      <c r="A2245" s="42" t="s">
        <v>249</v>
      </c>
      <c r="B2245" s="1" t="s">
        <v>20</v>
      </c>
      <c r="C2245" s="40" t="str">
        <f t="shared" si="329"/>
        <v>04-&gt;</v>
      </c>
      <c r="D2245" s="40" t="str">
        <f t="shared" si="330"/>
        <v xml:space="preserve">No pick yet                                                 </v>
      </c>
      <c r="E2245" s="52">
        <f t="shared" si="331"/>
        <v>0</v>
      </c>
      <c r="F2245" s="18"/>
      <c r="M2245" s="18"/>
      <c r="N2245" s="18"/>
      <c r="O2245" s="18"/>
      <c r="P2245" s="18"/>
      <c r="Q2245" s="22"/>
      <c r="R2245" s="21"/>
      <c r="S2245" s="21"/>
      <c r="T2245" s="21"/>
      <c r="AA2245"/>
      <c r="AH2245" t="str">
        <f t="shared" si="332"/>
        <v>k yet</v>
      </c>
    </row>
    <row r="2246" spans="1:39">
      <c r="A2246" s="42" t="s">
        <v>250</v>
      </c>
      <c r="B2246" s="1" t="s">
        <v>20</v>
      </c>
      <c r="C2246" s="40" t="str">
        <f t="shared" si="329"/>
        <v>05-&gt;</v>
      </c>
      <c r="D2246" s="40" t="str">
        <f t="shared" si="330"/>
        <v xml:space="preserve">No pick yet                                                 </v>
      </c>
      <c r="E2246" s="52">
        <f t="shared" si="331"/>
        <v>0</v>
      </c>
      <c r="F2246" s="18"/>
      <c r="M2246" s="18"/>
      <c r="N2246" s="18"/>
      <c r="O2246" s="18"/>
      <c r="P2246" s="18"/>
      <c r="Q2246" s="22"/>
      <c r="R2246" s="21"/>
      <c r="S2246" s="21"/>
      <c r="T2246" s="21"/>
      <c r="AA2246"/>
      <c r="AH2246" t="str">
        <f t="shared" si="332"/>
        <v>k yet</v>
      </c>
    </row>
    <row r="2247" spans="1:39">
      <c r="A2247" s="42" t="s">
        <v>251</v>
      </c>
      <c r="B2247" s="1" t="s">
        <v>20</v>
      </c>
      <c r="C2247" s="40" t="str">
        <f t="shared" si="329"/>
        <v>06-&gt;</v>
      </c>
      <c r="D2247" s="40" t="str">
        <f t="shared" si="330"/>
        <v xml:space="preserve">No pick yet                                                 </v>
      </c>
      <c r="E2247" s="52">
        <f t="shared" si="331"/>
        <v>0</v>
      </c>
      <c r="F2247" s="18"/>
      <c r="M2247" s="18"/>
      <c r="N2247" s="18"/>
      <c r="O2247" s="18"/>
      <c r="P2247" s="18"/>
      <c r="Q2247" s="22"/>
      <c r="R2247" s="21"/>
      <c r="S2247" s="21"/>
      <c r="T2247" s="21"/>
      <c r="AA2247"/>
      <c r="AH2247" t="str">
        <f t="shared" si="332"/>
        <v>k yet</v>
      </c>
    </row>
    <row r="2248" spans="1:39">
      <c r="A2248" s="42" t="s">
        <v>252</v>
      </c>
      <c r="B2248" s="1" t="s">
        <v>20</v>
      </c>
      <c r="C2248" s="40" t="str">
        <f t="shared" si="329"/>
        <v>07-&gt;</v>
      </c>
      <c r="D2248" s="40" t="str">
        <f t="shared" si="330"/>
        <v xml:space="preserve">No pick yet                                                 </v>
      </c>
      <c r="E2248" s="52">
        <f t="shared" si="331"/>
        <v>0</v>
      </c>
      <c r="F2248" s="18"/>
      <c r="M2248" s="18"/>
      <c r="N2248" s="18"/>
      <c r="O2248" s="18"/>
      <c r="P2248" s="18"/>
      <c r="Q2248" s="22"/>
      <c r="R2248" s="21"/>
      <c r="S2248" s="21"/>
      <c r="T2248" s="21"/>
      <c r="AA2248"/>
      <c r="AH2248" t="str">
        <f t="shared" si="332"/>
        <v>k yet</v>
      </c>
    </row>
    <row r="2249" spans="1:39">
      <c r="A2249" s="42" t="s">
        <v>253</v>
      </c>
      <c r="B2249" s="1" t="s">
        <v>20</v>
      </c>
      <c r="C2249" s="40" t="str">
        <f t="shared" si="329"/>
        <v>08-&gt;</v>
      </c>
      <c r="D2249" s="40" t="str">
        <f t="shared" si="330"/>
        <v xml:space="preserve">No pick yet                                                 </v>
      </c>
      <c r="E2249" s="52">
        <f t="shared" si="331"/>
        <v>0</v>
      </c>
      <c r="F2249" s="18"/>
      <c r="M2249" s="18"/>
      <c r="N2249" s="18"/>
      <c r="O2249" s="18"/>
      <c r="P2249" s="18"/>
      <c r="Q2249" s="22"/>
      <c r="R2249" s="21"/>
      <c r="S2249" s="21"/>
      <c r="T2249" s="21"/>
      <c r="AA2249"/>
      <c r="AH2249" t="str">
        <f t="shared" si="332"/>
        <v>k yet</v>
      </c>
    </row>
    <row r="2250" spans="1:39">
      <c r="A2250" s="42" t="s">
        <v>254</v>
      </c>
      <c r="B2250" s="1" t="s">
        <v>20</v>
      </c>
      <c r="C2250" s="40" t="str">
        <f t="shared" si="329"/>
        <v>09-&gt;</v>
      </c>
      <c r="D2250" s="40" t="str">
        <f t="shared" si="330"/>
        <v xml:space="preserve">No pick yet                                                 </v>
      </c>
      <c r="E2250" s="52">
        <f t="shared" si="331"/>
        <v>0</v>
      </c>
      <c r="F2250" s="18"/>
      <c r="M2250" s="18"/>
      <c r="N2250" s="18"/>
      <c r="O2250" s="18"/>
      <c r="P2250" s="18"/>
      <c r="Q2250" s="22"/>
      <c r="R2250" s="21"/>
      <c r="S2250" s="21"/>
      <c r="T2250" s="21"/>
      <c r="AA2250"/>
      <c r="AH2250" t="str">
        <f t="shared" si="332"/>
        <v>k yet</v>
      </c>
    </row>
    <row r="2251" spans="1:39">
      <c r="A2251" s="42" t="s">
        <v>255</v>
      </c>
      <c r="B2251" s="1" t="s">
        <v>20</v>
      </c>
      <c r="C2251" s="40" t="str">
        <f t="shared" si="329"/>
        <v>10-&gt;</v>
      </c>
      <c r="D2251" s="40" t="str">
        <f t="shared" si="330"/>
        <v xml:space="preserve">No pick yet                                                 </v>
      </c>
      <c r="E2251" s="52">
        <f t="shared" si="331"/>
        <v>0</v>
      </c>
      <c r="F2251" s="22"/>
      <c r="M2251" s="18"/>
      <c r="N2251" s="18"/>
      <c r="O2251" s="18"/>
      <c r="P2251" s="18"/>
      <c r="Q2251" s="22"/>
      <c r="R2251" s="21"/>
      <c r="S2251" s="21"/>
      <c r="T2251" s="21"/>
      <c r="AA2251"/>
      <c r="AH2251" t="str">
        <f t="shared" si="332"/>
        <v>k yet</v>
      </c>
    </row>
    <row r="2252" spans="1:39">
      <c r="A2252" s="42" t="s">
        <v>256</v>
      </c>
      <c r="B2252" s="1" t="s">
        <v>20</v>
      </c>
      <c r="C2252" s="40" t="str">
        <f t="shared" si="329"/>
        <v>11-&gt;</v>
      </c>
      <c r="D2252" s="40" t="str">
        <f t="shared" si="330"/>
        <v xml:space="preserve">No pick yet                                                 </v>
      </c>
      <c r="E2252" s="52">
        <f t="shared" si="331"/>
        <v>0</v>
      </c>
      <c r="M2252" s="18"/>
      <c r="N2252" s="18"/>
      <c r="O2252" s="18"/>
      <c r="P2252" s="18"/>
      <c r="Q2252" s="22"/>
      <c r="R2252" s="21"/>
      <c r="S2252" s="21"/>
      <c r="T2252" s="21"/>
      <c r="AA2252"/>
      <c r="AH2252" t="str">
        <f t="shared" si="332"/>
        <v>k yet</v>
      </c>
    </row>
    <row r="2253" spans="1:39">
      <c r="A2253" s="42" t="s">
        <v>257</v>
      </c>
      <c r="B2253" s="1" t="s">
        <v>20</v>
      </c>
      <c r="C2253" s="40" t="str">
        <f t="shared" si="329"/>
        <v>12-&gt;</v>
      </c>
      <c r="D2253" s="40" t="str">
        <f t="shared" si="330"/>
        <v xml:space="preserve">No pick yet                                                 </v>
      </c>
      <c r="E2253" s="52">
        <f t="shared" si="331"/>
        <v>0</v>
      </c>
      <c r="M2253" s="18"/>
      <c r="N2253" s="18"/>
      <c r="O2253" s="18"/>
      <c r="P2253" s="18"/>
      <c r="Q2253" s="22"/>
      <c r="R2253" s="21"/>
      <c r="S2253" s="21"/>
      <c r="T2253" s="21"/>
      <c r="AA2253"/>
      <c r="AH2253" t="str">
        <f t="shared" si="332"/>
        <v>k yet</v>
      </c>
    </row>
    <row r="2254" spans="1:39">
      <c r="A2254" s="42" t="s">
        <v>258</v>
      </c>
      <c r="B2254" s="1" t="s">
        <v>20</v>
      </c>
      <c r="C2254" s="40" t="str">
        <f t="shared" si="329"/>
        <v>13-&gt;</v>
      </c>
      <c r="D2254" s="40" t="str">
        <f t="shared" si="330"/>
        <v xml:space="preserve">No pick yet                                                 </v>
      </c>
      <c r="E2254" s="52">
        <f t="shared" si="331"/>
        <v>0</v>
      </c>
      <c r="M2254" s="18"/>
      <c r="N2254" s="18"/>
      <c r="O2254" s="18"/>
      <c r="P2254" s="18"/>
      <c r="Q2254" s="22"/>
      <c r="R2254" s="21"/>
      <c r="S2254" s="21"/>
      <c r="T2254" s="21"/>
      <c r="AA2254"/>
      <c r="AH2254" t="str">
        <f t="shared" si="332"/>
        <v>k yet</v>
      </c>
    </row>
    <row r="2255" spans="1:39">
      <c r="A2255" s="42" t="s">
        <v>259</v>
      </c>
      <c r="B2255" s="1" t="s">
        <v>20</v>
      </c>
      <c r="C2255" s="40" t="str">
        <f t="shared" si="329"/>
        <v>14-&gt;</v>
      </c>
      <c r="D2255" s="40" t="str">
        <f t="shared" si="330"/>
        <v xml:space="preserve">No pick yet                                                 </v>
      </c>
      <c r="E2255" s="52">
        <f t="shared" si="331"/>
        <v>0</v>
      </c>
      <c r="M2255" s="18"/>
      <c r="N2255" s="18"/>
      <c r="O2255" s="18"/>
      <c r="P2255" s="18"/>
      <c r="Q2255" s="22"/>
      <c r="R2255" s="21"/>
      <c r="S2255" s="21"/>
      <c r="T2255" s="21"/>
      <c r="AA2255"/>
      <c r="AH2255" t="str">
        <f t="shared" si="332"/>
        <v>k yet</v>
      </c>
    </row>
    <row r="2256" spans="1:39">
      <c r="A2256" s="42" t="s">
        <v>260</v>
      </c>
      <c r="B2256" s="1" t="s">
        <v>20</v>
      </c>
      <c r="C2256" s="40" t="str">
        <f t="shared" si="329"/>
        <v>15-&gt;</v>
      </c>
      <c r="D2256" s="40" t="str">
        <f t="shared" si="330"/>
        <v xml:space="preserve">No pick yet                                                 </v>
      </c>
      <c r="E2256" s="52">
        <f t="shared" si="331"/>
        <v>0</v>
      </c>
      <c r="M2256" s="18"/>
      <c r="N2256" s="18"/>
      <c r="O2256" s="18"/>
      <c r="P2256" s="18"/>
      <c r="Q2256" s="22"/>
      <c r="R2256" s="21"/>
      <c r="S2256" s="21"/>
      <c r="T2256" s="21"/>
      <c r="AA2256"/>
      <c r="AH2256" t="str">
        <f t="shared" si="332"/>
        <v>k yet</v>
      </c>
    </row>
    <row r="2257" spans="1:39">
      <c r="A2257" s="42" t="s">
        <v>261</v>
      </c>
      <c r="B2257" s="1" t="s">
        <v>20</v>
      </c>
      <c r="C2257" s="40" t="str">
        <f t="shared" si="329"/>
        <v>16-&gt;</v>
      </c>
      <c r="D2257" s="40" t="str">
        <f t="shared" si="330"/>
        <v xml:space="preserve">No pick yet                                                 </v>
      </c>
      <c r="E2257" s="52">
        <f t="shared" si="331"/>
        <v>0</v>
      </c>
      <c r="M2257" s="18"/>
      <c r="N2257" s="18"/>
      <c r="O2257" s="18"/>
      <c r="P2257" s="18"/>
      <c r="Q2257" s="22"/>
      <c r="R2257" s="21"/>
      <c r="S2257" s="21"/>
      <c r="T2257" s="21"/>
      <c r="AA2257"/>
      <c r="AH2257" t="str">
        <f t="shared" si="332"/>
        <v>k yet</v>
      </c>
    </row>
    <row r="2258" spans="1:39">
      <c r="A2258" s="42" t="s">
        <v>262</v>
      </c>
      <c r="B2258" s="1" t="s">
        <v>20</v>
      </c>
      <c r="C2258" s="40" t="str">
        <f t="shared" si="329"/>
        <v>17-&gt;</v>
      </c>
      <c r="D2258" s="40" t="str">
        <f t="shared" si="330"/>
        <v xml:space="preserve">No pick yet                                                 </v>
      </c>
      <c r="E2258" s="52">
        <f t="shared" si="331"/>
        <v>0</v>
      </c>
      <c r="K2258" s="22"/>
      <c r="N2258" s="22"/>
      <c r="O2258" s="22"/>
      <c r="P2258" s="22"/>
      <c r="Q2258" s="22"/>
      <c r="R2258" s="22"/>
      <c r="S2258" s="22"/>
      <c r="Z2258" s="53"/>
      <c r="AA2258"/>
      <c r="AH2258" t="str">
        <f t="shared" si="332"/>
        <v>k yet</v>
      </c>
    </row>
    <row r="2259" spans="1:39">
      <c r="A2259" s="42" t="s">
        <v>263</v>
      </c>
      <c r="B2259" s="1" t="s">
        <v>20</v>
      </c>
      <c r="C2259" s="40" t="str">
        <f t="shared" si="329"/>
        <v>18-&gt;</v>
      </c>
      <c r="D2259" s="40" t="str">
        <f t="shared" si="330"/>
        <v xml:space="preserve">No pick yet                                                 </v>
      </c>
      <c r="E2259" s="52">
        <f t="shared" si="331"/>
        <v>0</v>
      </c>
      <c r="F2259" s="18"/>
      <c r="L2259" s="21"/>
      <c r="N2259" s="22"/>
      <c r="O2259" s="22"/>
      <c r="P2259" s="18"/>
      <c r="Q2259" s="22"/>
      <c r="R2259" s="22"/>
      <c r="S2259" s="22"/>
      <c r="Z2259" s="53"/>
      <c r="AA2259"/>
      <c r="AH2259" t="str">
        <f t="shared" si="332"/>
        <v>k yet</v>
      </c>
    </row>
    <row r="2260" spans="1:39">
      <c r="A2260" s="42" t="s">
        <v>264</v>
      </c>
      <c r="B2260" s="1" t="s">
        <v>20</v>
      </c>
      <c r="C2260" s="40" t="str">
        <f t="shared" si="329"/>
        <v>19-&gt;</v>
      </c>
      <c r="D2260" s="40" t="str">
        <f t="shared" si="330"/>
        <v xml:space="preserve">No pick yet                                                 </v>
      </c>
      <c r="E2260" s="52">
        <f t="shared" si="331"/>
        <v>0</v>
      </c>
      <c r="F2260" s="18"/>
      <c r="M2260" s="18"/>
      <c r="N2260" s="18"/>
      <c r="O2260" s="18"/>
      <c r="P2260" s="18"/>
      <c r="Q2260" s="22"/>
      <c r="R2260" s="21"/>
      <c r="S2260" s="21"/>
      <c r="T2260" s="21"/>
      <c r="AA2260"/>
      <c r="AH2260" t="str">
        <f t="shared" si="332"/>
        <v>k yet</v>
      </c>
    </row>
    <row r="2261" spans="1:39">
      <c r="A2261" s="42" t="s">
        <v>265</v>
      </c>
      <c r="B2261" s="1" t="s">
        <v>20</v>
      </c>
      <c r="C2261" s="40" t="str">
        <f t="shared" si="329"/>
        <v>20-&gt;</v>
      </c>
      <c r="D2261" s="40" t="str">
        <f t="shared" si="330"/>
        <v xml:space="preserve">No pick yet                                                 </v>
      </c>
      <c r="E2261" s="52">
        <f t="shared" si="331"/>
        <v>0</v>
      </c>
      <c r="F2261" s="18"/>
      <c r="M2261" s="18"/>
      <c r="N2261" s="18"/>
      <c r="O2261" s="18"/>
      <c r="P2261" s="18"/>
      <c r="Q2261" s="22"/>
      <c r="R2261" s="21"/>
      <c r="S2261" s="21"/>
      <c r="T2261" s="21"/>
      <c r="AA2261"/>
      <c r="AH2261" t="str">
        <f t="shared" si="332"/>
        <v>k yet</v>
      </c>
    </row>
    <row r="2262" spans="1:39">
      <c r="A2262" s="42" t="s">
        <v>266</v>
      </c>
      <c r="B2262" s="1" t="s">
        <v>20</v>
      </c>
      <c r="C2262" s="40" t="str">
        <f t="shared" si="329"/>
        <v>21-&gt;</v>
      </c>
      <c r="D2262" s="40" t="str">
        <f t="shared" si="330"/>
        <v xml:space="preserve">No pick yet                                                 </v>
      </c>
      <c r="E2262" s="52">
        <f t="shared" si="331"/>
        <v>0</v>
      </c>
      <c r="F2262" s="18"/>
      <c r="M2262" s="18"/>
      <c r="N2262" s="18"/>
      <c r="O2262" s="18"/>
      <c r="P2262" s="18"/>
      <c r="Q2262" s="22"/>
      <c r="R2262" s="21"/>
      <c r="S2262" s="21"/>
      <c r="T2262" s="21"/>
      <c r="AA2262"/>
      <c r="AH2262" t="str">
        <f t="shared" si="332"/>
        <v>k yet</v>
      </c>
    </row>
    <row r="2263" spans="1:39">
      <c r="A2263" s="42" t="s">
        <v>267</v>
      </c>
      <c r="B2263" s="1" t="s">
        <v>20</v>
      </c>
      <c r="C2263" s="40" t="str">
        <f t="shared" si="329"/>
        <v>22-&gt;</v>
      </c>
      <c r="D2263" s="40" t="str">
        <f t="shared" si="330"/>
        <v xml:space="preserve">No pick yet                                                 </v>
      </c>
      <c r="E2263" s="52">
        <f t="shared" si="331"/>
        <v>0</v>
      </c>
      <c r="F2263" s="18"/>
      <c r="M2263" s="18"/>
      <c r="N2263" s="18"/>
      <c r="O2263" s="18"/>
      <c r="P2263" s="18"/>
      <c r="Q2263" s="22"/>
      <c r="R2263" s="21"/>
      <c r="S2263" s="21"/>
      <c r="T2263" s="21"/>
      <c r="AA2263"/>
      <c r="AH2263" t="str">
        <f t="shared" si="332"/>
        <v>k yet</v>
      </c>
    </row>
    <row r="2264" spans="1:39">
      <c r="A2264" s="42" t="s">
        <v>268</v>
      </c>
      <c r="B2264" s="1" t="s">
        <v>20</v>
      </c>
      <c r="C2264" s="40" t="str">
        <f t="shared" si="329"/>
        <v>23-&gt;</v>
      </c>
      <c r="D2264" s="40" t="str">
        <f t="shared" si="330"/>
        <v xml:space="preserve">No pick yet                                                 </v>
      </c>
      <c r="E2264" s="52">
        <f t="shared" si="331"/>
        <v>0</v>
      </c>
      <c r="F2264" s="18"/>
      <c r="M2264" s="18"/>
      <c r="N2264" s="18"/>
      <c r="O2264" s="18"/>
      <c r="P2264" s="18"/>
      <c r="Q2264" s="22"/>
      <c r="R2264" s="21"/>
      <c r="S2264" s="21"/>
      <c r="T2264" s="21"/>
      <c r="AA2264"/>
      <c r="AH2264" t="str">
        <f t="shared" si="332"/>
        <v>k yet</v>
      </c>
    </row>
    <row r="2265" spans="1:39">
      <c r="A2265" s="42" t="s">
        <v>269</v>
      </c>
      <c r="B2265" s="1" t="s">
        <v>20</v>
      </c>
      <c r="C2265" s="40" t="str">
        <f t="shared" si="329"/>
        <v>24-&gt;</v>
      </c>
      <c r="D2265" s="40" t="str">
        <f t="shared" si="330"/>
        <v xml:space="preserve">No pick yet                                                 </v>
      </c>
      <c r="E2265" s="52">
        <f t="shared" si="331"/>
        <v>0</v>
      </c>
      <c r="F2265" s="18"/>
      <c r="M2265" s="18"/>
      <c r="N2265" s="18"/>
      <c r="O2265" s="18"/>
      <c r="P2265" s="18"/>
      <c r="Q2265" s="22"/>
      <c r="R2265" s="21"/>
      <c r="S2265" s="21"/>
      <c r="T2265" s="21"/>
      <c r="AA2265"/>
      <c r="AH2265" t="str">
        <f t="shared" si="332"/>
        <v>k yet</v>
      </c>
    </row>
    <row r="2266" spans="1:39">
      <c r="A2266" s="42" t="s">
        <v>270</v>
      </c>
      <c r="B2266" s="1" t="s">
        <v>20</v>
      </c>
      <c r="C2266" s="40" t="str">
        <f t="shared" si="329"/>
        <v>25-&gt;</v>
      </c>
      <c r="D2266" s="40" t="str">
        <f t="shared" si="330"/>
        <v xml:space="preserve">No pick yet                                                 </v>
      </c>
      <c r="E2266" s="52">
        <f t="shared" si="331"/>
        <v>0</v>
      </c>
      <c r="F2266" s="18"/>
      <c r="M2266" s="18"/>
      <c r="N2266" s="18"/>
      <c r="O2266" s="18"/>
      <c r="P2266" s="18"/>
      <c r="Q2266" s="22"/>
      <c r="R2266" s="21"/>
      <c r="S2266" s="21"/>
      <c r="T2266" s="21"/>
      <c r="AA2266"/>
      <c r="AH2266" t="str">
        <f t="shared" si="332"/>
        <v>k yet</v>
      </c>
    </row>
    <row r="2267" spans="1:39">
      <c r="A2267" s="42" t="s">
        <v>271</v>
      </c>
      <c r="B2267" s="1" t="s">
        <v>20</v>
      </c>
      <c r="C2267" s="40" t="str">
        <f t="shared" si="329"/>
        <v>26-&gt;</v>
      </c>
      <c r="D2267" s="40" t="str">
        <f t="shared" si="330"/>
        <v xml:space="preserve">No pick yet                                                 </v>
      </c>
      <c r="E2267" s="52">
        <f t="shared" si="331"/>
        <v>0</v>
      </c>
      <c r="F2267" s="18"/>
      <c r="M2267" s="18"/>
      <c r="N2267" s="18"/>
      <c r="O2267" s="18"/>
      <c r="P2267" s="18"/>
      <c r="Q2267" s="22"/>
      <c r="R2267" s="21"/>
      <c r="S2267" s="21"/>
      <c r="T2267" s="21"/>
      <c r="AA2267"/>
      <c r="AH2267" t="str">
        <f t="shared" si="332"/>
        <v>k yet</v>
      </c>
    </row>
    <row r="2268" spans="1:39">
      <c r="A2268" s="38"/>
      <c r="B2268" s="40"/>
      <c r="C2268" s="40"/>
      <c r="D2268" s="49"/>
      <c r="E2268" s="41" t="s">
        <v>69</v>
      </c>
      <c r="F2268" s="18"/>
      <c r="K2268" s="22" t="s">
        <v>73</v>
      </c>
      <c r="L2268" s="18" t="s">
        <v>74</v>
      </c>
      <c r="M2268" s="22" t="s">
        <v>78</v>
      </c>
      <c r="N2268" s="22" t="s">
        <v>79</v>
      </c>
      <c r="O2268" s="22" t="s">
        <v>80</v>
      </c>
      <c r="P2268" s="22" t="s">
        <v>81</v>
      </c>
      <c r="Q2268" s="22" t="s">
        <v>82</v>
      </c>
      <c r="R2268" s="22" t="s">
        <v>83</v>
      </c>
      <c r="S2268" s="22" t="s">
        <v>84</v>
      </c>
      <c r="T2268" s="18" t="s">
        <v>85</v>
      </c>
      <c r="U2268" s="18" t="s">
        <v>86</v>
      </c>
      <c r="V2268" s="18" t="s">
        <v>87</v>
      </c>
      <c r="W2268" s="18" t="s">
        <v>88</v>
      </c>
      <c r="X2268" s="18" t="s">
        <v>89</v>
      </c>
      <c r="Y2268" s="18" t="s">
        <v>90</v>
      </c>
      <c r="Z2268" s="18" t="s">
        <v>91</v>
      </c>
      <c r="AA2268" s="18" t="s">
        <v>92</v>
      </c>
      <c r="AB2268" s="18" t="s">
        <v>93</v>
      </c>
      <c r="AC2268" s="18" t="s">
        <v>94</v>
      </c>
      <c r="AD2268" s="18" t="s">
        <v>235</v>
      </c>
      <c r="AE2268" s="18" t="s">
        <v>236</v>
      </c>
      <c r="AF2268" s="18" t="s">
        <v>237</v>
      </c>
      <c r="AG2268" s="18" t="s">
        <v>238</v>
      </c>
      <c r="AH2268" s="18" t="s">
        <v>239</v>
      </c>
      <c r="AI2268" s="18" t="s">
        <v>240</v>
      </c>
      <c r="AJ2268" s="18" t="s">
        <v>241</v>
      </c>
      <c r="AK2268" s="18" t="s">
        <v>242</v>
      </c>
      <c r="AL2268" s="18" t="s">
        <v>243</v>
      </c>
      <c r="AM2268" s="50" t="s">
        <v>244</v>
      </c>
    </row>
    <row r="2269" spans="1:39">
      <c r="A2269" s="40" t="s">
        <v>245</v>
      </c>
      <c r="B2269" s="51" t="str">
        <f>D80</f>
        <v/>
      </c>
      <c r="C2269" s="40" t="str">
        <f t="shared" ref="C2269:C2295" si="333">A2269</f>
        <v>#</v>
      </c>
      <c r="D2269" s="40" t="str">
        <f>"   "&amp;B2269&amp;REPT(" ",$AH$70-LEN(B2269)-3)</f>
        <v xml:space="preserve">                                                            </v>
      </c>
      <c r="E2269" s="38" t="str">
        <f>SUM(E2270:E2295)&amp;" pts[/b]"</f>
        <v>0 pts[/b]</v>
      </c>
      <c r="F2269" s="21">
        <f>SUM(E2270:E2295)</f>
        <v>0</v>
      </c>
      <c r="K2269" s="18">
        <f>COUNTIF(E2270:E2295,"&gt;0")</f>
        <v>0</v>
      </c>
      <c r="L2269" s="21">
        <f>AM2269-K2269</f>
        <v>0</v>
      </c>
      <c r="M2269" s="22">
        <f>MAX(E2270:E2295)</f>
        <v>0</v>
      </c>
      <c r="N2269" s="22">
        <f>LARGE(E2270:E2295,2)</f>
        <v>0</v>
      </c>
      <c r="O2269" s="22">
        <f>LARGE(E2270:E2295,3)</f>
        <v>0</v>
      </c>
      <c r="P2269" s="18">
        <f>LARGE(E2270:E2295,4)</f>
        <v>0</v>
      </c>
      <c r="Q2269" s="22">
        <f>LARGE(E2270:E2295,5)</f>
        <v>0</v>
      </c>
      <c r="R2269" s="22">
        <f>LARGE(E2270:E2295,6)</f>
        <v>0</v>
      </c>
      <c r="S2269" s="22">
        <f>LARGE(E2270:E2295,7)</f>
        <v>0</v>
      </c>
      <c r="T2269" s="18">
        <f>LARGE(E2270:E2295,8)</f>
        <v>0</v>
      </c>
      <c r="U2269" s="18">
        <f>LARGE(E2270:E2295,9)</f>
        <v>0</v>
      </c>
      <c r="V2269" s="18">
        <f>LARGE(E2270:E2295,10)</f>
        <v>0</v>
      </c>
      <c r="W2269" s="18">
        <f>LARGE(E2270:E2295,11)</f>
        <v>0</v>
      </c>
      <c r="X2269" s="18">
        <f>LARGE(E2270:E2295,12)</f>
        <v>0</v>
      </c>
      <c r="Y2269" s="18">
        <f>LARGE(E2270:E2295,13)</f>
        <v>0</v>
      </c>
      <c r="Z2269" s="18">
        <f>LARGE(E2270:E2295,14)</f>
        <v>0</v>
      </c>
      <c r="AA2269" s="18">
        <f>LARGE(E2270:E2295,15)</f>
        <v>0</v>
      </c>
      <c r="AB2269" s="18">
        <f>LARGE(E2270:E2295,16)</f>
        <v>0</v>
      </c>
      <c r="AC2269" s="18">
        <f>LARGE(E2270:E2295,17)</f>
        <v>0</v>
      </c>
      <c r="AD2269" s="18">
        <f>LARGE(E2270:E2296,13)</f>
        <v>0</v>
      </c>
      <c r="AE2269" s="18">
        <f>LARGE(E2270:E2295,19)</f>
        <v>0</v>
      </c>
      <c r="AF2269" s="18">
        <f>LARGE(E2270:E2295,20)</f>
        <v>0</v>
      </c>
      <c r="AG2269" s="18">
        <f>LARGE(E2270:E2295,21)</f>
        <v>0</v>
      </c>
      <c r="AH2269" s="18">
        <f>LARGE(E2270:E2295,22)</f>
        <v>0</v>
      </c>
      <c r="AI2269" s="18">
        <f>LARGE(E2270:E2295,23)</f>
        <v>0</v>
      </c>
      <c r="AJ2269" s="18">
        <f>LARGE(E2270:E2295,24)</f>
        <v>0</v>
      </c>
      <c r="AK2269" s="18">
        <f>LARGE(E2270:E2295,25)</f>
        <v>0</v>
      </c>
      <c r="AL2269" s="18">
        <f>LARGE(E2270:E2295,26)</f>
        <v>0</v>
      </c>
      <c r="AM2269" s="50">
        <f>COUNTIF(AH2270:AH2295,"&lt;&gt;"&amp;$AH$76)-(26-COUNTIF(E2270:E2295,"&gt;=0"))</f>
        <v>0</v>
      </c>
    </row>
    <row r="2270" spans="1:39">
      <c r="A2270" s="42" t="s">
        <v>246</v>
      </c>
      <c r="B2270" s="1" t="s">
        <v>20</v>
      </c>
      <c r="C2270" s="40" t="str">
        <f t="shared" si="333"/>
        <v>01-&gt;</v>
      </c>
      <c r="D2270" s="40" t="str">
        <f t="shared" ref="D2270:D2295" si="334">B2270&amp;REPT(" ",$AH$70-LEN(B2270))</f>
        <v xml:space="preserve">No pick yet                                                 </v>
      </c>
      <c r="E2270" s="52">
        <f t="shared" ref="E2270:E2295" si="335">VLOOKUP(RIGHT(B2270,LEN(B2270)-$AH$66),$H$138:$I$420,2,0)</f>
        <v>0</v>
      </c>
      <c r="F2270" s="18"/>
      <c r="M2270" s="18"/>
      <c r="N2270" s="18"/>
      <c r="O2270" s="18"/>
      <c r="P2270" s="18"/>
      <c r="Q2270" s="22"/>
      <c r="R2270" s="21"/>
      <c r="S2270" s="21"/>
      <c r="T2270" s="21"/>
      <c r="AA2270"/>
      <c r="AH2270" t="str">
        <f t="shared" ref="AH2270:AH2295" si="336">RIGHT(B2270,LEN(B2270)-$AH$66)</f>
        <v>k yet</v>
      </c>
    </row>
    <row r="2271" spans="1:39">
      <c r="A2271" s="42" t="s">
        <v>247</v>
      </c>
      <c r="B2271" s="1" t="s">
        <v>20</v>
      </c>
      <c r="C2271" s="40" t="str">
        <f t="shared" si="333"/>
        <v>02-&gt;</v>
      </c>
      <c r="D2271" s="40" t="str">
        <f t="shared" si="334"/>
        <v xml:space="preserve">No pick yet                                                 </v>
      </c>
      <c r="E2271" s="52">
        <f t="shared" si="335"/>
        <v>0</v>
      </c>
      <c r="F2271" s="18"/>
      <c r="K2271" s="22"/>
      <c r="N2271" s="22"/>
      <c r="O2271" s="22"/>
      <c r="P2271" s="22"/>
      <c r="Q2271" s="22"/>
      <c r="R2271" s="22"/>
      <c r="S2271" s="22"/>
      <c r="Z2271" s="53"/>
      <c r="AA2271"/>
      <c r="AH2271" t="str">
        <f t="shared" si="336"/>
        <v>k yet</v>
      </c>
    </row>
    <row r="2272" spans="1:39">
      <c r="A2272" s="42" t="s">
        <v>248</v>
      </c>
      <c r="B2272" s="1" t="s">
        <v>20</v>
      </c>
      <c r="C2272" s="40" t="str">
        <f t="shared" si="333"/>
        <v>03-&gt;</v>
      </c>
      <c r="D2272" s="40" t="str">
        <f t="shared" si="334"/>
        <v xml:space="preserve">No pick yet                                                 </v>
      </c>
      <c r="E2272" s="52">
        <f t="shared" si="335"/>
        <v>0</v>
      </c>
      <c r="F2272" s="18"/>
      <c r="L2272" s="21"/>
      <c r="N2272" s="22"/>
      <c r="O2272" s="22"/>
      <c r="P2272" s="18"/>
      <c r="Q2272" s="22"/>
      <c r="R2272" s="22"/>
      <c r="S2272" s="22"/>
      <c r="Z2272" s="53"/>
      <c r="AA2272"/>
      <c r="AH2272" t="str">
        <f t="shared" si="336"/>
        <v>k yet</v>
      </c>
    </row>
    <row r="2273" spans="1:34">
      <c r="A2273" s="42" t="s">
        <v>249</v>
      </c>
      <c r="B2273" s="1" t="s">
        <v>20</v>
      </c>
      <c r="C2273" s="40" t="str">
        <f t="shared" si="333"/>
        <v>04-&gt;</v>
      </c>
      <c r="D2273" s="40" t="str">
        <f t="shared" si="334"/>
        <v xml:space="preserve">No pick yet                                                 </v>
      </c>
      <c r="E2273" s="52">
        <f t="shared" si="335"/>
        <v>0</v>
      </c>
      <c r="F2273" s="18"/>
      <c r="M2273" s="18"/>
      <c r="N2273" s="18"/>
      <c r="O2273" s="18"/>
      <c r="P2273" s="18"/>
      <c r="Q2273" s="22"/>
      <c r="R2273" s="21"/>
      <c r="S2273" s="21"/>
      <c r="T2273" s="21"/>
      <c r="AA2273"/>
      <c r="AH2273" t="str">
        <f t="shared" si="336"/>
        <v>k yet</v>
      </c>
    </row>
    <row r="2274" spans="1:34">
      <c r="A2274" s="42" t="s">
        <v>250</v>
      </c>
      <c r="B2274" s="1" t="s">
        <v>20</v>
      </c>
      <c r="C2274" s="40" t="str">
        <f t="shared" si="333"/>
        <v>05-&gt;</v>
      </c>
      <c r="D2274" s="40" t="str">
        <f t="shared" si="334"/>
        <v xml:space="preserve">No pick yet                                                 </v>
      </c>
      <c r="E2274" s="52">
        <f t="shared" si="335"/>
        <v>0</v>
      </c>
      <c r="F2274" s="18"/>
      <c r="M2274" s="18"/>
      <c r="N2274" s="18"/>
      <c r="O2274" s="18"/>
      <c r="P2274" s="18"/>
      <c r="Q2274" s="22"/>
      <c r="R2274" s="21"/>
      <c r="S2274" s="21"/>
      <c r="T2274" s="21"/>
      <c r="AA2274"/>
      <c r="AH2274" t="str">
        <f t="shared" si="336"/>
        <v>k yet</v>
      </c>
    </row>
    <row r="2275" spans="1:34">
      <c r="A2275" s="42" t="s">
        <v>251</v>
      </c>
      <c r="B2275" s="1" t="s">
        <v>20</v>
      </c>
      <c r="C2275" s="40" t="str">
        <f t="shared" si="333"/>
        <v>06-&gt;</v>
      </c>
      <c r="D2275" s="40" t="str">
        <f t="shared" si="334"/>
        <v xml:space="preserve">No pick yet                                                 </v>
      </c>
      <c r="E2275" s="52">
        <f t="shared" si="335"/>
        <v>0</v>
      </c>
      <c r="F2275" s="18"/>
      <c r="M2275" s="18"/>
      <c r="N2275" s="18"/>
      <c r="O2275" s="18"/>
      <c r="P2275" s="18"/>
      <c r="Q2275" s="22"/>
      <c r="R2275" s="21"/>
      <c r="S2275" s="21"/>
      <c r="T2275" s="21"/>
      <c r="AA2275"/>
      <c r="AH2275" t="str">
        <f t="shared" si="336"/>
        <v>k yet</v>
      </c>
    </row>
    <row r="2276" spans="1:34">
      <c r="A2276" s="42" t="s">
        <v>252</v>
      </c>
      <c r="B2276" s="1" t="s">
        <v>20</v>
      </c>
      <c r="C2276" s="40" t="str">
        <f t="shared" si="333"/>
        <v>07-&gt;</v>
      </c>
      <c r="D2276" s="40" t="str">
        <f t="shared" si="334"/>
        <v xml:space="preserve">No pick yet                                                 </v>
      </c>
      <c r="E2276" s="52">
        <f t="shared" si="335"/>
        <v>0</v>
      </c>
      <c r="F2276" s="18"/>
      <c r="M2276" s="18"/>
      <c r="N2276" s="18"/>
      <c r="O2276" s="18"/>
      <c r="P2276" s="18"/>
      <c r="Q2276" s="22"/>
      <c r="R2276" s="21"/>
      <c r="S2276" s="21"/>
      <c r="T2276" s="21"/>
      <c r="AA2276"/>
      <c r="AH2276" t="str">
        <f t="shared" si="336"/>
        <v>k yet</v>
      </c>
    </row>
    <row r="2277" spans="1:34">
      <c r="A2277" s="42" t="s">
        <v>253</v>
      </c>
      <c r="B2277" s="1" t="s">
        <v>20</v>
      </c>
      <c r="C2277" s="40" t="str">
        <f t="shared" si="333"/>
        <v>08-&gt;</v>
      </c>
      <c r="D2277" s="40" t="str">
        <f t="shared" si="334"/>
        <v xml:space="preserve">No pick yet                                                 </v>
      </c>
      <c r="E2277" s="52">
        <f t="shared" si="335"/>
        <v>0</v>
      </c>
      <c r="F2277" s="18"/>
      <c r="M2277" s="18"/>
      <c r="N2277" s="18"/>
      <c r="O2277" s="18"/>
      <c r="P2277" s="18"/>
      <c r="Q2277" s="22"/>
      <c r="R2277" s="21"/>
      <c r="S2277" s="21"/>
      <c r="T2277" s="21"/>
      <c r="AA2277"/>
      <c r="AH2277" t="str">
        <f t="shared" si="336"/>
        <v>k yet</v>
      </c>
    </row>
    <row r="2278" spans="1:34">
      <c r="A2278" s="42" t="s">
        <v>254</v>
      </c>
      <c r="B2278" s="1" t="s">
        <v>20</v>
      </c>
      <c r="C2278" s="40" t="str">
        <f t="shared" si="333"/>
        <v>09-&gt;</v>
      </c>
      <c r="D2278" s="40" t="str">
        <f t="shared" si="334"/>
        <v xml:space="preserve">No pick yet                                                 </v>
      </c>
      <c r="E2278" s="52">
        <f t="shared" si="335"/>
        <v>0</v>
      </c>
      <c r="F2278" s="18"/>
      <c r="M2278" s="18"/>
      <c r="N2278" s="18"/>
      <c r="O2278" s="18"/>
      <c r="P2278" s="18"/>
      <c r="Q2278" s="22"/>
      <c r="R2278" s="21"/>
      <c r="S2278" s="21"/>
      <c r="T2278" s="21"/>
      <c r="AA2278"/>
      <c r="AH2278" t="str">
        <f t="shared" si="336"/>
        <v>k yet</v>
      </c>
    </row>
    <row r="2279" spans="1:34">
      <c r="A2279" s="42" t="s">
        <v>255</v>
      </c>
      <c r="B2279" s="1" t="s">
        <v>20</v>
      </c>
      <c r="C2279" s="40" t="str">
        <f t="shared" si="333"/>
        <v>10-&gt;</v>
      </c>
      <c r="D2279" s="40" t="str">
        <f t="shared" si="334"/>
        <v xml:space="preserve">No pick yet                                                 </v>
      </c>
      <c r="E2279" s="52">
        <f t="shared" si="335"/>
        <v>0</v>
      </c>
      <c r="F2279" s="22"/>
      <c r="M2279" s="18"/>
      <c r="N2279" s="18"/>
      <c r="O2279" s="18"/>
      <c r="P2279" s="18"/>
      <c r="Q2279" s="22"/>
      <c r="R2279" s="21"/>
      <c r="S2279" s="21"/>
      <c r="T2279" s="21"/>
      <c r="AA2279"/>
      <c r="AH2279" t="str">
        <f t="shared" si="336"/>
        <v>k yet</v>
      </c>
    </row>
    <row r="2280" spans="1:34">
      <c r="A2280" s="42" t="s">
        <v>256</v>
      </c>
      <c r="B2280" s="1" t="s">
        <v>20</v>
      </c>
      <c r="C2280" s="40" t="str">
        <f t="shared" si="333"/>
        <v>11-&gt;</v>
      </c>
      <c r="D2280" s="40" t="str">
        <f t="shared" si="334"/>
        <v xml:space="preserve">No pick yet                                                 </v>
      </c>
      <c r="E2280" s="52">
        <f t="shared" si="335"/>
        <v>0</v>
      </c>
      <c r="M2280" s="18"/>
      <c r="N2280" s="18"/>
      <c r="O2280" s="18"/>
      <c r="P2280" s="18"/>
      <c r="Q2280" s="22"/>
      <c r="R2280" s="21"/>
      <c r="S2280" s="21"/>
      <c r="T2280" s="21"/>
      <c r="AA2280"/>
      <c r="AH2280" t="str">
        <f t="shared" si="336"/>
        <v>k yet</v>
      </c>
    </row>
    <row r="2281" spans="1:34">
      <c r="A2281" s="42" t="s">
        <v>257</v>
      </c>
      <c r="B2281" s="1" t="s">
        <v>20</v>
      </c>
      <c r="C2281" s="40" t="str">
        <f t="shared" si="333"/>
        <v>12-&gt;</v>
      </c>
      <c r="D2281" s="40" t="str">
        <f t="shared" si="334"/>
        <v xml:space="preserve">No pick yet                                                 </v>
      </c>
      <c r="E2281" s="52">
        <f t="shared" si="335"/>
        <v>0</v>
      </c>
      <c r="M2281" s="18"/>
      <c r="N2281" s="18"/>
      <c r="O2281" s="18"/>
      <c r="P2281" s="18"/>
      <c r="Q2281" s="22"/>
      <c r="R2281" s="21"/>
      <c r="S2281" s="21"/>
      <c r="T2281" s="21"/>
      <c r="AA2281"/>
      <c r="AH2281" t="str">
        <f t="shared" si="336"/>
        <v>k yet</v>
      </c>
    </row>
    <row r="2282" spans="1:34">
      <c r="A2282" s="42" t="s">
        <v>258</v>
      </c>
      <c r="B2282" s="1" t="s">
        <v>20</v>
      </c>
      <c r="C2282" s="40" t="str">
        <f t="shared" si="333"/>
        <v>13-&gt;</v>
      </c>
      <c r="D2282" s="40" t="str">
        <f t="shared" si="334"/>
        <v xml:space="preserve">No pick yet                                                 </v>
      </c>
      <c r="E2282" s="52">
        <f t="shared" si="335"/>
        <v>0</v>
      </c>
      <c r="M2282" s="18"/>
      <c r="N2282" s="18"/>
      <c r="O2282" s="18"/>
      <c r="P2282" s="18"/>
      <c r="Q2282" s="22"/>
      <c r="R2282" s="21"/>
      <c r="S2282" s="21"/>
      <c r="T2282" s="21"/>
      <c r="AA2282"/>
      <c r="AH2282" t="str">
        <f t="shared" si="336"/>
        <v>k yet</v>
      </c>
    </row>
    <row r="2283" spans="1:34">
      <c r="A2283" s="42" t="s">
        <v>259</v>
      </c>
      <c r="B2283" s="1" t="s">
        <v>20</v>
      </c>
      <c r="C2283" s="40" t="str">
        <f t="shared" si="333"/>
        <v>14-&gt;</v>
      </c>
      <c r="D2283" s="40" t="str">
        <f t="shared" si="334"/>
        <v xml:space="preserve">No pick yet                                                 </v>
      </c>
      <c r="E2283" s="52">
        <f t="shared" si="335"/>
        <v>0</v>
      </c>
      <c r="M2283" s="18"/>
      <c r="N2283" s="18"/>
      <c r="O2283" s="18"/>
      <c r="P2283" s="18"/>
      <c r="Q2283" s="22"/>
      <c r="R2283" s="21"/>
      <c r="S2283" s="21"/>
      <c r="T2283" s="21"/>
      <c r="AA2283"/>
      <c r="AH2283" t="str">
        <f t="shared" si="336"/>
        <v>k yet</v>
      </c>
    </row>
    <row r="2284" spans="1:34">
      <c r="A2284" s="42" t="s">
        <v>260</v>
      </c>
      <c r="B2284" s="1" t="s">
        <v>20</v>
      </c>
      <c r="C2284" s="40" t="str">
        <f t="shared" si="333"/>
        <v>15-&gt;</v>
      </c>
      <c r="D2284" s="40" t="str">
        <f t="shared" si="334"/>
        <v xml:space="preserve">No pick yet                                                 </v>
      </c>
      <c r="E2284" s="52">
        <f t="shared" si="335"/>
        <v>0</v>
      </c>
      <c r="M2284" s="18"/>
      <c r="N2284" s="18"/>
      <c r="O2284" s="18"/>
      <c r="P2284" s="18"/>
      <c r="Q2284" s="22"/>
      <c r="R2284" s="21"/>
      <c r="S2284" s="21"/>
      <c r="T2284" s="21"/>
      <c r="AA2284"/>
      <c r="AH2284" t="str">
        <f t="shared" si="336"/>
        <v>k yet</v>
      </c>
    </row>
    <row r="2285" spans="1:34">
      <c r="A2285" s="42" t="s">
        <v>261</v>
      </c>
      <c r="B2285" s="1" t="s">
        <v>20</v>
      </c>
      <c r="C2285" s="40" t="str">
        <f t="shared" si="333"/>
        <v>16-&gt;</v>
      </c>
      <c r="D2285" s="40" t="str">
        <f t="shared" si="334"/>
        <v xml:space="preserve">No pick yet                                                 </v>
      </c>
      <c r="E2285" s="52">
        <f t="shared" si="335"/>
        <v>0</v>
      </c>
      <c r="M2285" s="18"/>
      <c r="N2285" s="18"/>
      <c r="O2285" s="18"/>
      <c r="P2285" s="18"/>
      <c r="Q2285" s="22"/>
      <c r="R2285" s="21"/>
      <c r="S2285" s="21"/>
      <c r="T2285" s="21"/>
      <c r="AA2285"/>
      <c r="AH2285" t="str">
        <f t="shared" si="336"/>
        <v>k yet</v>
      </c>
    </row>
    <row r="2286" spans="1:34">
      <c r="A2286" s="42" t="s">
        <v>262</v>
      </c>
      <c r="B2286" s="1" t="s">
        <v>20</v>
      </c>
      <c r="C2286" s="40" t="str">
        <f t="shared" si="333"/>
        <v>17-&gt;</v>
      </c>
      <c r="D2286" s="40" t="str">
        <f t="shared" si="334"/>
        <v xml:space="preserve">No pick yet                                                 </v>
      </c>
      <c r="E2286" s="52">
        <f t="shared" si="335"/>
        <v>0</v>
      </c>
      <c r="K2286" s="22"/>
      <c r="N2286" s="22"/>
      <c r="O2286" s="22"/>
      <c r="P2286" s="22"/>
      <c r="Q2286" s="22"/>
      <c r="R2286" s="22"/>
      <c r="S2286" s="22"/>
      <c r="Z2286" s="53"/>
      <c r="AA2286"/>
      <c r="AH2286" t="str">
        <f t="shared" si="336"/>
        <v>k yet</v>
      </c>
    </row>
    <row r="2287" spans="1:34">
      <c r="A2287" s="42" t="s">
        <v>263</v>
      </c>
      <c r="B2287" s="1" t="s">
        <v>20</v>
      </c>
      <c r="C2287" s="40" t="str">
        <f t="shared" si="333"/>
        <v>18-&gt;</v>
      </c>
      <c r="D2287" s="40" t="str">
        <f t="shared" si="334"/>
        <v xml:space="preserve">No pick yet                                                 </v>
      </c>
      <c r="E2287" s="52">
        <f t="shared" si="335"/>
        <v>0</v>
      </c>
      <c r="F2287" s="18"/>
      <c r="L2287" s="21"/>
      <c r="N2287" s="22"/>
      <c r="O2287" s="22"/>
      <c r="P2287" s="18"/>
      <c r="Q2287" s="22"/>
      <c r="R2287" s="22"/>
      <c r="S2287" s="22"/>
      <c r="Z2287" s="53"/>
      <c r="AA2287"/>
      <c r="AH2287" t="str">
        <f t="shared" si="336"/>
        <v>k yet</v>
      </c>
    </row>
    <row r="2288" spans="1:34">
      <c r="A2288" s="42" t="s">
        <v>264</v>
      </c>
      <c r="B2288" s="1" t="s">
        <v>20</v>
      </c>
      <c r="C2288" s="40" t="str">
        <f t="shared" si="333"/>
        <v>19-&gt;</v>
      </c>
      <c r="D2288" s="40" t="str">
        <f t="shared" si="334"/>
        <v xml:space="preserve">No pick yet                                                 </v>
      </c>
      <c r="E2288" s="52">
        <f t="shared" si="335"/>
        <v>0</v>
      </c>
      <c r="F2288" s="18"/>
      <c r="M2288" s="18"/>
      <c r="N2288" s="18"/>
      <c r="O2288" s="18"/>
      <c r="P2288" s="18"/>
      <c r="Q2288" s="22"/>
      <c r="R2288" s="21"/>
      <c r="S2288" s="21"/>
      <c r="T2288" s="21"/>
      <c r="AA2288"/>
      <c r="AH2288" t="str">
        <f t="shared" si="336"/>
        <v>k yet</v>
      </c>
    </row>
    <row r="2289" spans="1:39">
      <c r="A2289" s="42" t="s">
        <v>265</v>
      </c>
      <c r="B2289" s="1" t="s">
        <v>20</v>
      </c>
      <c r="C2289" s="40" t="str">
        <f t="shared" si="333"/>
        <v>20-&gt;</v>
      </c>
      <c r="D2289" s="40" t="str">
        <f t="shared" si="334"/>
        <v xml:space="preserve">No pick yet                                                 </v>
      </c>
      <c r="E2289" s="52">
        <f t="shared" si="335"/>
        <v>0</v>
      </c>
      <c r="F2289" s="18"/>
      <c r="M2289" s="18"/>
      <c r="N2289" s="18"/>
      <c r="O2289" s="18"/>
      <c r="P2289" s="18"/>
      <c r="Q2289" s="22"/>
      <c r="R2289" s="21"/>
      <c r="S2289" s="21"/>
      <c r="T2289" s="21"/>
      <c r="AA2289"/>
      <c r="AH2289" t="str">
        <f t="shared" si="336"/>
        <v>k yet</v>
      </c>
    </row>
    <row r="2290" spans="1:39">
      <c r="A2290" s="42" t="s">
        <v>266</v>
      </c>
      <c r="B2290" s="1" t="s">
        <v>20</v>
      </c>
      <c r="C2290" s="40" t="str">
        <f t="shared" si="333"/>
        <v>21-&gt;</v>
      </c>
      <c r="D2290" s="40" t="str">
        <f t="shared" si="334"/>
        <v xml:space="preserve">No pick yet                                                 </v>
      </c>
      <c r="E2290" s="52">
        <f t="shared" si="335"/>
        <v>0</v>
      </c>
      <c r="F2290" s="18"/>
      <c r="M2290" s="18"/>
      <c r="N2290" s="18"/>
      <c r="O2290" s="18"/>
      <c r="P2290" s="18"/>
      <c r="Q2290" s="22"/>
      <c r="R2290" s="21"/>
      <c r="S2290" s="21"/>
      <c r="T2290" s="21"/>
      <c r="AA2290"/>
      <c r="AH2290" t="str">
        <f t="shared" si="336"/>
        <v>k yet</v>
      </c>
    </row>
    <row r="2291" spans="1:39">
      <c r="A2291" s="42" t="s">
        <v>267</v>
      </c>
      <c r="B2291" s="1" t="s">
        <v>20</v>
      </c>
      <c r="C2291" s="40" t="str">
        <f t="shared" si="333"/>
        <v>22-&gt;</v>
      </c>
      <c r="D2291" s="40" t="str">
        <f t="shared" si="334"/>
        <v xml:space="preserve">No pick yet                                                 </v>
      </c>
      <c r="E2291" s="52">
        <f t="shared" si="335"/>
        <v>0</v>
      </c>
      <c r="F2291" s="18"/>
      <c r="M2291" s="18"/>
      <c r="N2291" s="18"/>
      <c r="O2291" s="18"/>
      <c r="P2291" s="18"/>
      <c r="Q2291" s="22"/>
      <c r="R2291" s="21"/>
      <c r="S2291" s="21"/>
      <c r="T2291" s="21"/>
      <c r="AA2291"/>
      <c r="AH2291" t="str">
        <f t="shared" si="336"/>
        <v>k yet</v>
      </c>
    </row>
    <row r="2292" spans="1:39">
      <c r="A2292" s="42" t="s">
        <v>268</v>
      </c>
      <c r="B2292" s="1" t="s">
        <v>20</v>
      </c>
      <c r="C2292" s="40" t="str">
        <f t="shared" si="333"/>
        <v>23-&gt;</v>
      </c>
      <c r="D2292" s="40" t="str">
        <f t="shared" si="334"/>
        <v xml:space="preserve">No pick yet                                                 </v>
      </c>
      <c r="E2292" s="52">
        <f t="shared" si="335"/>
        <v>0</v>
      </c>
      <c r="F2292" s="18"/>
      <c r="M2292" s="18"/>
      <c r="N2292" s="18"/>
      <c r="O2292" s="18"/>
      <c r="P2292" s="18"/>
      <c r="Q2292" s="22"/>
      <c r="R2292" s="21"/>
      <c r="S2292" s="21"/>
      <c r="T2292" s="21"/>
      <c r="AA2292"/>
      <c r="AH2292" t="str">
        <f t="shared" si="336"/>
        <v>k yet</v>
      </c>
    </row>
    <row r="2293" spans="1:39">
      <c r="A2293" s="42" t="s">
        <v>269</v>
      </c>
      <c r="B2293" s="1" t="s">
        <v>20</v>
      </c>
      <c r="C2293" s="40" t="str">
        <f t="shared" si="333"/>
        <v>24-&gt;</v>
      </c>
      <c r="D2293" s="40" t="str">
        <f t="shared" si="334"/>
        <v xml:space="preserve">No pick yet                                                 </v>
      </c>
      <c r="E2293" s="52">
        <f t="shared" si="335"/>
        <v>0</v>
      </c>
      <c r="F2293" s="18"/>
      <c r="M2293" s="18"/>
      <c r="N2293" s="18"/>
      <c r="O2293" s="18"/>
      <c r="P2293" s="18"/>
      <c r="Q2293" s="22"/>
      <c r="R2293" s="21"/>
      <c r="S2293" s="21"/>
      <c r="T2293" s="21"/>
      <c r="AA2293"/>
      <c r="AH2293" t="str">
        <f t="shared" si="336"/>
        <v>k yet</v>
      </c>
    </row>
    <row r="2294" spans="1:39">
      <c r="A2294" s="42" t="s">
        <v>270</v>
      </c>
      <c r="B2294" s="1" t="s">
        <v>20</v>
      </c>
      <c r="C2294" s="40" t="str">
        <f t="shared" si="333"/>
        <v>25-&gt;</v>
      </c>
      <c r="D2294" s="40" t="str">
        <f t="shared" si="334"/>
        <v xml:space="preserve">No pick yet                                                 </v>
      </c>
      <c r="E2294" s="52">
        <f t="shared" si="335"/>
        <v>0</v>
      </c>
      <c r="F2294" s="18"/>
      <c r="M2294" s="18"/>
      <c r="N2294" s="18"/>
      <c r="O2294" s="18"/>
      <c r="P2294" s="18"/>
      <c r="Q2294" s="22"/>
      <c r="R2294" s="21"/>
      <c r="S2294" s="21"/>
      <c r="T2294" s="21"/>
      <c r="AA2294"/>
      <c r="AH2294" t="str">
        <f t="shared" si="336"/>
        <v>k yet</v>
      </c>
    </row>
    <row r="2295" spans="1:39">
      <c r="A2295" s="42" t="s">
        <v>271</v>
      </c>
      <c r="B2295" s="1" t="s">
        <v>20</v>
      </c>
      <c r="C2295" s="40" t="str">
        <f t="shared" si="333"/>
        <v>26-&gt;</v>
      </c>
      <c r="D2295" s="40" t="str">
        <f t="shared" si="334"/>
        <v xml:space="preserve">No pick yet                                                 </v>
      </c>
      <c r="E2295" s="52">
        <f t="shared" si="335"/>
        <v>0</v>
      </c>
      <c r="F2295" s="18"/>
      <c r="M2295" s="18"/>
      <c r="N2295" s="18"/>
      <c r="O2295" s="18"/>
      <c r="P2295" s="18"/>
      <c r="Q2295" s="22"/>
      <c r="R2295" s="21"/>
      <c r="S2295" s="21"/>
      <c r="T2295" s="21"/>
      <c r="AA2295"/>
      <c r="AH2295" t="str">
        <f t="shared" si="336"/>
        <v>k yet</v>
      </c>
    </row>
    <row r="2296" spans="1:39">
      <c r="A2296" s="38"/>
      <c r="B2296" s="40"/>
      <c r="C2296" s="40"/>
      <c r="D2296" s="49"/>
      <c r="E2296" s="41" t="s">
        <v>69</v>
      </c>
      <c r="F2296" s="18"/>
      <c r="K2296" s="22" t="s">
        <v>73</v>
      </c>
      <c r="L2296" s="18" t="s">
        <v>74</v>
      </c>
      <c r="M2296" s="22" t="s">
        <v>78</v>
      </c>
      <c r="N2296" s="22" t="s">
        <v>79</v>
      </c>
      <c r="O2296" s="22" t="s">
        <v>80</v>
      </c>
      <c r="P2296" s="22" t="s">
        <v>81</v>
      </c>
      <c r="Q2296" s="22" t="s">
        <v>82</v>
      </c>
      <c r="R2296" s="22" t="s">
        <v>83</v>
      </c>
      <c r="S2296" s="22" t="s">
        <v>84</v>
      </c>
      <c r="T2296" s="18" t="s">
        <v>85</v>
      </c>
      <c r="U2296" s="18" t="s">
        <v>86</v>
      </c>
      <c r="V2296" s="18" t="s">
        <v>87</v>
      </c>
      <c r="W2296" s="18" t="s">
        <v>88</v>
      </c>
      <c r="X2296" s="18" t="s">
        <v>89</v>
      </c>
      <c r="Y2296" s="18" t="s">
        <v>90</v>
      </c>
      <c r="Z2296" s="18" t="s">
        <v>91</v>
      </c>
      <c r="AA2296" s="18" t="s">
        <v>92</v>
      </c>
      <c r="AB2296" s="18" t="s">
        <v>93</v>
      </c>
      <c r="AC2296" s="18" t="s">
        <v>94</v>
      </c>
      <c r="AD2296" s="18" t="s">
        <v>235</v>
      </c>
      <c r="AE2296" s="18" t="s">
        <v>236</v>
      </c>
      <c r="AF2296" s="18" t="s">
        <v>237</v>
      </c>
      <c r="AG2296" s="18" t="s">
        <v>238</v>
      </c>
      <c r="AH2296" s="18" t="s">
        <v>239</v>
      </c>
      <c r="AI2296" s="18" t="s">
        <v>240</v>
      </c>
      <c r="AJ2296" s="18" t="s">
        <v>241</v>
      </c>
      <c r="AK2296" s="18" t="s">
        <v>242</v>
      </c>
      <c r="AL2296" s="18" t="s">
        <v>243</v>
      </c>
      <c r="AM2296" s="50" t="s">
        <v>244</v>
      </c>
    </row>
    <row r="2297" spans="1:39">
      <c r="A2297" s="40" t="s">
        <v>245</v>
      </c>
      <c r="B2297" s="51" t="str">
        <f>D81</f>
        <v/>
      </c>
      <c r="C2297" s="40" t="str">
        <f t="shared" ref="C2297:C2323" si="337">A2297</f>
        <v>#</v>
      </c>
      <c r="D2297" s="40" t="str">
        <f>"   "&amp;B2297&amp;REPT(" ",$AH$70-LEN(B2297)-3)</f>
        <v xml:space="preserve">                                                            </v>
      </c>
      <c r="E2297" s="38" t="str">
        <f>SUM(E2298:E2323)&amp;" pts[/b]"</f>
        <v>0 pts[/b]</v>
      </c>
      <c r="F2297" s="21">
        <f>SUM(E2298:E2323)</f>
        <v>0</v>
      </c>
      <c r="K2297" s="18">
        <f>COUNTIF(E2298:E2323,"&gt;0")</f>
        <v>0</v>
      </c>
      <c r="L2297" s="21">
        <f>AM2297-K2297</f>
        <v>0</v>
      </c>
      <c r="M2297" s="22">
        <f>MAX(E2298:E2323)</f>
        <v>0</v>
      </c>
      <c r="N2297" s="22">
        <f>LARGE(E2298:E2323,2)</f>
        <v>0</v>
      </c>
      <c r="O2297" s="22">
        <f>LARGE(E2298:E2323,3)</f>
        <v>0</v>
      </c>
      <c r="P2297" s="18">
        <f>LARGE(E2298:E2323,4)</f>
        <v>0</v>
      </c>
      <c r="Q2297" s="22">
        <f>LARGE(E2298:E2323,5)</f>
        <v>0</v>
      </c>
      <c r="R2297" s="22">
        <f>LARGE(E2298:E2323,6)</f>
        <v>0</v>
      </c>
      <c r="S2297" s="22">
        <f>LARGE(E2298:E2323,7)</f>
        <v>0</v>
      </c>
      <c r="T2297" s="18">
        <f>LARGE(E2298:E2323,8)</f>
        <v>0</v>
      </c>
      <c r="U2297" s="18">
        <f>LARGE(E2298:E2323,9)</f>
        <v>0</v>
      </c>
      <c r="V2297" s="18">
        <f>LARGE(E2298:E2323,10)</f>
        <v>0</v>
      </c>
      <c r="W2297" s="18">
        <f>LARGE(E2298:E2323,11)</f>
        <v>0</v>
      </c>
      <c r="X2297" s="18">
        <f>LARGE(E2298:E2323,12)</f>
        <v>0</v>
      </c>
      <c r="Y2297" s="18">
        <f>LARGE(E2298:E2323,13)</f>
        <v>0</v>
      </c>
      <c r="Z2297" s="18">
        <f>LARGE(E2298:E2323,14)</f>
        <v>0</v>
      </c>
      <c r="AA2297" s="18">
        <f>LARGE(E2298:E2323,15)</f>
        <v>0</v>
      </c>
      <c r="AB2297" s="18">
        <f>LARGE(E2298:E2323,16)</f>
        <v>0</v>
      </c>
      <c r="AC2297" s="18">
        <f>LARGE(E2298:E2323,17)</f>
        <v>0</v>
      </c>
      <c r="AD2297" s="18">
        <f>LARGE(E2298:E2324,13)</f>
        <v>0</v>
      </c>
      <c r="AE2297" s="18">
        <f>LARGE(E2298:E2323,19)</f>
        <v>0</v>
      </c>
      <c r="AF2297" s="18">
        <f>LARGE(E2298:E2323,20)</f>
        <v>0</v>
      </c>
      <c r="AG2297" s="18">
        <f>LARGE(E2298:E2323,21)</f>
        <v>0</v>
      </c>
      <c r="AH2297" s="18">
        <f>LARGE(E2298:E2323,22)</f>
        <v>0</v>
      </c>
      <c r="AI2297" s="18">
        <f>LARGE(E2298:E2323,23)</f>
        <v>0</v>
      </c>
      <c r="AJ2297" s="18">
        <f>LARGE(E2298:E2323,24)</f>
        <v>0</v>
      </c>
      <c r="AK2297" s="18">
        <f>LARGE(E2298:E2323,25)</f>
        <v>0</v>
      </c>
      <c r="AL2297" s="18">
        <f>LARGE(E2298:E2323,26)</f>
        <v>0</v>
      </c>
      <c r="AM2297" s="50">
        <f>COUNTIF(AH2298:AH2323,"&lt;&gt;"&amp;$AH$76)-(26-COUNTIF(E2298:E2323,"&gt;=0"))</f>
        <v>0</v>
      </c>
    </row>
    <row r="2298" spans="1:39">
      <c r="A2298" s="42" t="s">
        <v>246</v>
      </c>
      <c r="B2298" s="1" t="s">
        <v>20</v>
      </c>
      <c r="C2298" s="40" t="str">
        <f t="shared" si="337"/>
        <v>01-&gt;</v>
      </c>
      <c r="D2298" s="40" t="str">
        <f t="shared" ref="D2298:D2323" si="338">B2298&amp;REPT(" ",$AH$70-LEN(B2298))</f>
        <v xml:space="preserve">No pick yet                                                 </v>
      </c>
      <c r="E2298" s="52">
        <f t="shared" ref="E2298:E2323" si="339">VLOOKUP(RIGHT(B2298,LEN(B2298)-$AH$66),$H$138:$I$420,2,0)</f>
        <v>0</v>
      </c>
      <c r="F2298" s="18"/>
      <c r="M2298" s="18"/>
      <c r="N2298" s="18"/>
      <c r="O2298" s="18"/>
      <c r="P2298" s="18"/>
      <c r="Q2298" s="22"/>
      <c r="R2298" s="21"/>
      <c r="S2298" s="21"/>
      <c r="T2298" s="21"/>
      <c r="AA2298"/>
      <c r="AH2298" t="str">
        <f t="shared" ref="AH2298:AH2323" si="340">RIGHT(B2298,LEN(B2298)-$AH$66)</f>
        <v>k yet</v>
      </c>
    </row>
    <row r="2299" spans="1:39">
      <c r="A2299" s="42" t="s">
        <v>247</v>
      </c>
      <c r="B2299" s="1" t="s">
        <v>20</v>
      </c>
      <c r="C2299" s="40" t="str">
        <f t="shared" si="337"/>
        <v>02-&gt;</v>
      </c>
      <c r="D2299" s="40" t="str">
        <f t="shared" si="338"/>
        <v xml:space="preserve">No pick yet                                                 </v>
      </c>
      <c r="E2299" s="52">
        <f t="shared" si="339"/>
        <v>0</v>
      </c>
      <c r="F2299" s="18"/>
      <c r="K2299" s="22"/>
      <c r="N2299" s="22"/>
      <c r="O2299" s="22"/>
      <c r="P2299" s="22"/>
      <c r="Q2299" s="22"/>
      <c r="R2299" s="22"/>
      <c r="S2299" s="22"/>
      <c r="Z2299" s="53"/>
      <c r="AA2299"/>
      <c r="AH2299" t="str">
        <f t="shared" si="340"/>
        <v>k yet</v>
      </c>
    </row>
    <row r="2300" spans="1:39">
      <c r="A2300" s="42" t="s">
        <v>248</v>
      </c>
      <c r="B2300" s="1" t="s">
        <v>20</v>
      </c>
      <c r="C2300" s="40" t="str">
        <f t="shared" si="337"/>
        <v>03-&gt;</v>
      </c>
      <c r="D2300" s="40" t="str">
        <f t="shared" si="338"/>
        <v xml:space="preserve">No pick yet                                                 </v>
      </c>
      <c r="E2300" s="52">
        <f t="shared" si="339"/>
        <v>0</v>
      </c>
      <c r="F2300" s="18"/>
      <c r="L2300" s="21"/>
      <c r="N2300" s="22"/>
      <c r="O2300" s="22"/>
      <c r="P2300" s="18"/>
      <c r="Q2300" s="22"/>
      <c r="R2300" s="22"/>
      <c r="S2300" s="22"/>
      <c r="Z2300" s="53"/>
      <c r="AA2300"/>
      <c r="AH2300" t="str">
        <f t="shared" si="340"/>
        <v>k yet</v>
      </c>
    </row>
    <row r="2301" spans="1:39">
      <c r="A2301" s="42" t="s">
        <v>249</v>
      </c>
      <c r="B2301" s="1" t="s">
        <v>20</v>
      </c>
      <c r="C2301" s="40" t="str">
        <f t="shared" si="337"/>
        <v>04-&gt;</v>
      </c>
      <c r="D2301" s="40" t="str">
        <f t="shared" si="338"/>
        <v xml:space="preserve">No pick yet                                                 </v>
      </c>
      <c r="E2301" s="52">
        <f t="shared" si="339"/>
        <v>0</v>
      </c>
      <c r="F2301" s="18"/>
      <c r="M2301" s="18"/>
      <c r="N2301" s="18"/>
      <c r="O2301" s="18"/>
      <c r="P2301" s="18"/>
      <c r="Q2301" s="22"/>
      <c r="R2301" s="21"/>
      <c r="S2301" s="21"/>
      <c r="T2301" s="21"/>
      <c r="AA2301"/>
      <c r="AH2301" t="str">
        <f t="shared" si="340"/>
        <v>k yet</v>
      </c>
    </row>
    <row r="2302" spans="1:39">
      <c r="A2302" s="42" t="s">
        <v>250</v>
      </c>
      <c r="B2302" s="1" t="s">
        <v>20</v>
      </c>
      <c r="C2302" s="40" t="str">
        <f t="shared" si="337"/>
        <v>05-&gt;</v>
      </c>
      <c r="D2302" s="40" t="str">
        <f t="shared" si="338"/>
        <v xml:space="preserve">No pick yet                                                 </v>
      </c>
      <c r="E2302" s="52">
        <f t="shared" si="339"/>
        <v>0</v>
      </c>
      <c r="F2302" s="18"/>
      <c r="M2302" s="18"/>
      <c r="N2302" s="18"/>
      <c r="O2302" s="18"/>
      <c r="P2302" s="18"/>
      <c r="Q2302" s="22"/>
      <c r="R2302" s="21"/>
      <c r="S2302" s="21"/>
      <c r="T2302" s="21"/>
      <c r="AA2302"/>
      <c r="AH2302" t="str">
        <f t="shared" si="340"/>
        <v>k yet</v>
      </c>
    </row>
    <row r="2303" spans="1:39">
      <c r="A2303" s="42" t="s">
        <v>251</v>
      </c>
      <c r="B2303" s="1" t="s">
        <v>20</v>
      </c>
      <c r="C2303" s="40" t="str">
        <f t="shared" si="337"/>
        <v>06-&gt;</v>
      </c>
      <c r="D2303" s="40" t="str">
        <f t="shared" si="338"/>
        <v xml:space="preserve">No pick yet                                                 </v>
      </c>
      <c r="E2303" s="52">
        <f t="shared" si="339"/>
        <v>0</v>
      </c>
      <c r="F2303" s="18"/>
      <c r="M2303" s="18"/>
      <c r="N2303" s="18"/>
      <c r="O2303" s="18"/>
      <c r="P2303" s="18"/>
      <c r="Q2303" s="22"/>
      <c r="R2303" s="21"/>
      <c r="S2303" s="21"/>
      <c r="T2303" s="21"/>
      <c r="AA2303"/>
      <c r="AH2303" t="str">
        <f t="shared" si="340"/>
        <v>k yet</v>
      </c>
    </row>
    <row r="2304" spans="1:39">
      <c r="A2304" s="42" t="s">
        <v>252</v>
      </c>
      <c r="B2304" s="1" t="s">
        <v>20</v>
      </c>
      <c r="C2304" s="40" t="str">
        <f t="shared" si="337"/>
        <v>07-&gt;</v>
      </c>
      <c r="D2304" s="40" t="str">
        <f t="shared" si="338"/>
        <v xml:space="preserve">No pick yet                                                 </v>
      </c>
      <c r="E2304" s="52">
        <f t="shared" si="339"/>
        <v>0</v>
      </c>
      <c r="F2304" s="18"/>
      <c r="M2304" s="18"/>
      <c r="N2304" s="18"/>
      <c r="O2304" s="18"/>
      <c r="P2304" s="18"/>
      <c r="Q2304" s="22"/>
      <c r="R2304" s="21"/>
      <c r="S2304" s="21"/>
      <c r="T2304" s="21"/>
      <c r="AA2304"/>
      <c r="AH2304" t="str">
        <f t="shared" si="340"/>
        <v>k yet</v>
      </c>
    </row>
    <row r="2305" spans="1:34">
      <c r="A2305" s="42" t="s">
        <v>253</v>
      </c>
      <c r="B2305" s="1" t="s">
        <v>20</v>
      </c>
      <c r="C2305" s="40" t="str">
        <f t="shared" si="337"/>
        <v>08-&gt;</v>
      </c>
      <c r="D2305" s="40" t="str">
        <f t="shared" si="338"/>
        <v xml:space="preserve">No pick yet                                                 </v>
      </c>
      <c r="E2305" s="52">
        <f t="shared" si="339"/>
        <v>0</v>
      </c>
      <c r="F2305" s="18"/>
      <c r="M2305" s="18"/>
      <c r="N2305" s="18"/>
      <c r="O2305" s="18"/>
      <c r="P2305" s="18"/>
      <c r="Q2305" s="22"/>
      <c r="R2305" s="21"/>
      <c r="S2305" s="21"/>
      <c r="T2305" s="21"/>
      <c r="AA2305"/>
      <c r="AH2305" t="str">
        <f t="shared" si="340"/>
        <v>k yet</v>
      </c>
    </row>
    <row r="2306" spans="1:34">
      <c r="A2306" s="42" t="s">
        <v>254</v>
      </c>
      <c r="B2306" s="1" t="s">
        <v>20</v>
      </c>
      <c r="C2306" s="40" t="str">
        <f t="shared" si="337"/>
        <v>09-&gt;</v>
      </c>
      <c r="D2306" s="40" t="str">
        <f t="shared" si="338"/>
        <v xml:space="preserve">No pick yet                                                 </v>
      </c>
      <c r="E2306" s="52">
        <f t="shared" si="339"/>
        <v>0</v>
      </c>
      <c r="F2306" s="18"/>
      <c r="M2306" s="18"/>
      <c r="N2306" s="18"/>
      <c r="O2306" s="18"/>
      <c r="P2306" s="18"/>
      <c r="Q2306" s="22"/>
      <c r="R2306" s="21"/>
      <c r="S2306" s="21"/>
      <c r="T2306" s="21"/>
      <c r="AA2306"/>
      <c r="AH2306" t="str">
        <f t="shared" si="340"/>
        <v>k yet</v>
      </c>
    </row>
    <row r="2307" spans="1:34">
      <c r="A2307" s="42" t="s">
        <v>255</v>
      </c>
      <c r="B2307" s="1" t="s">
        <v>20</v>
      </c>
      <c r="C2307" s="40" t="str">
        <f t="shared" si="337"/>
        <v>10-&gt;</v>
      </c>
      <c r="D2307" s="40" t="str">
        <f t="shared" si="338"/>
        <v xml:space="preserve">No pick yet                                                 </v>
      </c>
      <c r="E2307" s="52">
        <f t="shared" si="339"/>
        <v>0</v>
      </c>
      <c r="F2307" s="22"/>
      <c r="M2307" s="18"/>
      <c r="N2307" s="18"/>
      <c r="O2307" s="18"/>
      <c r="P2307" s="18"/>
      <c r="Q2307" s="22"/>
      <c r="R2307" s="21"/>
      <c r="S2307" s="21"/>
      <c r="T2307" s="21"/>
      <c r="AA2307"/>
      <c r="AH2307" t="str">
        <f t="shared" si="340"/>
        <v>k yet</v>
      </c>
    </row>
    <row r="2308" spans="1:34">
      <c r="A2308" s="42" t="s">
        <v>256</v>
      </c>
      <c r="B2308" s="1" t="s">
        <v>20</v>
      </c>
      <c r="C2308" s="40" t="str">
        <f t="shared" si="337"/>
        <v>11-&gt;</v>
      </c>
      <c r="D2308" s="40" t="str">
        <f t="shared" si="338"/>
        <v xml:space="preserve">No pick yet                                                 </v>
      </c>
      <c r="E2308" s="52">
        <f t="shared" si="339"/>
        <v>0</v>
      </c>
      <c r="M2308" s="18"/>
      <c r="N2308" s="18"/>
      <c r="O2308" s="18"/>
      <c r="P2308" s="18"/>
      <c r="Q2308" s="22"/>
      <c r="R2308" s="21"/>
      <c r="S2308" s="21"/>
      <c r="T2308" s="21"/>
      <c r="AA2308"/>
      <c r="AH2308" t="str">
        <f t="shared" si="340"/>
        <v>k yet</v>
      </c>
    </row>
    <row r="2309" spans="1:34">
      <c r="A2309" s="42" t="s">
        <v>257</v>
      </c>
      <c r="B2309" s="1" t="s">
        <v>20</v>
      </c>
      <c r="C2309" s="40" t="str">
        <f t="shared" si="337"/>
        <v>12-&gt;</v>
      </c>
      <c r="D2309" s="40" t="str">
        <f t="shared" si="338"/>
        <v xml:space="preserve">No pick yet                                                 </v>
      </c>
      <c r="E2309" s="52">
        <f t="shared" si="339"/>
        <v>0</v>
      </c>
      <c r="M2309" s="18"/>
      <c r="N2309" s="18"/>
      <c r="O2309" s="18"/>
      <c r="P2309" s="18"/>
      <c r="Q2309" s="22"/>
      <c r="R2309" s="21"/>
      <c r="S2309" s="21"/>
      <c r="T2309" s="21"/>
      <c r="AA2309"/>
      <c r="AH2309" t="str">
        <f t="shared" si="340"/>
        <v>k yet</v>
      </c>
    </row>
    <row r="2310" spans="1:34">
      <c r="A2310" s="42" t="s">
        <v>258</v>
      </c>
      <c r="B2310" s="1" t="s">
        <v>20</v>
      </c>
      <c r="C2310" s="40" t="str">
        <f t="shared" si="337"/>
        <v>13-&gt;</v>
      </c>
      <c r="D2310" s="40" t="str">
        <f t="shared" si="338"/>
        <v xml:space="preserve">No pick yet                                                 </v>
      </c>
      <c r="E2310" s="52">
        <f t="shared" si="339"/>
        <v>0</v>
      </c>
      <c r="M2310" s="18"/>
      <c r="N2310" s="18"/>
      <c r="O2310" s="18"/>
      <c r="P2310" s="18"/>
      <c r="Q2310" s="22"/>
      <c r="R2310" s="21"/>
      <c r="S2310" s="21"/>
      <c r="T2310" s="21"/>
      <c r="AA2310"/>
      <c r="AH2310" t="str">
        <f t="shared" si="340"/>
        <v>k yet</v>
      </c>
    </row>
    <row r="2311" spans="1:34">
      <c r="A2311" s="42" t="s">
        <v>259</v>
      </c>
      <c r="B2311" s="1" t="s">
        <v>20</v>
      </c>
      <c r="C2311" s="40" t="str">
        <f t="shared" si="337"/>
        <v>14-&gt;</v>
      </c>
      <c r="D2311" s="40" t="str">
        <f t="shared" si="338"/>
        <v xml:space="preserve">No pick yet                                                 </v>
      </c>
      <c r="E2311" s="52">
        <f t="shared" si="339"/>
        <v>0</v>
      </c>
      <c r="M2311" s="18"/>
      <c r="N2311" s="18"/>
      <c r="O2311" s="18"/>
      <c r="P2311" s="18"/>
      <c r="Q2311" s="22"/>
      <c r="R2311" s="21"/>
      <c r="S2311" s="21"/>
      <c r="T2311" s="21"/>
      <c r="AA2311"/>
      <c r="AH2311" t="str">
        <f t="shared" si="340"/>
        <v>k yet</v>
      </c>
    </row>
    <row r="2312" spans="1:34">
      <c r="A2312" s="42" t="s">
        <v>260</v>
      </c>
      <c r="B2312" s="1" t="s">
        <v>20</v>
      </c>
      <c r="C2312" s="40" t="str">
        <f t="shared" si="337"/>
        <v>15-&gt;</v>
      </c>
      <c r="D2312" s="40" t="str">
        <f t="shared" si="338"/>
        <v xml:space="preserve">No pick yet                                                 </v>
      </c>
      <c r="E2312" s="52">
        <f t="shared" si="339"/>
        <v>0</v>
      </c>
      <c r="M2312" s="18"/>
      <c r="N2312" s="18"/>
      <c r="O2312" s="18"/>
      <c r="P2312" s="18"/>
      <c r="Q2312" s="22"/>
      <c r="R2312" s="21"/>
      <c r="S2312" s="21"/>
      <c r="T2312" s="21"/>
      <c r="AA2312"/>
      <c r="AH2312" t="str">
        <f t="shared" si="340"/>
        <v>k yet</v>
      </c>
    </row>
    <row r="2313" spans="1:34">
      <c r="A2313" s="42" t="s">
        <v>261</v>
      </c>
      <c r="B2313" s="1" t="s">
        <v>20</v>
      </c>
      <c r="C2313" s="40" t="str">
        <f t="shared" si="337"/>
        <v>16-&gt;</v>
      </c>
      <c r="D2313" s="40" t="str">
        <f t="shared" si="338"/>
        <v xml:space="preserve">No pick yet                                                 </v>
      </c>
      <c r="E2313" s="52">
        <f t="shared" si="339"/>
        <v>0</v>
      </c>
      <c r="M2313" s="18"/>
      <c r="N2313" s="18"/>
      <c r="O2313" s="18"/>
      <c r="P2313" s="18"/>
      <c r="Q2313" s="22"/>
      <c r="R2313" s="21"/>
      <c r="S2313" s="21"/>
      <c r="T2313" s="21"/>
      <c r="AA2313"/>
      <c r="AH2313" t="str">
        <f t="shared" si="340"/>
        <v>k yet</v>
      </c>
    </row>
    <row r="2314" spans="1:34">
      <c r="A2314" s="42" t="s">
        <v>262</v>
      </c>
      <c r="B2314" s="1" t="s">
        <v>20</v>
      </c>
      <c r="C2314" s="40" t="str">
        <f t="shared" si="337"/>
        <v>17-&gt;</v>
      </c>
      <c r="D2314" s="40" t="str">
        <f t="shared" si="338"/>
        <v xml:space="preserve">No pick yet                                                 </v>
      </c>
      <c r="E2314" s="52">
        <f t="shared" si="339"/>
        <v>0</v>
      </c>
      <c r="K2314" s="22"/>
      <c r="N2314" s="22"/>
      <c r="O2314" s="22"/>
      <c r="P2314" s="22"/>
      <c r="Q2314" s="22"/>
      <c r="R2314" s="22"/>
      <c r="S2314" s="22"/>
      <c r="Z2314" s="53"/>
      <c r="AA2314"/>
      <c r="AH2314" t="str">
        <f t="shared" si="340"/>
        <v>k yet</v>
      </c>
    </row>
    <row r="2315" spans="1:34">
      <c r="A2315" s="42" t="s">
        <v>263</v>
      </c>
      <c r="B2315" s="1" t="s">
        <v>20</v>
      </c>
      <c r="C2315" s="40" t="str">
        <f t="shared" si="337"/>
        <v>18-&gt;</v>
      </c>
      <c r="D2315" s="40" t="str">
        <f t="shared" si="338"/>
        <v xml:space="preserve">No pick yet                                                 </v>
      </c>
      <c r="E2315" s="52">
        <f t="shared" si="339"/>
        <v>0</v>
      </c>
      <c r="F2315" s="18"/>
      <c r="L2315" s="21"/>
      <c r="N2315" s="22"/>
      <c r="O2315" s="22"/>
      <c r="P2315" s="18"/>
      <c r="Q2315" s="22"/>
      <c r="R2315" s="22"/>
      <c r="S2315" s="22"/>
      <c r="Z2315" s="53"/>
      <c r="AA2315"/>
      <c r="AH2315" t="str">
        <f t="shared" si="340"/>
        <v>k yet</v>
      </c>
    </row>
    <row r="2316" spans="1:34">
      <c r="A2316" s="42" t="s">
        <v>264</v>
      </c>
      <c r="B2316" s="1" t="s">
        <v>20</v>
      </c>
      <c r="C2316" s="40" t="str">
        <f t="shared" si="337"/>
        <v>19-&gt;</v>
      </c>
      <c r="D2316" s="40" t="str">
        <f t="shared" si="338"/>
        <v xml:space="preserve">No pick yet                                                 </v>
      </c>
      <c r="E2316" s="52">
        <f t="shared" si="339"/>
        <v>0</v>
      </c>
      <c r="F2316" s="18"/>
      <c r="M2316" s="18"/>
      <c r="N2316" s="18"/>
      <c r="O2316" s="18"/>
      <c r="P2316" s="18"/>
      <c r="Q2316" s="22"/>
      <c r="R2316" s="21"/>
      <c r="S2316" s="21"/>
      <c r="T2316" s="21"/>
      <c r="AA2316"/>
      <c r="AH2316" t="str">
        <f t="shared" si="340"/>
        <v>k yet</v>
      </c>
    </row>
    <row r="2317" spans="1:34">
      <c r="A2317" s="42" t="s">
        <v>265</v>
      </c>
      <c r="B2317" s="1" t="s">
        <v>20</v>
      </c>
      <c r="C2317" s="40" t="str">
        <f t="shared" si="337"/>
        <v>20-&gt;</v>
      </c>
      <c r="D2317" s="40" t="str">
        <f t="shared" si="338"/>
        <v xml:space="preserve">No pick yet                                                 </v>
      </c>
      <c r="E2317" s="52">
        <f t="shared" si="339"/>
        <v>0</v>
      </c>
      <c r="F2317" s="18"/>
      <c r="M2317" s="18"/>
      <c r="N2317" s="18"/>
      <c r="O2317" s="18"/>
      <c r="P2317" s="18"/>
      <c r="Q2317" s="22"/>
      <c r="R2317" s="21"/>
      <c r="S2317" s="21"/>
      <c r="T2317" s="21"/>
      <c r="AA2317"/>
      <c r="AH2317" t="str">
        <f t="shared" si="340"/>
        <v>k yet</v>
      </c>
    </row>
    <row r="2318" spans="1:34">
      <c r="A2318" s="42" t="s">
        <v>266</v>
      </c>
      <c r="B2318" s="1" t="s">
        <v>20</v>
      </c>
      <c r="C2318" s="40" t="str">
        <f t="shared" si="337"/>
        <v>21-&gt;</v>
      </c>
      <c r="D2318" s="40" t="str">
        <f t="shared" si="338"/>
        <v xml:space="preserve">No pick yet                                                 </v>
      </c>
      <c r="E2318" s="52">
        <f t="shared" si="339"/>
        <v>0</v>
      </c>
      <c r="F2318" s="18"/>
      <c r="M2318" s="18"/>
      <c r="N2318" s="18"/>
      <c r="O2318" s="18"/>
      <c r="P2318" s="18"/>
      <c r="Q2318" s="22"/>
      <c r="R2318" s="21"/>
      <c r="S2318" s="21"/>
      <c r="T2318" s="21"/>
      <c r="AA2318"/>
      <c r="AH2318" t="str">
        <f t="shared" si="340"/>
        <v>k yet</v>
      </c>
    </row>
    <row r="2319" spans="1:34">
      <c r="A2319" s="42" t="s">
        <v>267</v>
      </c>
      <c r="B2319" s="1" t="s">
        <v>20</v>
      </c>
      <c r="C2319" s="40" t="str">
        <f t="shared" si="337"/>
        <v>22-&gt;</v>
      </c>
      <c r="D2319" s="40" t="str">
        <f t="shared" si="338"/>
        <v xml:space="preserve">No pick yet                                                 </v>
      </c>
      <c r="E2319" s="52">
        <f t="shared" si="339"/>
        <v>0</v>
      </c>
      <c r="F2319" s="18"/>
      <c r="M2319" s="18"/>
      <c r="N2319" s="18"/>
      <c r="O2319" s="18"/>
      <c r="P2319" s="18"/>
      <c r="Q2319" s="22"/>
      <c r="R2319" s="21"/>
      <c r="S2319" s="21"/>
      <c r="T2319" s="21"/>
      <c r="AA2319"/>
      <c r="AH2319" t="str">
        <f t="shared" si="340"/>
        <v>k yet</v>
      </c>
    </row>
    <row r="2320" spans="1:34">
      <c r="A2320" s="42" t="s">
        <v>268</v>
      </c>
      <c r="B2320" s="1" t="s">
        <v>20</v>
      </c>
      <c r="C2320" s="40" t="str">
        <f t="shared" si="337"/>
        <v>23-&gt;</v>
      </c>
      <c r="D2320" s="40" t="str">
        <f t="shared" si="338"/>
        <v xml:space="preserve">No pick yet                                                 </v>
      </c>
      <c r="E2320" s="52">
        <f t="shared" si="339"/>
        <v>0</v>
      </c>
      <c r="F2320" s="18"/>
      <c r="M2320" s="18"/>
      <c r="N2320" s="18"/>
      <c r="O2320" s="18"/>
      <c r="P2320" s="18"/>
      <c r="Q2320" s="22"/>
      <c r="R2320" s="21"/>
      <c r="S2320" s="21"/>
      <c r="T2320" s="21"/>
      <c r="AA2320"/>
      <c r="AH2320" t="str">
        <f t="shared" si="340"/>
        <v>k yet</v>
      </c>
    </row>
    <row r="2321" spans="1:39">
      <c r="A2321" s="42" t="s">
        <v>269</v>
      </c>
      <c r="B2321" s="1" t="s">
        <v>20</v>
      </c>
      <c r="C2321" s="40" t="str">
        <f t="shared" si="337"/>
        <v>24-&gt;</v>
      </c>
      <c r="D2321" s="40" t="str">
        <f t="shared" si="338"/>
        <v xml:space="preserve">No pick yet                                                 </v>
      </c>
      <c r="E2321" s="52">
        <f t="shared" si="339"/>
        <v>0</v>
      </c>
      <c r="F2321" s="18"/>
      <c r="M2321" s="18"/>
      <c r="N2321" s="18"/>
      <c r="O2321" s="18"/>
      <c r="P2321" s="18"/>
      <c r="Q2321" s="22"/>
      <c r="R2321" s="21"/>
      <c r="S2321" s="21"/>
      <c r="T2321" s="21"/>
      <c r="AA2321"/>
      <c r="AH2321" t="str">
        <f t="shared" si="340"/>
        <v>k yet</v>
      </c>
    </row>
    <row r="2322" spans="1:39">
      <c r="A2322" s="42" t="s">
        <v>270</v>
      </c>
      <c r="B2322" s="1" t="s">
        <v>20</v>
      </c>
      <c r="C2322" s="40" t="str">
        <f t="shared" si="337"/>
        <v>25-&gt;</v>
      </c>
      <c r="D2322" s="40" t="str">
        <f t="shared" si="338"/>
        <v xml:space="preserve">No pick yet                                                 </v>
      </c>
      <c r="E2322" s="52">
        <f t="shared" si="339"/>
        <v>0</v>
      </c>
      <c r="F2322" s="18"/>
      <c r="M2322" s="18"/>
      <c r="N2322" s="18"/>
      <c r="O2322" s="18"/>
      <c r="P2322" s="18"/>
      <c r="Q2322" s="22"/>
      <c r="R2322" s="21"/>
      <c r="S2322" s="21"/>
      <c r="T2322" s="21"/>
      <c r="AA2322"/>
      <c r="AH2322" t="str">
        <f t="shared" si="340"/>
        <v>k yet</v>
      </c>
    </row>
    <row r="2323" spans="1:39">
      <c r="A2323" s="42" t="s">
        <v>271</v>
      </c>
      <c r="B2323" s="1" t="s">
        <v>20</v>
      </c>
      <c r="C2323" s="40" t="str">
        <f t="shared" si="337"/>
        <v>26-&gt;</v>
      </c>
      <c r="D2323" s="40" t="str">
        <f t="shared" si="338"/>
        <v xml:space="preserve">No pick yet                                                 </v>
      </c>
      <c r="E2323" s="52">
        <f t="shared" si="339"/>
        <v>0</v>
      </c>
      <c r="F2323" s="18"/>
      <c r="M2323" s="18"/>
      <c r="N2323" s="18"/>
      <c r="O2323" s="18"/>
      <c r="P2323" s="18"/>
      <c r="Q2323" s="22"/>
      <c r="R2323" s="21"/>
      <c r="S2323" s="21"/>
      <c r="T2323" s="21"/>
      <c r="AA2323"/>
      <c r="AH2323" t="str">
        <f t="shared" si="340"/>
        <v>k yet</v>
      </c>
    </row>
    <row r="2324" spans="1:39">
      <c r="A2324" s="38"/>
      <c r="B2324" s="40"/>
      <c r="C2324" s="40"/>
      <c r="D2324" s="49"/>
      <c r="E2324" s="41" t="s">
        <v>69</v>
      </c>
      <c r="F2324" s="18"/>
      <c r="K2324" s="22" t="s">
        <v>73</v>
      </c>
      <c r="L2324" s="18" t="s">
        <v>74</v>
      </c>
      <c r="M2324" s="22" t="s">
        <v>78</v>
      </c>
      <c r="N2324" s="22" t="s">
        <v>79</v>
      </c>
      <c r="O2324" s="22" t="s">
        <v>80</v>
      </c>
      <c r="P2324" s="22" t="s">
        <v>81</v>
      </c>
      <c r="Q2324" s="22" t="s">
        <v>82</v>
      </c>
      <c r="R2324" s="22" t="s">
        <v>83</v>
      </c>
      <c r="S2324" s="22" t="s">
        <v>84</v>
      </c>
      <c r="T2324" s="18" t="s">
        <v>85</v>
      </c>
      <c r="U2324" s="18" t="s">
        <v>86</v>
      </c>
      <c r="V2324" s="18" t="s">
        <v>87</v>
      </c>
      <c r="W2324" s="18" t="s">
        <v>88</v>
      </c>
      <c r="X2324" s="18" t="s">
        <v>89</v>
      </c>
      <c r="Y2324" s="18" t="s">
        <v>90</v>
      </c>
      <c r="Z2324" s="18" t="s">
        <v>91</v>
      </c>
      <c r="AA2324" s="18" t="s">
        <v>92</v>
      </c>
      <c r="AB2324" s="18" t="s">
        <v>93</v>
      </c>
      <c r="AC2324" s="18" t="s">
        <v>94</v>
      </c>
      <c r="AD2324" s="18" t="s">
        <v>235</v>
      </c>
      <c r="AE2324" s="18" t="s">
        <v>236</v>
      </c>
      <c r="AF2324" s="18" t="s">
        <v>237</v>
      </c>
      <c r="AG2324" s="18" t="s">
        <v>238</v>
      </c>
      <c r="AH2324" s="18" t="s">
        <v>239</v>
      </c>
      <c r="AI2324" s="18" t="s">
        <v>240</v>
      </c>
      <c r="AJ2324" s="18" t="s">
        <v>241</v>
      </c>
      <c r="AK2324" s="18" t="s">
        <v>242</v>
      </c>
      <c r="AL2324" s="18" t="s">
        <v>243</v>
      </c>
      <c r="AM2324" s="50" t="s">
        <v>244</v>
      </c>
    </row>
    <row r="2325" spans="1:39">
      <c r="A2325" s="40" t="s">
        <v>245</v>
      </c>
      <c r="B2325" s="51" t="str">
        <f>D82</f>
        <v/>
      </c>
      <c r="C2325" s="40" t="str">
        <f t="shared" ref="C2325:C2351" si="341">A2325</f>
        <v>#</v>
      </c>
      <c r="D2325" s="40" t="str">
        <f>"   "&amp;B2325&amp;REPT(" ",$AH$70-LEN(B2325)-3)</f>
        <v xml:space="preserve">                                                            </v>
      </c>
      <c r="E2325" s="38" t="str">
        <f>SUM(E2326:E2351)&amp;" pts[/b]"</f>
        <v>0 pts[/b]</v>
      </c>
      <c r="F2325" s="21">
        <f>SUM(E2326:E2351)</f>
        <v>0</v>
      </c>
      <c r="K2325" s="18">
        <f>COUNTIF(E2326:E2351,"&gt;0")</f>
        <v>0</v>
      </c>
      <c r="L2325" s="21">
        <f>AM2325-K2325</f>
        <v>0</v>
      </c>
      <c r="M2325" s="22">
        <f>MAX(E2326:E2351)</f>
        <v>0</v>
      </c>
      <c r="N2325" s="22">
        <f>LARGE(E2326:E2351,2)</f>
        <v>0</v>
      </c>
      <c r="O2325" s="22">
        <f>LARGE(E2326:E2351,3)</f>
        <v>0</v>
      </c>
      <c r="P2325" s="18">
        <f>LARGE(E2326:E2351,4)</f>
        <v>0</v>
      </c>
      <c r="Q2325" s="22">
        <f>LARGE(E2326:E2351,5)</f>
        <v>0</v>
      </c>
      <c r="R2325" s="22">
        <f>LARGE(E2326:E2351,6)</f>
        <v>0</v>
      </c>
      <c r="S2325" s="22">
        <f>LARGE(E2326:E2351,7)</f>
        <v>0</v>
      </c>
      <c r="T2325" s="18">
        <f>LARGE(E2326:E2351,8)</f>
        <v>0</v>
      </c>
      <c r="U2325" s="18">
        <f>LARGE(E2326:E2351,9)</f>
        <v>0</v>
      </c>
      <c r="V2325" s="18">
        <f>LARGE(E2326:E2351,10)</f>
        <v>0</v>
      </c>
      <c r="W2325" s="18">
        <f>LARGE(E2326:E2351,11)</f>
        <v>0</v>
      </c>
      <c r="X2325" s="18">
        <f>LARGE(E2326:E2351,12)</f>
        <v>0</v>
      </c>
      <c r="Y2325" s="18">
        <f>LARGE(E2326:E2351,13)</f>
        <v>0</v>
      </c>
      <c r="Z2325" s="18">
        <f>LARGE(E2326:E2351,14)</f>
        <v>0</v>
      </c>
      <c r="AA2325" s="18">
        <f>LARGE(E2326:E2351,15)</f>
        <v>0</v>
      </c>
      <c r="AB2325" s="18">
        <f>LARGE(E2326:E2351,16)</f>
        <v>0</v>
      </c>
      <c r="AC2325" s="18">
        <f>LARGE(E2326:E2351,17)</f>
        <v>0</v>
      </c>
      <c r="AD2325" s="18">
        <f>LARGE(E2326:E2352,13)</f>
        <v>0</v>
      </c>
      <c r="AE2325" s="18">
        <f>LARGE(E2326:E2351,19)</f>
        <v>0</v>
      </c>
      <c r="AF2325" s="18">
        <f>LARGE(E2326:E2351,20)</f>
        <v>0</v>
      </c>
      <c r="AG2325" s="18">
        <f>LARGE(E2326:E2351,21)</f>
        <v>0</v>
      </c>
      <c r="AH2325" s="18">
        <f>LARGE(E2326:E2351,22)</f>
        <v>0</v>
      </c>
      <c r="AI2325" s="18">
        <f>LARGE(E2326:E2351,23)</f>
        <v>0</v>
      </c>
      <c r="AJ2325" s="18">
        <f>LARGE(E2326:E2351,24)</f>
        <v>0</v>
      </c>
      <c r="AK2325" s="18">
        <f>LARGE(E2326:E2351,25)</f>
        <v>0</v>
      </c>
      <c r="AL2325" s="18">
        <f>LARGE(E2326:E2351,26)</f>
        <v>0</v>
      </c>
      <c r="AM2325" s="50">
        <f>COUNTIF(AH2326:AH2351,"&lt;&gt;"&amp;$AH$76)-(26-COUNTIF(E2326:E2351,"&gt;=0"))</f>
        <v>0</v>
      </c>
    </row>
    <row r="2326" spans="1:39">
      <c r="A2326" s="42" t="s">
        <v>246</v>
      </c>
      <c r="B2326" s="1" t="s">
        <v>20</v>
      </c>
      <c r="C2326" s="40" t="str">
        <f t="shared" si="341"/>
        <v>01-&gt;</v>
      </c>
      <c r="D2326" s="40" t="str">
        <f>B2326&amp;REPT(" ",$AH$70-LEN(B2326))</f>
        <v xml:space="preserve">No pick yet                                                 </v>
      </c>
      <c r="E2326" s="52">
        <f t="shared" ref="E2326:E2351" si="342">VLOOKUP(RIGHT(B2326,LEN(B2326)-$AH$66),$H$138:$I$420,2,0)</f>
        <v>0</v>
      </c>
      <c r="F2326" s="18"/>
      <c r="M2326" s="18"/>
      <c r="N2326" s="18"/>
      <c r="O2326" s="18"/>
      <c r="P2326" s="18"/>
      <c r="Q2326" s="22"/>
      <c r="R2326" s="21"/>
      <c r="S2326" s="21"/>
      <c r="T2326" s="21"/>
      <c r="AA2326"/>
      <c r="AH2326" t="str">
        <f t="shared" ref="AH2326:AH2351" si="343">RIGHT(B2326,LEN(B2326)-$AH$66)</f>
        <v>k yet</v>
      </c>
    </row>
    <row r="2327" spans="1:39">
      <c r="A2327" s="42" t="s">
        <v>247</v>
      </c>
      <c r="B2327" s="1" t="s">
        <v>20</v>
      </c>
      <c r="C2327" s="40" t="str">
        <f t="shared" si="341"/>
        <v>02-&gt;</v>
      </c>
      <c r="D2327" s="40" t="str">
        <f>B2327&amp;REPT(" ",$AH$70-LEN(B2327))</f>
        <v xml:space="preserve">No pick yet                                                 </v>
      </c>
      <c r="E2327" s="52">
        <f t="shared" si="342"/>
        <v>0</v>
      </c>
      <c r="F2327" s="18"/>
      <c r="K2327" s="22"/>
      <c r="N2327" s="22"/>
      <c r="O2327" s="22"/>
      <c r="P2327" s="22"/>
      <c r="Q2327" s="22"/>
      <c r="R2327" s="22"/>
      <c r="S2327" s="22"/>
      <c r="Z2327" s="53"/>
      <c r="AA2327"/>
      <c r="AH2327" t="str">
        <f t="shared" si="343"/>
        <v>k yet</v>
      </c>
    </row>
    <row r="2328" spans="1:39">
      <c r="A2328" s="42" t="s">
        <v>248</v>
      </c>
      <c r="B2328" s="1" t="s">
        <v>20</v>
      </c>
      <c r="C2328" s="40" t="str">
        <f t="shared" si="341"/>
        <v>03-&gt;</v>
      </c>
      <c r="D2328" s="40" t="str">
        <f>B2328&amp;REPT(" ",$AH$70-LEN(B2328))</f>
        <v xml:space="preserve">No pick yet                                                 </v>
      </c>
      <c r="E2328" s="52">
        <f t="shared" si="342"/>
        <v>0</v>
      </c>
      <c r="F2328" s="18"/>
      <c r="L2328" s="21"/>
      <c r="N2328" s="22"/>
      <c r="O2328" s="22"/>
      <c r="P2328" s="18"/>
      <c r="Q2328" s="22"/>
      <c r="R2328" s="22"/>
      <c r="S2328" s="22"/>
      <c r="Z2328" s="53"/>
      <c r="AA2328"/>
      <c r="AH2328" t="str">
        <f t="shared" si="343"/>
        <v>k yet</v>
      </c>
    </row>
    <row r="2329" spans="1:39">
      <c r="A2329" s="42" t="s">
        <v>249</v>
      </c>
      <c r="B2329" s="1" t="s">
        <v>20</v>
      </c>
      <c r="C2329" s="40" t="str">
        <f t="shared" si="341"/>
        <v>04-&gt;</v>
      </c>
      <c r="D2329" s="40" t="str">
        <f>B2329&amp;REPT(" ",$AH$70-LEN(B2329))</f>
        <v xml:space="preserve">No pick yet                                                 </v>
      </c>
      <c r="E2329" s="52">
        <f t="shared" si="342"/>
        <v>0</v>
      </c>
      <c r="F2329" s="18"/>
      <c r="M2329" s="18"/>
      <c r="N2329" s="18"/>
      <c r="O2329" s="18"/>
      <c r="P2329" s="18"/>
      <c r="Q2329" s="22"/>
      <c r="R2329" s="21"/>
      <c r="S2329" s="21"/>
      <c r="T2329" s="21"/>
      <c r="AA2329"/>
      <c r="AH2329" t="str">
        <f t="shared" si="343"/>
        <v>k yet</v>
      </c>
    </row>
    <row r="2330" spans="1:39">
      <c r="A2330" s="42" t="s">
        <v>250</v>
      </c>
      <c r="B2330" s="1" t="s">
        <v>20</v>
      </c>
      <c r="C2330" s="40" t="str">
        <f t="shared" si="341"/>
        <v>05-&gt;</v>
      </c>
      <c r="D2330" s="40" t="str">
        <f t="shared" ref="D2330:D2351" si="344">B2330&amp;REPT(" ",$AH$70-LEN(B2330))</f>
        <v xml:space="preserve">No pick yet                                                 </v>
      </c>
      <c r="E2330" s="52">
        <f t="shared" si="342"/>
        <v>0</v>
      </c>
      <c r="F2330" s="18"/>
      <c r="M2330" s="18"/>
      <c r="N2330" s="18"/>
      <c r="O2330" s="18"/>
      <c r="P2330" s="18"/>
      <c r="Q2330" s="22"/>
      <c r="R2330" s="21"/>
      <c r="S2330" s="21"/>
      <c r="T2330" s="21"/>
      <c r="AA2330"/>
      <c r="AH2330" t="str">
        <f t="shared" si="343"/>
        <v>k yet</v>
      </c>
    </row>
    <row r="2331" spans="1:39">
      <c r="A2331" s="42" t="s">
        <v>251</v>
      </c>
      <c r="B2331" s="1" t="s">
        <v>20</v>
      </c>
      <c r="C2331" s="40" t="str">
        <f t="shared" si="341"/>
        <v>06-&gt;</v>
      </c>
      <c r="D2331" s="40" t="str">
        <f t="shared" si="344"/>
        <v xml:space="preserve">No pick yet                                                 </v>
      </c>
      <c r="E2331" s="52">
        <f t="shared" si="342"/>
        <v>0</v>
      </c>
      <c r="F2331" s="18"/>
      <c r="M2331" s="18"/>
      <c r="N2331" s="18"/>
      <c r="O2331" s="18"/>
      <c r="P2331" s="18"/>
      <c r="Q2331" s="22"/>
      <c r="R2331" s="21"/>
      <c r="S2331" s="21"/>
      <c r="T2331" s="21"/>
      <c r="AA2331"/>
      <c r="AH2331" t="str">
        <f t="shared" si="343"/>
        <v>k yet</v>
      </c>
    </row>
    <row r="2332" spans="1:39">
      <c r="A2332" s="42" t="s">
        <v>252</v>
      </c>
      <c r="B2332" s="1" t="s">
        <v>20</v>
      </c>
      <c r="C2332" s="40" t="str">
        <f t="shared" si="341"/>
        <v>07-&gt;</v>
      </c>
      <c r="D2332" s="40" t="str">
        <f t="shared" si="344"/>
        <v xml:space="preserve">No pick yet                                                 </v>
      </c>
      <c r="E2332" s="52">
        <f t="shared" si="342"/>
        <v>0</v>
      </c>
      <c r="F2332" s="18"/>
      <c r="M2332" s="18"/>
      <c r="N2332" s="18"/>
      <c r="O2332" s="18"/>
      <c r="P2332" s="18"/>
      <c r="Q2332" s="22"/>
      <c r="R2332" s="21"/>
      <c r="S2332" s="21"/>
      <c r="T2332" s="21"/>
      <c r="AA2332"/>
      <c r="AH2332" t="str">
        <f t="shared" si="343"/>
        <v>k yet</v>
      </c>
    </row>
    <row r="2333" spans="1:39">
      <c r="A2333" s="42" t="s">
        <v>253</v>
      </c>
      <c r="B2333" s="1" t="s">
        <v>20</v>
      </c>
      <c r="C2333" s="40" t="str">
        <f t="shared" si="341"/>
        <v>08-&gt;</v>
      </c>
      <c r="D2333" s="40" t="str">
        <f t="shared" si="344"/>
        <v xml:space="preserve">No pick yet                                                 </v>
      </c>
      <c r="E2333" s="52">
        <f t="shared" si="342"/>
        <v>0</v>
      </c>
      <c r="F2333" s="18"/>
      <c r="M2333" s="18"/>
      <c r="N2333" s="18"/>
      <c r="O2333" s="18"/>
      <c r="P2333" s="18"/>
      <c r="Q2333" s="22"/>
      <c r="R2333" s="21"/>
      <c r="S2333" s="21"/>
      <c r="T2333" s="21"/>
      <c r="AA2333"/>
      <c r="AH2333" t="str">
        <f t="shared" si="343"/>
        <v>k yet</v>
      </c>
    </row>
    <row r="2334" spans="1:39">
      <c r="A2334" s="42" t="s">
        <v>254</v>
      </c>
      <c r="B2334" s="1" t="s">
        <v>20</v>
      </c>
      <c r="C2334" s="40" t="str">
        <f t="shared" si="341"/>
        <v>09-&gt;</v>
      </c>
      <c r="D2334" s="40" t="str">
        <f t="shared" si="344"/>
        <v xml:space="preserve">No pick yet                                                 </v>
      </c>
      <c r="E2334" s="52">
        <f t="shared" si="342"/>
        <v>0</v>
      </c>
      <c r="F2334" s="18"/>
      <c r="M2334" s="18"/>
      <c r="N2334" s="18"/>
      <c r="O2334" s="18"/>
      <c r="P2334" s="18"/>
      <c r="Q2334" s="22"/>
      <c r="R2334" s="21"/>
      <c r="S2334" s="21"/>
      <c r="T2334" s="21"/>
      <c r="AA2334"/>
      <c r="AH2334" t="str">
        <f t="shared" si="343"/>
        <v>k yet</v>
      </c>
    </row>
    <row r="2335" spans="1:39">
      <c r="A2335" s="42" t="s">
        <v>255</v>
      </c>
      <c r="B2335" s="1" t="s">
        <v>20</v>
      </c>
      <c r="C2335" s="40" t="str">
        <f t="shared" si="341"/>
        <v>10-&gt;</v>
      </c>
      <c r="D2335" s="40" t="str">
        <f t="shared" si="344"/>
        <v xml:space="preserve">No pick yet                                                 </v>
      </c>
      <c r="E2335" s="52">
        <f t="shared" si="342"/>
        <v>0</v>
      </c>
      <c r="F2335" s="22"/>
      <c r="M2335" s="18"/>
      <c r="N2335" s="18"/>
      <c r="O2335" s="18"/>
      <c r="P2335" s="18"/>
      <c r="Q2335" s="22"/>
      <c r="R2335" s="21"/>
      <c r="S2335" s="21"/>
      <c r="T2335" s="21"/>
      <c r="AA2335"/>
      <c r="AH2335" t="str">
        <f t="shared" si="343"/>
        <v>k yet</v>
      </c>
    </row>
    <row r="2336" spans="1:39">
      <c r="A2336" s="42" t="s">
        <v>256</v>
      </c>
      <c r="B2336" s="1" t="s">
        <v>20</v>
      </c>
      <c r="C2336" s="40" t="str">
        <f t="shared" si="341"/>
        <v>11-&gt;</v>
      </c>
      <c r="D2336" s="40" t="str">
        <f t="shared" si="344"/>
        <v xml:space="preserve">No pick yet                                                 </v>
      </c>
      <c r="E2336" s="52">
        <f t="shared" si="342"/>
        <v>0</v>
      </c>
      <c r="M2336" s="18"/>
      <c r="N2336" s="18"/>
      <c r="O2336" s="18"/>
      <c r="P2336" s="18"/>
      <c r="Q2336" s="22"/>
      <c r="R2336" s="21"/>
      <c r="S2336" s="21"/>
      <c r="T2336" s="21"/>
      <c r="AA2336"/>
      <c r="AH2336" t="str">
        <f t="shared" si="343"/>
        <v>k yet</v>
      </c>
    </row>
    <row r="2337" spans="1:39">
      <c r="A2337" s="42" t="s">
        <v>257</v>
      </c>
      <c r="B2337" s="1" t="s">
        <v>20</v>
      </c>
      <c r="C2337" s="40" t="str">
        <f t="shared" si="341"/>
        <v>12-&gt;</v>
      </c>
      <c r="D2337" s="40" t="str">
        <f t="shared" si="344"/>
        <v xml:space="preserve">No pick yet                                                 </v>
      </c>
      <c r="E2337" s="52">
        <f t="shared" si="342"/>
        <v>0</v>
      </c>
      <c r="M2337" s="18"/>
      <c r="N2337" s="18"/>
      <c r="O2337" s="18"/>
      <c r="P2337" s="18"/>
      <c r="Q2337" s="22"/>
      <c r="R2337" s="21"/>
      <c r="S2337" s="21"/>
      <c r="T2337" s="21"/>
      <c r="AA2337"/>
      <c r="AH2337" t="str">
        <f t="shared" si="343"/>
        <v>k yet</v>
      </c>
    </row>
    <row r="2338" spans="1:39">
      <c r="A2338" s="42" t="s">
        <v>258</v>
      </c>
      <c r="B2338" s="1" t="s">
        <v>20</v>
      </c>
      <c r="C2338" s="40" t="str">
        <f t="shared" si="341"/>
        <v>13-&gt;</v>
      </c>
      <c r="D2338" s="40" t="str">
        <f t="shared" si="344"/>
        <v xml:space="preserve">No pick yet                                                 </v>
      </c>
      <c r="E2338" s="52">
        <f t="shared" si="342"/>
        <v>0</v>
      </c>
      <c r="M2338" s="18"/>
      <c r="N2338" s="18"/>
      <c r="O2338" s="18"/>
      <c r="P2338" s="18"/>
      <c r="Q2338" s="22"/>
      <c r="R2338" s="21"/>
      <c r="S2338" s="21"/>
      <c r="T2338" s="21"/>
      <c r="AA2338"/>
      <c r="AH2338" t="str">
        <f t="shared" si="343"/>
        <v>k yet</v>
      </c>
    </row>
    <row r="2339" spans="1:39">
      <c r="A2339" s="42" t="s">
        <v>259</v>
      </c>
      <c r="B2339" s="1" t="s">
        <v>20</v>
      </c>
      <c r="C2339" s="40" t="str">
        <f t="shared" si="341"/>
        <v>14-&gt;</v>
      </c>
      <c r="D2339" s="40" t="str">
        <f t="shared" si="344"/>
        <v xml:space="preserve">No pick yet                                                 </v>
      </c>
      <c r="E2339" s="52">
        <f t="shared" si="342"/>
        <v>0</v>
      </c>
      <c r="M2339" s="18"/>
      <c r="N2339" s="18"/>
      <c r="O2339" s="18"/>
      <c r="P2339" s="18"/>
      <c r="Q2339" s="22"/>
      <c r="R2339" s="21"/>
      <c r="S2339" s="21"/>
      <c r="T2339" s="21"/>
      <c r="AA2339"/>
      <c r="AH2339" t="str">
        <f t="shared" si="343"/>
        <v>k yet</v>
      </c>
    </row>
    <row r="2340" spans="1:39">
      <c r="A2340" s="42" t="s">
        <v>260</v>
      </c>
      <c r="B2340" s="1" t="s">
        <v>20</v>
      </c>
      <c r="C2340" s="40" t="str">
        <f t="shared" si="341"/>
        <v>15-&gt;</v>
      </c>
      <c r="D2340" s="40" t="str">
        <f t="shared" si="344"/>
        <v xml:space="preserve">No pick yet                                                 </v>
      </c>
      <c r="E2340" s="52">
        <f t="shared" si="342"/>
        <v>0</v>
      </c>
      <c r="M2340" s="18"/>
      <c r="N2340" s="18"/>
      <c r="O2340" s="18"/>
      <c r="P2340" s="18"/>
      <c r="Q2340" s="22"/>
      <c r="R2340" s="21"/>
      <c r="S2340" s="21"/>
      <c r="T2340" s="21"/>
      <c r="AA2340"/>
      <c r="AH2340" t="str">
        <f t="shared" si="343"/>
        <v>k yet</v>
      </c>
    </row>
    <row r="2341" spans="1:39">
      <c r="A2341" s="42" t="s">
        <v>261</v>
      </c>
      <c r="B2341" s="1" t="s">
        <v>20</v>
      </c>
      <c r="C2341" s="40" t="str">
        <f t="shared" si="341"/>
        <v>16-&gt;</v>
      </c>
      <c r="D2341" s="40" t="str">
        <f t="shared" si="344"/>
        <v xml:space="preserve">No pick yet                                                 </v>
      </c>
      <c r="E2341" s="52">
        <f t="shared" si="342"/>
        <v>0</v>
      </c>
      <c r="M2341" s="18"/>
      <c r="N2341" s="18"/>
      <c r="O2341" s="18"/>
      <c r="P2341" s="18"/>
      <c r="Q2341" s="22"/>
      <c r="R2341" s="21"/>
      <c r="S2341" s="21"/>
      <c r="T2341" s="21"/>
      <c r="AA2341"/>
      <c r="AH2341" t="str">
        <f t="shared" si="343"/>
        <v>k yet</v>
      </c>
    </row>
    <row r="2342" spans="1:39">
      <c r="A2342" s="42" t="s">
        <v>262</v>
      </c>
      <c r="B2342" s="1" t="s">
        <v>20</v>
      </c>
      <c r="C2342" s="40" t="str">
        <f t="shared" si="341"/>
        <v>17-&gt;</v>
      </c>
      <c r="D2342" s="40" t="str">
        <f t="shared" si="344"/>
        <v xml:space="preserve">No pick yet                                                 </v>
      </c>
      <c r="E2342" s="52">
        <f t="shared" si="342"/>
        <v>0</v>
      </c>
      <c r="K2342" s="22"/>
      <c r="N2342" s="22"/>
      <c r="O2342" s="22"/>
      <c r="P2342" s="22"/>
      <c r="Q2342" s="22"/>
      <c r="R2342" s="22"/>
      <c r="S2342" s="22"/>
      <c r="Z2342" s="53"/>
      <c r="AA2342"/>
      <c r="AH2342" t="str">
        <f t="shared" si="343"/>
        <v>k yet</v>
      </c>
    </row>
    <row r="2343" spans="1:39">
      <c r="A2343" s="42" t="s">
        <v>263</v>
      </c>
      <c r="B2343" s="1" t="s">
        <v>20</v>
      </c>
      <c r="C2343" s="40" t="str">
        <f t="shared" si="341"/>
        <v>18-&gt;</v>
      </c>
      <c r="D2343" s="40" t="str">
        <f t="shared" si="344"/>
        <v xml:space="preserve">No pick yet                                                 </v>
      </c>
      <c r="E2343" s="52">
        <f t="shared" si="342"/>
        <v>0</v>
      </c>
      <c r="F2343" s="18"/>
      <c r="L2343" s="21"/>
      <c r="N2343" s="22"/>
      <c r="O2343" s="22"/>
      <c r="P2343" s="18"/>
      <c r="Q2343" s="22"/>
      <c r="R2343" s="22"/>
      <c r="S2343" s="22"/>
      <c r="Z2343" s="53"/>
      <c r="AA2343"/>
      <c r="AH2343" t="str">
        <f t="shared" si="343"/>
        <v>k yet</v>
      </c>
    </row>
    <row r="2344" spans="1:39">
      <c r="A2344" s="42" t="s">
        <v>264</v>
      </c>
      <c r="B2344" s="1" t="s">
        <v>20</v>
      </c>
      <c r="C2344" s="40" t="str">
        <f t="shared" si="341"/>
        <v>19-&gt;</v>
      </c>
      <c r="D2344" s="40" t="str">
        <f t="shared" si="344"/>
        <v xml:space="preserve">No pick yet                                                 </v>
      </c>
      <c r="E2344" s="52">
        <f t="shared" si="342"/>
        <v>0</v>
      </c>
      <c r="F2344" s="18"/>
      <c r="M2344" s="18"/>
      <c r="N2344" s="18"/>
      <c r="O2344" s="18"/>
      <c r="P2344" s="18"/>
      <c r="Q2344" s="22"/>
      <c r="R2344" s="21"/>
      <c r="S2344" s="21"/>
      <c r="T2344" s="21"/>
      <c r="AA2344"/>
      <c r="AH2344" t="str">
        <f t="shared" si="343"/>
        <v>k yet</v>
      </c>
    </row>
    <row r="2345" spans="1:39">
      <c r="A2345" s="42" t="s">
        <v>265</v>
      </c>
      <c r="B2345" s="1" t="s">
        <v>20</v>
      </c>
      <c r="C2345" s="40" t="str">
        <f t="shared" si="341"/>
        <v>20-&gt;</v>
      </c>
      <c r="D2345" s="40" t="str">
        <f t="shared" si="344"/>
        <v xml:space="preserve">No pick yet                                                 </v>
      </c>
      <c r="E2345" s="52">
        <f t="shared" si="342"/>
        <v>0</v>
      </c>
      <c r="F2345" s="18"/>
      <c r="M2345" s="18"/>
      <c r="N2345" s="18"/>
      <c r="O2345" s="18"/>
      <c r="P2345" s="18"/>
      <c r="Q2345" s="22"/>
      <c r="R2345" s="21"/>
      <c r="S2345" s="21"/>
      <c r="T2345" s="21"/>
      <c r="AA2345"/>
      <c r="AH2345" t="str">
        <f t="shared" si="343"/>
        <v>k yet</v>
      </c>
    </row>
    <row r="2346" spans="1:39">
      <c r="A2346" s="42" t="s">
        <v>266</v>
      </c>
      <c r="B2346" s="1" t="s">
        <v>20</v>
      </c>
      <c r="C2346" s="40" t="str">
        <f t="shared" si="341"/>
        <v>21-&gt;</v>
      </c>
      <c r="D2346" s="40" t="str">
        <f t="shared" si="344"/>
        <v xml:space="preserve">No pick yet                                                 </v>
      </c>
      <c r="E2346" s="52">
        <f t="shared" si="342"/>
        <v>0</v>
      </c>
      <c r="F2346" s="18"/>
      <c r="M2346" s="18"/>
      <c r="N2346" s="18"/>
      <c r="O2346" s="18"/>
      <c r="P2346" s="18"/>
      <c r="Q2346" s="22"/>
      <c r="R2346" s="21"/>
      <c r="S2346" s="21"/>
      <c r="T2346" s="21"/>
      <c r="AA2346"/>
      <c r="AH2346" t="str">
        <f t="shared" si="343"/>
        <v>k yet</v>
      </c>
    </row>
    <row r="2347" spans="1:39">
      <c r="A2347" s="42" t="s">
        <v>267</v>
      </c>
      <c r="B2347" s="1" t="s">
        <v>20</v>
      </c>
      <c r="C2347" s="40" t="str">
        <f t="shared" si="341"/>
        <v>22-&gt;</v>
      </c>
      <c r="D2347" s="40" t="str">
        <f t="shared" si="344"/>
        <v xml:space="preserve">No pick yet                                                 </v>
      </c>
      <c r="E2347" s="52">
        <f t="shared" si="342"/>
        <v>0</v>
      </c>
      <c r="F2347" s="18"/>
      <c r="M2347" s="18"/>
      <c r="N2347" s="18"/>
      <c r="O2347" s="18"/>
      <c r="P2347" s="18"/>
      <c r="Q2347" s="22"/>
      <c r="R2347" s="21"/>
      <c r="S2347" s="21"/>
      <c r="T2347" s="21"/>
      <c r="AA2347"/>
      <c r="AH2347" t="str">
        <f t="shared" si="343"/>
        <v>k yet</v>
      </c>
    </row>
    <row r="2348" spans="1:39">
      <c r="A2348" s="42" t="s">
        <v>268</v>
      </c>
      <c r="B2348" s="1" t="s">
        <v>20</v>
      </c>
      <c r="C2348" s="40" t="str">
        <f t="shared" si="341"/>
        <v>23-&gt;</v>
      </c>
      <c r="D2348" s="40" t="str">
        <f t="shared" si="344"/>
        <v xml:space="preserve">No pick yet                                                 </v>
      </c>
      <c r="E2348" s="52">
        <f t="shared" si="342"/>
        <v>0</v>
      </c>
      <c r="F2348" s="18"/>
      <c r="M2348" s="18"/>
      <c r="N2348" s="18"/>
      <c r="O2348" s="18"/>
      <c r="P2348" s="18"/>
      <c r="Q2348" s="22"/>
      <c r="R2348" s="21"/>
      <c r="S2348" s="21"/>
      <c r="T2348" s="21"/>
      <c r="AA2348"/>
      <c r="AH2348" t="str">
        <f t="shared" si="343"/>
        <v>k yet</v>
      </c>
    </row>
    <row r="2349" spans="1:39">
      <c r="A2349" s="42" t="s">
        <v>269</v>
      </c>
      <c r="B2349" s="1" t="s">
        <v>20</v>
      </c>
      <c r="C2349" s="40" t="str">
        <f t="shared" si="341"/>
        <v>24-&gt;</v>
      </c>
      <c r="D2349" s="40" t="str">
        <f t="shared" si="344"/>
        <v xml:space="preserve">No pick yet                                                 </v>
      </c>
      <c r="E2349" s="52">
        <f t="shared" si="342"/>
        <v>0</v>
      </c>
      <c r="F2349" s="18"/>
      <c r="M2349" s="18"/>
      <c r="N2349" s="18"/>
      <c r="O2349" s="18"/>
      <c r="P2349" s="18"/>
      <c r="Q2349" s="22"/>
      <c r="R2349" s="21"/>
      <c r="S2349" s="21"/>
      <c r="T2349" s="21"/>
      <c r="AA2349"/>
      <c r="AH2349" t="str">
        <f t="shared" si="343"/>
        <v>k yet</v>
      </c>
    </row>
    <row r="2350" spans="1:39">
      <c r="A2350" s="42" t="s">
        <v>270</v>
      </c>
      <c r="B2350" s="1" t="s">
        <v>20</v>
      </c>
      <c r="C2350" s="40" t="str">
        <f t="shared" si="341"/>
        <v>25-&gt;</v>
      </c>
      <c r="D2350" s="40" t="str">
        <f t="shared" si="344"/>
        <v xml:space="preserve">No pick yet                                                 </v>
      </c>
      <c r="E2350" s="52">
        <f t="shared" si="342"/>
        <v>0</v>
      </c>
      <c r="F2350" s="18"/>
      <c r="M2350" s="18"/>
      <c r="N2350" s="18"/>
      <c r="O2350" s="18"/>
      <c r="P2350" s="18"/>
      <c r="Q2350" s="22"/>
      <c r="R2350" s="21"/>
      <c r="S2350" s="21"/>
      <c r="T2350" s="21"/>
      <c r="AA2350"/>
      <c r="AH2350" t="str">
        <f t="shared" si="343"/>
        <v>k yet</v>
      </c>
    </row>
    <row r="2351" spans="1:39">
      <c r="A2351" s="42" t="s">
        <v>271</v>
      </c>
      <c r="B2351" s="1" t="s">
        <v>20</v>
      </c>
      <c r="C2351" s="40" t="str">
        <f t="shared" si="341"/>
        <v>26-&gt;</v>
      </c>
      <c r="D2351" s="40" t="str">
        <f t="shared" si="344"/>
        <v xml:space="preserve">No pick yet                                                 </v>
      </c>
      <c r="E2351" s="52">
        <f t="shared" si="342"/>
        <v>0</v>
      </c>
      <c r="F2351" s="18"/>
      <c r="M2351" s="18"/>
      <c r="N2351" s="18"/>
      <c r="O2351" s="18"/>
      <c r="P2351" s="18"/>
      <c r="Q2351" s="22"/>
      <c r="R2351" s="21"/>
      <c r="S2351" s="21"/>
      <c r="T2351" s="21"/>
      <c r="AA2351"/>
      <c r="AH2351" t="str">
        <f t="shared" si="343"/>
        <v>k yet</v>
      </c>
    </row>
    <row r="2352" spans="1:39">
      <c r="A2352" s="38"/>
      <c r="B2352" s="40"/>
      <c r="C2352" s="40"/>
      <c r="D2352" s="49"/>
      <c r="E2352" s="41" t="s">
        <v>69</v>
      </c>
      <c r="F2352" s="18"/>
      <c r="K2352" s="22" t="s">
        <v>73</v>
      </c>
      <c r="L2352" s="18" t="s">
        <v>74</v>
      </c>
      <c r="M2352" s="22" t="s">
        <v>78</v>
      </c>
      <c r="N2352" s="22" t="s">
        <v>79</v>
      </c>
      <c r="O2352" s="22" t="s">
        <v>80</v>
      </c>
      <c r="P2352" s="22" t="s">
        <v>81</v>
      </c>
      <c r="Q2352" s="22" t="s">
        <v>82</v>
      </c>
      <c r="R2352" s="22" t="s">
        <v>83</v>
      </c>
      <c r="S2352" s="22" t="s">
        <v>84</v>
      </c>
      <c r="T2352" s="18" t="s">
        <v>85</v>
      </c>
      <c r="U2352" s="18" t="s">
        <v>86</v>
      </c>
      <c r="V2352" s="18" t="s">
        <v>87</v>
      </c>
      <c r="W2352" s="18" t="s">
        <v>88</v>
      </c>
      <c r="X2352" s="18" t="s">
        <v>89</v>
      </c>
      <c r="Y2352" s="18" t="s">
        <v>90</v>
      </c>
      <c r="Z2352" s="18" t="s">
        <v>91</v>
      </c>
      <c r="AA2352" s="18" t="s">
        <v>92</v>
      </c>
      <c r="AB2352" s="18" t="s">
        <v>93</v>
      </c>
      <c r="AC2352" s="18" t="s">
        <v>94</v>
      </c>
      <c r="AD2352" s="18" t="s">
        <v>235</v>
      </c>
      <c r="AE2352" s="18" t="s">
        <v>236</v>
      </c>
      <c r="AF2352" s="18" t="s">
        <v>237</v>
      </c>
      <c r="AG2352" s="18" t="s">
        <v>238</v>
      </c>
      <c r="AH2352" s="18" t="s">
        <v>239</v>
      </c>
      <c r="AI2352" s="18" t="s">
        <v>240</v>
      </c>
      <c r="AJ2352" s="18" t="s">
        <v>241</v>
      </c>
      <c r="AK2352" s="18" t="s">
        <v>242</v>
      </c>
      <c r="AL2352" s="18" t="s">
        <v>243</v>
      </c>
      <c r="AM2352" s="50" t="s">
        <v>244</v>
      </c>
    </row>
    <row r="2353" spans="1:39">
      <c r="A2353" s="40" t="s">
        <v>245</v>
      </c>
      <c r="B2353" s="51" t="str">
        <f>D83</f>
        <v/>
      </c>
      <c r="C2353" s="40" t="str">
        <f t="shared" ref="C2353:C2379" si="345">A2353</f>
        <v>#</v>
      </c>
      <c r="D2353" s="40" t="str">
        <f>"   "&amp;B2353&amp;REPT(" ",$AH$70-LEN(B2353)-3)</f>
        <v xml:space="preserve">                                                            </v>
      </c>
      <c r="E2353" s="38" t="str">
        <f>SUM(E2354:E2379)&amp;" pts[/b]"</f>
        <v>0 pts[/b]</v>
      </c>
      <c r="F2353" s="21">
        <f>SUM(E2354:E2379)</f>
        <v>0</v>
      </c>
      <c r="K2353" s="18">
        <f>COUNTIF(E2354:E2379,"&gt;0")</f>
        <v>0</v>
      </c>
      <c r="L2353" s="21">
        <f>AM2353-K2353</f>
        <v>0</v>
      </c>
      <c r="M2353" s="22">
        <f>MAX(E2354:E2379)</f>
        <v>0</v>
      </c>
      <c r="N2353" s="22">
        <f>LARGE(E2354:E2379,2)</f>
        <v>0</v>
      </c>
      <c r="O2353" s="22">
        <f>LARGE(E2354:E2379,3)</f>
        <v>0</v>
      </c>
      <c r="P2353" s="18">
        <f>LARGE(E2354:E2379,4)</f>
        <v>0</v>
      </c>
      <c r="Q2353" s="22">
        <f>LARGE(E2354:E2379,5)</f>
        <v>0</v>
      </c>
      <c r="R2353" s="22">
        <f>LARGE(E2354:E2379,6)</f>
        <v>0</v>
      </c>
      <c r="S2353" s="22">
        <f>LARGE(E2354:E2379,7)</f>
        <v>0</v>
      </c>
      <c r="T2353" s="18">
        <f>LARGE(E2354:E2379,8)</f>
        <v>0</v>
      </c>
      <c r="U2353" s="18">
        <f>LARGE(E2354:E2379,9)</f>
        <v>0</v>
      </c>
      <c r="V2353" s="18">
        <f>LARGE(E2354:E2379,10)</f>
        <v>0</v>
      </c>
      <c r="W2353" s="18">
        <f>LARGE(E2354:E2379,11)</f>
        <v>0</v>
      </c>
      <c r="X2353" s="18">
        <f>LARGE(E2354:E2379,12)</f>
        <v>0</v>
      </c>
      <c r="Y2353" s="18">
        <f>LARGE(E2354:E2379,13)</f>
        <v>0</v>
      </c>
      <c r="Z2353" s="18">
        <f>LARGE(E2354:E2379,14)</f>
        <v>0</v>
      </c>
      <c r="AA2353" s="18">
        <f>LARGE(E2354:E2379,15)</f>
        <v>0</v>
      </c>
      <c r="AB2353" s="18">
        <f>LARGE(E2354:E2379,16)</f>
        <v>0</v>
      </c>
      <c r="AC2353" s="18">
        <f>LARGE(E2354:E2379,17)</f>
        <v>0</v>
      </c>
      <c r="AD2353" s="18">
        <f>LARGE(E2354:E2380,13)</f>
        <v>0</v>
      </c>
      <c r="AE2353" s="18">
        <f>LARGE(E2354:E2379,19)</f>
        <v>0</v>
      </c>
      <c r="AF2353" s="18">
        <f>LARGE(E2354:E2379,20)</f>
        <v>0</v>
      </c>
      <c r="AG2353" s="18">
        <f>LARGE(E2354:E2379,21)</f>
        <v>0</v>
      </c>
      <c r="AH2353" s="18">
        <f>LARGE(E2354:E2379,22)</f>
        <v>0</v>
      </c>
      <c r="AI2353" s="18">
        <f>LARGE(E2354:E2379,23)</f>
        <v>0</v>
      </c>
      <c r="AJ2353" s="18">
        <f>LARGE(E2354:E2379,24)</f>
        <v>0</v>
      </c>
      <c r="AK2353" s="18">
        <f>LARGE(E2354:E2379,25)</f>
        <v>0</v>
      </c>
      <c r="AL2353" s="18">
        <f>LARGE(E2354:E2379,26)</f>
        <v>0</v>
      </c>
      <c r="AM2353" s="50">
        <f>COUNTIF(AH2354:AH2379,"&lt;&gt;"&amp;$AH$76)-(26-COUNTIF(E2354:E2379,"&gt;=0"))</f>
        <v>0</v>
      </c>
    </row>
    <row r="2354" spans="1:39">
      <c r="A2354" s="42" t="s">
        <v>246</v>
      </c>
      <c r="B2354" s="1" t="s">
        <v>20</v>
      </c>
      <c r="C2354" s="40" t="str">
        <f t="shared" si="345"/>
        <v>01-&gt;</v>
      </c>
      <c r="D2354" s="40" t="str">
        <f t="shared" ref="D2354:D2379" si="346">B2354&amp;REPT(" ",$AH$70-LEN(B2354))</f>
        <v xml:space="preserve">No pick yet                                                 </v>
      </c>
      <c r="E2354" s="52">
        <f t="shared" ref="E2354:E2379" si="347">VLOOKUP(RIGHT(B2354,LEN(B2354)-$AH$66),$H$138:$I$420,2,0)</f>
        <v>0</v>
      </c>
      <c r="F2354" s="18"/>
      <c r="M2354" s="18"/>
      <c r="N2354" s="18"/>
      <c r="O2354" s="18"/>
      <c r="P2354" s="18"/>
      <c r="Q2354" s="22"/>
      <c r="R2354" s="21"/>
      <c r="S2354" s="21"/>
      <c r="T2354" s="21"/>
      <c r="AA2354"/>
      <c r="AH2354" t="str">
        <f t="shared" ref="AH2354:AH2379" si="348">RIGHT(B2354,LEN(B2354)-$AH$66)</f>
        <v>k yet</v>
      </c>
    </row>
    <row r="2355" spans="1:39">
      <c r="A2355" s="42" t="s">
        <v>247</v>
      </c>
      <c r="B2355" s="1" t="s">
        <v>20</v>
      </c>
      <c r="C2355" s="40" t="str">
        <f t="shared" si="345"/>
        <v>02-&gt;</v>
      </c>
      <c r="D2355" s="40" t="str">
        <f t="shared" si="346"/>
        <v xml:space="preserve">No pick yet                                                 </v>
      </c>
      <c r="E2355" s="52">
        <f t="shared" si="347"/>
        <v>0</v>
      </c>
      <c r="F2355" s="18"/>
      <c r="K2355" s="22"/>
      <c r="N2355" s="22"/>
      <c r="O2355" s="22"/>
      <c r="P2355" s="22"/>
      <c r="Q2355" s="22"/>
      <c r="R2355" s="22"/>
      <c r="S2355" s="22"/>
      <c r="Z2355" s="53"/>
      <c r="AA2355"/>
      <c r="AH2355" t="str">
        <f t="shared" si="348"/>
        <v>k yet</v>
      </c>
    </row>
    <row r="2356" spans="1:39">
      <c r="A2356" s="42" t="s">
        <v>248</v>
      </c>
      <c r="B2356" s="1" t="s">
        <v>20</v>
      </c>
      <c r="C2356" s="40" t="str">
        <f t="shared" si="345"/>
        <v>03-&gt;</v>
      </c>
      <c r="D2356" s="40" t="str">
        <f t="shared" si="346"/>
        <v xml:space="preserve">No pick yet                                                 </v>
      </c>
      <c r="E2356" s="52">
        <f t="shared" si="347"/>
        <v>0</v>
      </c>
      <c r="F2356" s="18"/>
      <c r="L2356" s="21"/>
      <c r="N2356" s="22"/>
      <c r="O2356" s="22"/>
      <c r="P2356" s="18"/>
      <c r="Q2356" s="22"/>
      <c r="R2356" s="22"/>
      <c r="S2356" s="22"/>
      <c r="Z2356" s="53"/>
      <c r="AA2356"/>
      <c r="AH2356" t="str">
        <f t="shared" si="348"/>
        <v>k yet</v>
      </c>
    </row>
    <row r="2357" spans="1:39">
      <c r="A2357" s="42" t="s">
        <v>249</v>
      </c>
      <c r="B2357" s="1" t="s">
        <v>20</v>
      </c>
      <c r="C2357" s="40" t="str">
        <f t="shared" si="345"/>
        <v>04-&gt;</v>
      </c>
      <c r="D2357" s="40" t="str">
        <f t="shared" si="346"/>
        <v xml:space="preserve">No pick yet                                                 </v>
      </c>
      <c r="E2357" s="52">
        <f t="shared" si="347"/>
        <v>0</v>
      </c>
      <c r="F2357" s="18"/>
      <c r="M2357" s="18"/>
      <c r="N2357" s="18"/>
      <c r="O2357" s="18"/>
      <c r="P2357" s="18"/>
      <c r="Q2357" s="22"/>
      <c r="R2357" s="21"/>
      <c r="S2357" s="21"/>
      <c r="T2357" s="21"/>
      <c r="AA2357"/>
      <c r="AH2357" t="str">
        <f t="shared" si="348"/>
        <v>k yet</v>
      </c>
    </row>
    <row r="2358" spans="1:39">
      <c r="A2358" s="42" t="s">
        <v>250</v>
      </c>
      <c r="B2358" s="1" t="s">
        <v>20</v>
      </c>
      <c r="C2358" s="40" t="str">
        <f t="shared" si="345"/>
        <v>05-&gt;</v>
      </c>
      <c r="D2358" s="40" t="str">
        <f t="shared" si="346"/>
        <v xml:space="preserve">No pick yet                                                 </v>
      </c>
      <c r="E2358" s="52">
        <f t="shared" si="347"/>
        <v>0</v>
      </c>
      <c r="F2358" s="18"/>
      <c r="M2358" s="18"/>
      <c r="N2358" s="18"/>
      <c r="O2358" s="18"/>
      <c r="P2358" s="18"/>
      <c r="Q2358" s="22"/>
      <c r="R2358" s="21"/>
      <c r="S2358" s="21"/>
      <c r="T2358" s="21"/>
      <c r="AA2358"/>
      <c r="AH2358" t="str">
        <f t="shared" si="348"/>
        <v>k yet</v>
      </c>
    </row>
    <row r="2359" spans="1:39">
      <c r="A2359" s="42" t="s">
        <v>251</v>
      </c>
      <c r="B2359" s="1" t="s">
        <v>20</v>
      </c>
      <c r="C2359" s="40" t="str">
        <f t="shared" si="345"/>
        <v>06-&gt;</v>
      </c>
      <c r="D2359" s="40" t="str">
        <f t="shared" si="346"/>
        <v xml:space="preserve">No pick yet                                                 </v>
      </c>
      <c r="E2359" s="52">
        <f t="shared" si="347"/>
        <v>0</v>
      </c>
      <c r="F2359" s="18"/>
      <c r="M2359" s="18"/>
      <c r="N2359" s="18"/>
      <c r="O2359" s="18"/>
      <c r="P2359" s="18"/>
      <c r="Q2359" s="22"/>
      <c r="R2359" s="21"/>
      <c r="S2359" s="21"/>
      <c r="T2359" s="21"/>
      <c r="AA2359"/>
      <c r="AH2359" t="str">
        <f t="shared" si="348"/>
        <v>k yet</v>
      </c>
    </row>
    <row r="2360" spans="1:39">
      <c r="A2360" s="42" t="s">
        <v>252</v>
      </c>
      <c r="B2360" s="1" t="s">
        <v>20</v>
      </c>
      <c r="C2360" s="40" t="str">
        <f t="shared" si="345"/>
        <v>07-&gt;</v>
      </c>
      <c r="D2360" s="40" t="str">
        <f t="shared" si="346"/>
        <v xml:space="preserve">No pick yet                                                 </v>
      </c>
      <c r="E2360" s="52">
        <f t="shared" si="347"/>
        <v>0</v>
      </c>
      <c r="F2360" s="18"/>
      <c r="M2360" s="18"/>
      <c r="N2360" s="18"/>
      <c r="O2360" s="18"/>
      <c r="P2360" s="18"/>
      <c r="Q2360" s="22"/>
      <c r="R2360" s="21"/>
      <c r="S2360" s="21"/>
      <c r="T2360" s="21"/>
      <c r="AA2360"/>
      <c r="AH2360" t="str">
        <f t="shared" si="348"/>
        <v>k yet</v>
      </c>
    </row>
    <row r="2361" spans="1:39">
      <c r="A2361" s="42" t="s">
        <v>253</v>
      </c>
      <c r="B2361" s="1" t="s">
        <v>20</v>
      </c>
      <c r="C2361" s="40" t="str">
        <f t="shared" si="345"/>
        <v>08-&gt;</v>
      </c>
      <c r="D2361" s="40" t="str">
        <f t="shared" si="346"/>
        <v xml:space="preserve">No pick yet                                                 </v>
      </c>
      <c r="E2361" s="52">
        <f t="shared" si="347"/>
        <v>0</v>
      </c>
      <c r="F2361" s="18"/>
      <c r="M2361" s="18"/>
      <c r="N2361" s="18"/>
      <c r="O2361" s="18"/>
      <c r="P2361" s="18"/>
      <c r="Q2361" s="22"/>
      <c r="R2361" s="21"/>
      <c r="S2361" s="21"/>
      <c r="T2361" s="21"/>
      <c r="AA2361"/>
      <c r="AH2361" t="str">
        <f t="shared" si="348"/>
        <v>k yet</v>
      </c>
    </row>
    <row r="2362" spans="1:39">
      <c r="A2362" s="42" t="s">
        <v>254</v>
      </c>
      <c r="B2362" s="1" t="s">
        <v>20</v>
      </c>
      <c r="C2362" s="40" t="str">
        <f t="shared" si="345"/>
        <v>09-&gt;</v>
      </c>
      <c r="D2362" s="40" t="str">
        <f t="shared" si="346"/>
        <v xml:space="preserve">No pick yet                                                 </v>
      </c>
      <c r="E2362" s="52">
        <f t="shared" si="347"/>
        <v>0</v>
      </c>
      <c r="F2362" s="18"/>
      <c r="M2362" s="18"/>
      <c r="N2362" s="18"/>
      <c r="O2362" s="18"/>
      <c r="P2362" s="18"/>
      <c r="Q2362" s="22"/>
      <c r="R2362" s="21"/>
      <c r="S2362" s="21"/>
      <c r="T2362" s="21"/>
      <c r="AA2362"/>
      <c r="AH2362" t="str">
        <f t="shared" si="348"/>
        <v>k yet</v>
      </c>
    </row>
    <row r="2363" spans="1:39">
      <c r="A2363" s="42" t="s">
        <v>255</v>
      </c>
      <c r="B2363" s="1" t="s">
        <v>20</v>
      </c>
      <c r="C2363" s="40" t="str">
        <f t="shared" si="345"/>
        <v>10-&gt;</v>
      </c>
      <c r="D2363" s="40" t="str">
        <f t="shared" si="346"/>
        <v xml:space="preserve">No pick yet                                                 </v>
      </c>
      <c r="E2363" s="52">
        <f t="shared" si="347"/>
        <v>0</v>
      </c>
      <c r="F2363" s="22"/>
      <c r="M2363" s="18"/>
      <c r="N2363" s="18"/>
      <c r="O2363" s="18"/>
      <c r="P2363" s="18"/>
      <c r="Q2363" s="22"/>
      <c r="R2363" s="21"/>
      <c r="S2363" s="21"/>
      <c r="T2363" s="21"/>
      <c r="AA2363"/>
      <c r="AH2363" t="str">
        <f t="shared" si="348"/>
        <v>k yet</v>
      </c>
    </row>
    <row r="2364" spans="1:39">
      <c r="A2364" s="42" t="s">
        <v>256</v>
      </c>
      <c r="B2364" s="1" t="s">
        <v>20</v>
      </c>
      <c r="C2364" s="40" t="str">
        <f t="shared" si="345"/>
        <v>11-&gt;</v>
      </c>
      <c r="D2364" s="40" t="str">
        <f t="shared" si="346"/>
        <v xml:space="preserve">No pick yet                                                 </v>
      </c>
      <c r="E2364" s="52">
        <f t="shared" si="347"/>
        <v>0</v>
      </c>
      <c r="M2364" s="18"/>
      <c r="N2364" s="18"/>
      <c r="O2364" s="18"/>
      <c r="P2364" s="18"/>
      <c r="Q2364" s="22"/>
      <c r="R2364" s="21"/>
      <c r="S2364" s="21"/>
      <c r="T2364" s="21"/>
      <c r="AA2364"/>
      <c r="AH2364" t="str">
        <f t="shared" si="348"/>
        <v>k yet</v>
      </c>
    </row>
    <row r="2365" spans="1:39">
      <c r="A2365" s="42" t="s">
        <v>257</v>
      </c>
      <c r="B2365" s="1" t="s">
        <v>20</v>
      </c>
      <c r="C2365" s="40" t="str">
        <f t="shared" si="345"/>
        <v>12-&gt;</v>
      </c>
      <c r="D2365" s="40" t="str">
        <f t="shared" si="346"/>
        <v xml:space="preserve">No pick yet                                                 </v>
      </c>
      <c r="E2365" s="52">
        <f t="shared" si="347"/>
        <v>0</v>
      </c>
      <c r="M2365" s="18"/>
      <c r="N2365" s="18"/>
      <c r="O2365" s="18"/>
      <c r="P2365" s="18"/>
      <c r="Q2365" s="22"/>
      <c r="R2365" s="21"/>
      <c r="S2365" s="21"/>
      <c r="T2365" s="21"/>
      <c r="AA2365"/>
      <c r="AH2365" t="str">
        <f t="shared" si="348"/>
        <v>k yet</v>
      </c>
    </row>
    <row r="2366" spans="1:39">
      <c r="A2366" s="42" t="s">
        <v>258</v>
      </c>
      <c r="B2366" s="1" t="s">
        <v>20</v>
      </c>
      <c r="C2366" s="40" t="str">
        <f t="shared" si="345"/>
        <v>13-&gt;</v>
      </c>
      <c r="D2366" s="40" t="str">
        <f t="shared" si="346"/>
        <v xml:space="preserve">No pick yet                                                 </v>
      </c>
      <c r="E2366" s="52">
        <f t="shared" si="347"/>
        <v>0</v>
      </c>
      <c r="M2366" s="18"/>
      <c r="N2366" s="18"/>
      <c r="O2366" s="18"/>
      <c r="P2366" s="18"/>
      <c r="Q2366" s="22"/>
      <c r="R2366" s="21"/>
      <c r="S2366" s="21"/>
      <c r="T2366" s="21"/>
      <c r="AA2366"/>
      <c r="AH2366" t="str">
        <f t="shared" si="348"/>
        <v>k yet</v>
      </c>
    </row>
    <row r="2367" spans="1:39">
      <c r="A2367" s="42" t="s">
        <v>259</v>
      </c>
      <c r="B2367" s="1" t="s">
        <v>20</v>
      </c>
      <c r="C2367" s="40" t="str">
        <f t="shared" si="345"/>
        <v>14-&gt;</v>
      </c>
      <c r="D2367" s="40" t="str">
        <f t="shared" si="346"/>
        <v xml:space="preserve">No pick yet                                                 </v>
      </c>
      <c r="E2367" s="52">
        <f t="shared" si="347"/>
        <v>0</v>
      </c>
      <c r="M2367" s="18"/>
      <c r="N2367" s="18"/>
      <c r="O2367" s="18"/>
      <c r="P2367" s="18"/>
      <c r="Q2367" s="22"/>
      <c r="R2367" s="21"/>
      <c r="S2367" s="21"/>
      <c r="T2367" s="21"/>
      <c r="AA2367"/>
      <c r="AH2367" t="str">
        <f t="shared" si="348"/>
        <v>k yet</v>
      </c>
    </row>
    <row r="2368" spans="1:39">
      <c r="A2368" s="42" t="s">
        <v>260</v>
      </c>
      <c r="B2368" s="1" t="s">
        <v>20</v>
      </c>
      <c r="C2368" s="40" t="str">
        <f t="shared" si="345"/>
        <v>15-&gt;</v>
      </c>
      <c r="D2368" s="40" t="str">
        <f t="shared" si="346"/>
        <v xml:space="preserve">No pick yet                                                 </v>
      </c>
      <c r="E2368" s="52">
        <f t="shared" si="347"/>
        <v>0</v>
      </c>
      <c r="M2368" s="18"/>
      <c r="N2368" s="18"/>
      <c r="O2368" s="18"/>
      <c r="P2368" s="18"/>
      <c r="Q2368" s="22"/>
      <c r="R2368" s="21"/>
      <c r="S2368" s="21"/>
      <c r="T2368" s="21"/>
      <c r="AA2368"/>
      <c r="AH2368" t="str">
        <f t="shared" si="348"/>
        <v>k yet</v>
      </c>
    </row>
    <row r="2369" spans="1:39">
      <c r="A2369" s="42" t="s">
        <v>261</v>
      </c>
      <c r="B2369" s="1" t="s">
        <v>20</v>
      </c>
      <c r="C2369" s="40" t="str">
        <f t="shared" si="345"/>
        <v>16-&gt;</v>
      </c>
      <c r="D2369" s="40" t="str">
        <f t="shared" si="346"/>
        <v xml:space="preserve">No pick yet                                                 </v>
      </c>
      <c r="E2369" s="52">
        <f t="shared" si="347"/>
        <v>0</v>
      </c>
      <c r="M2369" s="18"/>
      <c r="N2369" s="18"/>
      <c r="O2369" s="18"/>
      <c r="P2369" s="18"/>
      <c r="Q2369" s="22"/>
      <c r="R2369" s="21"/>
      <c r="S2369" s="21"/>
      <c r="T2369" s="21"/>
      <c r="AA2369"/>
      <c r="AH2369" t="str">
        <f t="shared" si="348"/>
        <v>k yet</v>
      </c>
    </row>
    <row r="2370" spans="1:39">
      <c r="A2370" s="42" t="s">
        <v>262</v>
      </c>
      <c r="B2370" s="1" t="s">
        <v>20</v>
      </c>
      <c r="C2370" s="40" t="str">
        <f t="shared" si="345"/>
        <v>17-&gt;</v>
      </c>
      <c r="D2370" s="40" t="str">
        <f t="shared" si="346"/>
        <v xml:space="preserve">No pick yet                                                 </v>
      </c>
      <c r="E2370" s="52">
        <f t="shared" si="347"/>
        <v>0</v>
      </c>
      <c r="K2370" s="22"/>
      <c r="N2370" s="22"/>
      <c r="O2370" s="22"/>
      <c r="P2370" s="22"/>
      <c r="Q2370" s="22"/>
      <c r="R2370" s="22"/>
      <c r="S2370" s="22"/>
      <c r="Z2370" s="53"/>
      <c r="AA2370"/>
      <c r="AH2370" t="str">
        <f t="shared" si="348"/>
        <v>k yet</v>
      </c>
    </row>
    <row r="2371" spans="1:39">
      <c r="A2371" s="42" t="s">
        <v>263</v>
      </c>
      <c r="B2371" s="1" t="s">
        <v>20</v>
      </c>
      <c r="C2371" s="40" t="str">
        <f t="shared" si="345"/>
        <v>18-&gt;</v>
      </c>
      <c r="D2371" s="40" t="str">
        <f t="shared" si="346"/>
        <v xml:space="preserve">No pick yet                                                 </v>
      </c>
      <c r="E2371" s="52">
        <f t="shared" si="347"/>
        <v>0</v>
      </c>
      <c r="F2371" s="18"/>
      <c r="L2371" s="21"/>
      <c r="N2371" s="22"/>
      <c r="O2371" s="22"/>
      <c r="P2371" s="18"/>
      <c r="Q2371" s="22"/>
      <c r="R2371" s="22"/>
      <c r="S2371" s="22"/>
      <c r="Z2371" s="53"/>
      <c r="AA2371"/>
      <c r="AH2371" t="str">
        <f t="shared" si="348"/>
        <v>k yet</v>
      </c>
    </row>
    <row r="2372" spans="1:39">
      <c r="A2372" s="42" t="s">
        <v>264</v>
      </c>
      <c r="B2372" s="1" t="s">
        <v>20</v>
      </c>
      <c r="C2372" s="40" t="str">
        <f t="shared" si="345"/>
        <v>19-&gt;</v>
      </c>
      <c r="D2372" s="40" t="str">
        <f t="shared" si="346"/>
        <v xml:space="preserve">No pick yet                                                 </v>
      </c>
      <c r="E2372" s="52">
        <f t="shared" si="347"/>
        <v>0</v>
      </c>
      <c r="F2372" s="18"/>
      <c r="M2372" s="18"/>
      <c r="N2372" s="18"/>
      <c r="O2372" s="18"/>
      <c r="P2372" s="18"/>
      <c r="Q2372" s="22"/>
      <c r="R2372" s="21"/>
      <c r="S2372" s="21"/>
      <c r="T2372" s="21"/>
      <c r="AA2372"/>
      <c r="AH2372" t="str">
        <f t="shared" si="348"/>
        <v>k yet</v>
      </c>
    </row>
    <row r="2373" spans="1:39">
      <c r="A2373" s="42" t="s">
        <v>265</v>
      </c>
      <c r="B2373" s="1" t="s">
        <v>20</v>
      </c>
      <c r="C2373" s="40" t="str">
        <f t="shared" si="345"/>
        <v>20-&gt;</v>
      </c>
      <c r="D2373" s="40" t="str">
        <f t="shared" si="346"/>
        <v xml:space="preserve">No pick yet                                                 </v>
      </c>
      <c r="E2373" s="52">
        <f t="shared" si="347"/>
        <v>0</v>
      </c>
      <c r="F2373" s="18"/>
      <c r="M2373" s="18"/>
      <c r="N2373" s="18"/>
      <c r="O2373" s="18"/>
      <c r="P2373" s="18"/>
      <c r="Q2373" s="22"/>
      <c r="R2373" s="21"/>
      <c r="S2373" s="21"/>
      <c r="T2373" s="21"/>
      <c r="AA2373"/>
      <c r="AH2373" t="str">
        <f t="shared" si="348"/>
        <v>k yet</v>
      </c>
    </row>
    <row r="2374" spans="1:39">
      <c r="A2374" s="42" t="s">
        <v>266</v>
      </c>
      <c r="B2374" s="1" t="s">
        <v>20</v>
      </c>
      <c r="C2374" s="40" t="str">
        <f t="shared" si="345"/>
        <v>21-&gt;</v>
      </c>
      <c r="D2374" s="40" t="str">
        <f t="shared" si="346"/>
        <v xml:space="preserve">No pick yet                                                 </v>
      </c>
      <c r="E2374" s="52">
        <f t="shared" si="347"/>
        <v>0</v>
      </c>
      <c r="F2374" s="18"/>
      <c r="M2374" s="18"/>
      <c r="N2374" s="18"/>
      <c r="O2374" s="18"/>
      <c r="P2374" s="18"/>
      <c r="Q2374" s="22"/>
      <c r="R2374" s="21"/>
      <c r="S2374" s="21"/>
      <c r="T2374" s="21"/>
      <c r="AA2374"/>
      <c r="AH2374" t="str">
        <f t="shared" si="348"/>
        <v>k yet</v>
      </c>
    </row>
    <row r="2375" spans="1:39">
      <c r="A2375" s="42" t="s">
        <v>267</v>
      </c>
      <c r="B2375" s="1" t="s">
        <v>20</v>
      </c>
      <c r="C2375" s="40" t="str">
        <f t="shared" si="345"/>
        <v>22-&gt;</v>
      </c>
      <c r="D2375" s="40" t="str">
        <f t="shared" si="346"/>
        <v xml:space="preserve">No pick yet                                                 </v>
      </c>
      <c r="E2375" s="52">
        <f t="shared" si="347"/>
        <v>0</v>
      </c>
      <c r="F2375" s="18"/>
      <c r="M2375" s="18"/>
      <c r="N2375" s="18"/>
      <c r="O2375" s="18"/>
      <c r="P2375" s="18"/>
      <c r="Q2375" s="22"/>
      <c r="R2375" s="21"/>
      <c r="S2375" s="21"/>
      <c r="T2375" s="21"/>
      <c r="AA2375"/>
      <c r="AH2375" t="str">
        <f t="shared" si="348"/>
        <v>k yet</v>
      </c>
    </row>
    <row r="2376" spans="1:39">
      <c r="A2376" s="42" t="s">
        <v>268</v>
      </c>
      <c r="B2376" s="1" t="s">
        <v>20</v>
      </c>
      <c r="C2376" s="40" t="str">
        <f t="shared" si="345"/>
        <v>23-&gt;</v>
      </c>
      <c r="D2376" s="40" t="str">
        <f t="shared" si="346"/>
        <v xml:space="preserve">No pick yet                                                 </v>
      </c>
      <c r="E2376" s="52">
        <f t="shared" si="347"/>
        <v>0</v>
      </c>
      <c r="F2376" s="18"/>
      <c r="M2376" s="18"/>
      <c r="N2376" s="18"/>
      <c r="O2376" s="18"/>
      <c r="P2376" s="18"/>
      <c r="Q2376" s="22"/>
      <c r="R2376" s="21"/>
      <c r="S2376" s="21"/>
      <c r="T2376" s="21"/>
      <c r="AA2376"/>
      <c r="AH2376" t="str">
        <f t="shared" si="348"/>
        <v>k yet</v>
      </c>
    </row>
    <row r="2377" spans="1:39">
      <c r="A2377" s="42" t="s">
        <v>269</v>
      </c>
      <c r="B2377" s="1" t="s">
        <v>20</v>
      </c>
      <c r="C2377" s="40" t="str">
        <f t="shared" si="345"/>
        <v>24-&gt;</v>
      </c>
      <c r="D2377" s="40" t="str">
        <f t="shared" si="346"/>
        <v xml:space="preserve">No pick yet                                                 </v>
      </c>
      <c r="E2377" s="52">
        <f t="shared" si="347"/>
        <v>0</v>
      </c>
      <c r="F2377" s="18"/>
      <c r="M2377" s="18"/>
      <c r="N2377" s="18"/>
      <c r="O2377" s="18"/>
      <c r="P2377" s="18"/>
      <c r="Q2377" s="22"/>
      <c r="R2377" s="21"/>
      <c r="S2377" s="21"/>
      <c r="T2377" s="21"/>
      <c r="AA2377"/>
      <c r="AH2377" t="str">
        <f t="shared" si="348"/>
        <v>k yet</v>
      </c>
    </row>
    <row r="2378" spans="1:39">
      <c r="A2378" s="42" t="s">
        <v>270</v>
      </c>
      <c r="B2378" s="1" t="s">
        <v>20</v>
      </c>
      <c r="C2378" s="40" t="str">
        <f t="shared" si="345"/>
        <v>25-&gt;</v>
      </c>
      <c r="D2378" s="40" t="str">
        <f t="shared" si="346"/>
        <v xml:space="preserve">No pick yet                                                 </v>
      </c>
      <c r="E2378" s="52">
        <f t="shared" si="347"/>
        <v>0</v>
      </c>
      <c r="F2378" s="18"/>
      <c r="M2378" s="18"/>
      <c r="N2378" s="18"/>
      <c r="O2378" s="18"/>
      <c r="P2378" s="18"/>
      <c r="Q2378" s="22"/>
      <c r="R2378" s="21"/>
      <c r="S2378" s="21"/>
      <c r="T2378" s="21"/>
      <c r="AA2378"/>
      <c r="AH2378" t="str">
        <f t="shared" si="348"/>
        <v>k yet</v>
      </c>
    </row>
    <row r="2379" spans="1:39">
      <c r="A2379" s="42" t="s">
        <v>271</v>
      </c>
      <c r="B2379" s="1" t="s">
        <v>20</v>
      </c>
      <c r="C2379" s="40" t="str">
        <f t="shared" si="345"/>
        <v>26-&gt;</v>
      </c>
      <c r="D2379" s="40" t="str">
        <f t="shared" si="346"/>
        <v xml:space="preserve">No pick yet                                                 </v>
      </c>
      <c r="E2379" s="52">
        <f t="shared" si="347"/>
        <v>0</v>
      </c>
      <c r="F2379" s="18"/>
      <c r="M2379" s="18"/>
      <c r="N2379" s="18"/>
      <c r="O2379" s="18"/>
      <c r="P2379" s="18"/>
      <c r="Q2379" s="22"/>
      <c r="R2379" s="21"/>
      <c r="S2379" s="21"/>
      <c r="T2379" s="21"/>
      <c r="AA2379"/>
      <c r="AH2379" t="str">
        <f t="shared" si="348"/>
        <v>k yet</v>
      </c>
    </row>
    <row r="2380" spans="1:39">
      <c r="A2380" s="38"/>
      <c r="B2380" s="40"/>
      <c r="C2380" s="40"/>
      <c r="D2380" s="49"/>
      <c r="E2380" s="41" t="s">
        <v>69</v>
      </c>
      <c r="F2380" s="18"/>
      <c r="K2380" s="22" t="s">
        <v>73</v>
      </c>
      <c r="L2380" s="18" t="s">
        <v>74</v>
      </c>
      <c r="M2380" s="22" t="s">
        <v>78</v>
      </c>
      <c r="N2380" s="22" t="s">
        <v>79</v>
      </c>
      <c r="O2380" s="22" t="s">
        <v>80</v>
      </c>
      <c r="P2380" s="22" t="s">
        <v>81</v>
      </c>
      <c r="Q2380" s="22" t="s">
        <v>82</v>
      </c>
      <c r="R2380" s="22" t="s">
        <v>83</v>
      </c>
      <c r="S2380" s="22" t="s">
        <v>84</v>
      </c>
      <c r="T2380" s="18" t="s">
        <v>85</v>
      </c>
      <c r="U2380" s="18" t="s">
        <v>86</v>
      </c>
      <c r="V2380" s="18" t="s">
        <v>87</v>
      </c>
      <c r="W2380" s="18" t="s">
        <v>88</v>
      </c>
      <c r="X2380" s="18" t="s">
        <v>89</v>
      </c>
      <c r="Y2380" s="18" t="s">
        <v>90</v>
      </c>
      <c r="Z2380" s="18" t="s">
        <v>91</v>
      </c>
      <c r="AA2380" s="18" t="s">
        <v>92</v>
      </c>
      <c r="AB2380" s="18" t="s">
        <v>93</v>
      </c>
      <c r="AC2380" s="18" t="s">
        <v>94</v>
      </c>
      <c r="AD2380" s="18" t="s">
        <v>235</v>
      </c>
      <c r="AE2380" s="18" t="s">
        <v>236</v>
      </c>
      <c r="AF2380" s="18" t="s">
        <v>237</v>
      </c>
      <c r="AG2380" s="18" t="s">
        <v>238</v>
      </c>
      <c r="AH2380" s="18" t="s">
        <v>239</v>
      </c>
      <c r="AI2380" s="18" t="s">
        <v>240</v>
      </c>
      <c r="AJ2380" s="18" t="s">
        <v>241</v>
      </c>
      <c r="AK2380" s="18" t="s">
        <v>242</v>
      </c>
      <c r="AL2380" s="18" t="s">
        <v>243</v>
      </c>
      <c r="AM2380" s="50" t="s">
        <v>244</v>
      </c>
    </row>
    <row r="2381" spans="1:39">
      <c r="A2381" s="40" t="s">
        <v>245</v>
      </c>
      <c r="B2381" s="51" t="str">
        <f>D84</f>
        <v/>
      </c>
      <c r="C2381" s="40" t="str">
        <f t="shared" ref="C2381:C2407" si="349">A2381</f>
        <v>#</v>
      </c>
      <c r="D2381" s="40" t="str">
        <f>"   "&amp;B2381&amp;REPT(" ",$AH$70-LEN(B2381)-3)</f>
        <v xml:space="preserve">                                                            </v>
      </c>
      <c r="E2381" s="38" t="str">
        <f>SUM(E2382:E2407)&amp;" pts[/b]"</f>
        <v>0 pts[/b]</v>
      </c>
      <c r="F2381" s="21">
        <f>SUM(E2382:E2407)</f>
        <v>0</v>
      </c>
      <c r="K2381" s="18">
        <f>COUNTIF(E2382:E2407,"&gt;0")</f>
        <v>0</v>
      </c>
      <c r="L2381" s="21">
        <f>AM2381-K2381</f>
        <v>0</v>
      </c>
      <c r="M2381" s="22">
        <f>MAX(E2382:E2407)</f>
        <v>0</v>
      </c>
      <c r="N2381" s="22">
        <f>LARGE(E2382:E2407,2)</f>
        <v>0</v>
      </c>
      <c r="O2381" s="22">
        <f>LARGE(E2382:E2407,3)</f>
        <v>0</v>
      </c>
      <c r="P2381" s="18">
        <f>LARGE(E2382:E2407,4)</f>
        <v>0</v>
      </c>
      <c r="Q2381" s="22">
        <f>LARGE(E2382:E2407,5)</f>
        <v>0</v>
      </c>
      <c r="R2381" s="22">
        <f>LARGE(E2382:E2407,6)</f>
        <v>0</v>
      </c>
      <c r="S2381" s="22">
        <f>LARGE(E2382:E2407,7)</f>
        <v>0</v>
      </c>
      <c r="T2381" s="18">
        <f>LARGE(E2382:E2407,8)</f>
        <v>0</v>
      </c>
      <c r="U2381" s="18">
        <f>LARGE(E2382:E2407,9)</f>
        <v>0</v>
      </c>
      <c r="V2381" s="18">
        <f>LARGE(E2382:E2407,10)</f>
        <v>0</v>
      </c>
      <c r="W2381" s="18">
        <f>LARGE(E2382:E2407,11)</f>
        <v>0</v>
      </c>
      <c r="X2381" s="18">
        <f>LARGE(E2382:E2407,12)</f>
        <v>0</v>
      </c>
      <c r="Y2381" s="18">
        <f>LARGE(E2382:E2407,13)</f>
        <v>0</v>
      </c>
      <c r="Z2381" s="18">
        <f>LARGE(E2382:E2407,14)</f>
        <v>0</v>
      </c>
      <c r="AA2381" s="18">
        <f>LARGE(E2382:E2407,15)</f>
        <v>0</v>
      </c>
      <c r="AB2381" s="18">
        <f>LARGE(E2382:E2407,16)</f>
        <v>0</v>
      </c>
      <c r="AC2381" s="18">
        <f>LARGE(E2382:E2407,17)</f>
        <v>0</v>
      </c>
      <c r="AD2381" s="18">
        <f>LARGE(E2382:E2408,13)</f>
        <v>0</v>
      </c>
      <c r="AE2381" s="18">
        <f>LARGE(E2382:E2407,19)</f>
        <v>0</v>
      </c>
      <c r="AF2381" s="18">
        <f>LARGE(E2382:E2407,20)</f>
        <v>0</v>
      </c>
      <c r="AG2381" s="18">
        <f>LARGE(E2382:E2407,21)</f>
        <v>0</v>
      </c>
      <c r="AH2381" s="18">
        <f>LARGE(E2382:E2407,22)</f>
        <v>0</v>
      </c>
      <c r="AI2381" s="18">
        <f>LARGE(E2382:E2407,23)</f>
        <v>0</v>
      </c>
      <c r="AJ2381" s="18">
        <f>LARGE(E2382:E2407,24)</f>
        <v>0</v>
      </c>
      <c r="AK2381" s="18">
        <f>LARGE(E2382:E2407,25)</f>
        <v>0</v>
      </c>
      <c r="AL2381" s="18">
        <f>LARGE(E2382:E2407,26)</f>
        <v>0</v>
      </c>
      <c r="AM2381" s="50">
        <f>COUNTIF(AH2382:AH2407,"&lt;&gt;"&amp;$AH$76)-(26-COUNTIF(E2382:E2407,"&gt;=0"))</f>
        <v>0</v>
      </c>
    </row>
    <row r="2382" spans="1:39">
      <c r="A2382" s="42" t="s">
        <v>246</v>
      </c>
      <c r="B2382" s="1" t="s">
        <v>20</v>
      </c>
      <c r="C2382" s="40" t="str">
        <f t="shared" si="349"/>
        <v>01-&gt;</v>
      </c>
      <c r="D2382" s="40" t="str">
        <f t="shared" ref="D2382:D2407" si="350">B2382&amp;REPT(" ",$AH$70-LEN(B2382))</f>
        <v xml:space="preserve">No pick yet                                                 </v>
      </c>
      <c r="E2382" s="52">
        <f t="shared" ref="E2382:E2407" si="351">VLOOKUP(RIGHT(B2382,LEN(B2382)-$AH$66),$H$138:$I$420,2,0)</f>
        <v>0</v>
      </c>
      <c r="F2382" s="18"/>
      <c r="M2382" s="18"/>
      <c r="N2382" s="18"/>
      <c r="O2382" s="18"/>
      <c r="P2382" s="18"/>
      <c r="Q2382" s="22"/>
      <c r="R2382" s="21"/>
      <c r="S2382" s="21"/>
      <c r="T2382" s="21"/>
      <c r="AA2382"/>
      <c r="AH2382" t="str">
        <f t="shared" ref="AH2382:AH2407" si="352">RIGHT(B2382,LEN(B2382)-$AH$66)</f>
        <v>k yet</v>
      </c>
    </row>
    <row r="2383" spans="1:39">
      <c r="A2383" s="42" t="s">
        <v>247</v>
      </c>
      <c r="B2383" s="1" t="s">
        <v>20</v>
      </c>
      <c r="C2383" s="40" t="str">
        <f t="shared" si="349"/>
        <v>02-&gt;</v>
      </c>
      <c r="D2383" s="40" t="str">
        <f t="shared" si="350"/>
        <v xml:space="preserve">No pick yet                                                 </v>
      </c>
      <c r="E2383" s="52">
        <f t="shared" si="351"/>
        <v>0</v>
      </c>
      <c r="F2383" s="18"/>
      <c r="K2383" s="22"/>
      <c r="N2383" s="22"/>
      <c r="O2383" s="22"/>
      <c r="P2383" s="22"/>
      <c r="Q2383" s="22"/>
      <c r="R2383" s="22"/>
      <c r="S2383" s="22"/>
      <c r="Z2383" s="53"/>
      <c r="AA2383"/>
      <c r="AH2383" t="str">
        <f t="shared" si="352"/>
        <v>k yet</v>
      </c>
    </row>
    <row r="2384" spans="1:39">
      <c r="A2384" s="42" t="s">
        <v>248</v>
      </c>
      <c r="B2384" s="1" t="s">
        <v>20</v>
      </c>
      <c r="C2384" s="40" t="str">
        <f t="shared" si="349"/>
        <v>03-&gt;</v>
      </c>
      <c r="D2384" s="40" t="str">
        <f t="shared" si="350"/>
        <v xml:space="preserve">No pick yet                                                 </v>
      </c>
      <c r="E2384" s="52">
        <f t="shared" si="351"/>
        <v>0</v>
      </c>
      <c r="F2384" s="18"/>
      <c r="L2384" s="21"/>
      <c r="N2384" s="22"/>
      <c r="O2384" s="22"/>
      <c r="P2384" s="18"/>
      <c r="Q2384" s="22"/>
      <c r="R2384" s="22"/>
      <c r="S2384" s="22"/>
      <c r="Z2384" s="53"/>
      <c r="AA2384"/>
      <c r="AH2384" t="str">
        <f t="shared" si="352"/>
        <v>k yet</v>
      </c>
    </row>
    <row r="2385" spans="1:34">
      <c r="A2385" s="42" t="s">
        <v>249</v>
      </c>
      <c r="B2385" s="1" t="s">
        <v>20</v>
      </c>
      <c r="C2385" s="40" t="str">
        <f t="shared" si="349"/>
        <v>04-&gt;</v>
      </c>
      <c r="D2385" s="40" t="str">
        <f t="shared" si="350"/>
        <v xml:space="preserve">No pick yet                                                 </v>
      </c>
      <c r="E2385" s="52">
        <f t="shared" si="351"/>
        <v>0</v>
      </c>
      <c r="F2385" s="18"/>
      <c r="M2385" s="18"/>
      <c r="N2385" s="18"/>
      <c r="O2385" s="18"/>
      <c r="P2385" s="18"/>
      <c r="Q2385" s="22"/>
      <c r="R2385" s="21"/>
      <c r="S2385" s="21"/>
      <c r="T2385" s="21"/>
      <c r="AA2385"/>
      <c r="AH2385" t="str">
        <f t="shared" si="352"/>
        <v>k yet</v>
      </c>
    </row>
    <row r="2386" spans="1:34">
      <c r="A2386" s="42" t="s">
        <v>250</v>
      </c>
      <c r="B2386" s="1" t="s">
        <v>20</v>
      </c>
      <c r="C2386" s="40" t="str">
        <f t="shared" si="349"/>
        <v>05-&gt;</v>
      </c>
      <c r="D2386" s="40" t="str">
        <f t="shared" si="350"/>
        <v xml:space="preserve">No pick yet                                                 </v>
      </c>
      <c r="E2386" s="52">
        <f t="shared" si="351"/>
        <v>0</v>
      </c>
      <c r="F2386" s="18"/>
      <c r="M2386" s="18"/>
      <c r="N2386" s="18"/>
      <c r="O2386" s="18"/>
      <c r="P2386" s="18"/>
      <c r="Q2386" s="22"/>
      <c r="R2386" s="21"/>
      <c r="S2386" s="21"/>
      <c r="T2386" s="21"/>
      <c r="AA2386"/>
      <c r="AH2386" t="str">
        <f t="shared" si="352"/>
        <v>k yet</v>
      </c>
    </row>
    <row r="2387" spans="1:34">
      <c r="A2387" s="42" t="s">
        <v>251</v>
      </c>
      <c r="B2387" s="1" t="s">
        <v>20</v>
      </c>
      <c r="C2387" s="40" t="str">
        <f t="shared" si="349"/>
        <v>06-&gt;</v>
      </c>
      <c r="D2387" s="40" t="str">
        <f t="shared" si="350"/>
        <v xml:space="preserve">No pick yet                                                 </v>
      </c>
      <c r="E2387" s="52">
        <f t="shared" si="351"/>
        <v>0</v>
      </c>
      <c r="F2387" s="18"/>
      <c r="M2387" s="18"/>
      <c r="N2387" s="18"/>
      <c r="O2387" s="18"/>
      <c r="P2387" s="18"/>
      <c r="Q2387" s="22"/>
      <c r="R2387" s="21"/>
      <c r="S2387" s="21"/>
      <c r="T2387" s="21"/>
      <c r="AA2387"/>
      <c r="AH2387" t="str">
        <f t="shared" si="352"/>
        <v>k yet</v>
      </c>
    </row>
    <row r="2388" spans="1:34">
      <c r="A2388" s="42" t="s">
        <v>252</v>
      </c>
      <c r="B2388" s="1" t="s">
        <v>20</v>
      </c>
      <c r="C2388" s="40" t="str">
        <f t="shared" si="349"/>
        <v>07-&gt;</v>
      </c>
      <c r="D2388" s="40" t="str">
        <f t="shared" si="350"/>
        <v xml:space="preserve">No pick yet                                                 </v>
      </c>
      <c r="E2388" s="52">
        <f t="shared" si="351"/>
        <v>0</v>
      </c>
      <c r="F2388" s="18"/>
      <c r="M2388" s="18"/>
      <c r="N2388" s="18"/>
      <c r="O2388" s="18"/>
      <c r="P2388" s="18"/>
      <c r="Q2388" s="22"/>
      <c r="R2388" s="21"/>
      <c r="S2388" s="21"/>
      <c r="T2388" s="21"/>
      <c r="AA2388"/>
      <c r="AH2388" t="str">
        <f t="shared" si="352"/>
        <v>k yet</v>
      </c>
    </row>
    <row r="2389" spans="1:34">
      <c r="A2389" s="42" t="s">
        <v>253</v>
      </c>
      <c r="B2389" s="1" t="s">
        <v>20</v>
      </c>
      <c r="C2389" s="40" t="str">
        <f t="shared" si="349"/>
        <v>08-&gt;</v>
      </c>
      <c r="D2389" s="40" t="str">
        <f t="shared" si="350"/>
        <v xml:space="preserve">No pick yet                                                 </v>
      </c>
      <c r="E2389" s="52">
        <f t="shared" si="351"/>
        <v>0</v>
      </c>
      <c r="F2389" s="18"/>
      <c r="M2389" s="18"/>
      <c r="N2389" s="18"/>
      <c r="O2389" s="18"/>
      <c r="P2389" s="18"/>
      <c r="Q2389" s="22"/>
      <c r="R2389" s="21"/>
      <c r="S2389" s="21"/>
      <c r="T2389" s="21"/>
      <c r="AA2389"/>
      <c r="AH2389" t="str">
        <f t="shared" si="352"/>
        <v>k yet</v>
      </c>
    </row>
    <row r="2390" spans="1:34">
      <c r="A2390" s="42" t="s">
        <v>254</v>
      </c>
      <c r="B2390" s="1" t="s">
        <v>20</v>
      </c>
      <c r="C2390" s="40" t="str">
        <f t="shared" si="349"/>
        <v>09-&gt;</v>
      </c>
      <c r="D2390" s="40" t="str">
        <f t="shared" si="350"/>
        <v xml:space="preserve">No pick yet                                                 </v>
      </c>
      <c r="E2390" s="52">
        <f t="shared" si="351"/>
        <v>0</v>
      </c>
      <c r="F2390" s="18"/>
      <c r="M2390" s="18"/>
      <c r="N2390" s="18"/>
      <c r="O2390" s="18"/>
      <c r="P2390" s="18"/>
      <c r="Q2390" s="22"/>
      <c r="R2390" s="21"/>
      <c r="S2390" s="21"/>
      <c r="T2390" s="21"/>
      <c r="AA2390"/>
      <c r="AH2390" t="str">
        <f t="shared" si="352"/>
        <v>k yet</v>
      </c>
    </row>
    <row r="2391" spans="1:34">
      <c r="A2391" s="42" t="s">
        <v>255</v>
      </c>
      <c r="B2391" s="1" t="s">
        <v>20</v>
      </c>
      <c r="C2391" s="40" t="str">
        <f t="shared" si="349"/>
        <v>10-&gt;</v>
      </c>
      <c r="D2391" s="40" t="str">
        <f t="shared" si="350"/>
        <v xml:space="preserve">No pick yet                                                 </v>
      </c>
      <c r="E2391" s="52">
        <f t="shared" si="351"/>
        <v>0</v>
      </c>
      <c r="F2391" s="22"/>
      <c r="M2391" s="18"/>
      <c r="N2391" s="18"/>
      <c r="O2391" s="18"/>
      <c r="P2391" s="18"/>
      <c r="Q2391" s="22"/>
      <c r="R2391" s="21"/>
      <c r="S2391" s="21"/>
      <c r="T2391" s="21"/>
      <c r="AA2391"/>
      <c r="AH2391" t="str">
        <f t="shared" si="352"/>
        <v>k yet</v>
      </c>
    </row>
    <row r="2392" spans="1:34">
      <c r="A2392" s="42" t="s">
        <v>256</v>
      </c>
      <c r="B2392" s="1" t="s">
        <v>20</v>
      </c>
      <c r="C2392" s="40" t="str">
        <f t="shared" si="349"/>
        <v>11-&gt;</v>
      </c>
      <c r="D2392" s="40" t="str">
        <f t="shared" si="350"/>
        <v xml:space="preserve">No pick yet                                                 </v>
      </c>
      <c r="E2392" s="52">
        <f t="shared" si="351"/>
        <v>0</v>
      </c>
      <c r="M2392" s="18"/>
      <c r="N2392" s="18"/>
      <c r="O2392" s="18"/>
      <c r="P2392" s="18"/>
      <c r="Q2392" s="22"/>
      <c r="R2392" s="21"/>
      <c r="S2392" s="21"/>
      <c r="T2392" s="21"/>
      <c r="AA2392"/>
      <c r="AH2392" t="str">
        <f t="shared" si="352"/>
        <v>k yet</v>
      </c>
    </row>
    <row r="2393" spans="1:34">
      <c r="A2393" s="42" t="s">
        <v>257</v>
      </c>
      <c r="B2393" s="1" t="s">
        <v>20</v>
      </c>
      <c r="C2393" s="40" t="str">
        <f t="shared" si="349"/>
        <v>12-&gt;</v>
      </c>
      <c r="D2393" s="40" t="str">
        <f t="shared" si="350"/>
        <v xml:space="preserve">No pick yet                                                 </v>
      </c>
      <c r="E2393" s="52">
        <f t="shared" si="351"/>
        <v>0</v>
      </c>
      <c r="M2393" s="18"/>
      <c r="N2393" s="18"/>
      <c r="O2393" s="18"/>
      <c r="P2393" s="18"/>
      <c r="Q2393" s="22"/>
      <c r="R2393" s="21"/>
      <c r="S2393" s="21"/>
      <c r="T2393" s="21"/>
      <c r="AA2393"/>
      <c r="AH2393" t="str">
        <f t="shared" si="352"/>
        <v>k yet</v>
      </c>
    </row>
    <row r="2394" spans="1:34">
      <c r="A2394" s="42" t="s">
        <v>258</v>
      </c>
      <c r="B2394" s="1" t="s">
        <v>20</v>
      </c>
      <c r="C2394" s="40" t="str">
        <f t="shared" si="349"/>
        <v>13-&gt;</v>
      </c>
      <c r="D2394" s="40" t="str">
        <f t="shared" si="350"/>
        <v xml:space="preserve">No pick yet                                                 </v>
      </c>
      <c r="E2394" s="52">
        <f t="shared" si="351"/>
        <v>0</v>
      </c>
      <c r="M2394" s="18"/>
      <c r="N2394" s="18"/>
      <c r="O2394" s="18"/>
      <c r="P2394" s="18"/>
      <c r="Q2394" s="22"/>
      <c r="R2394" s="21"/>
      <c r="S2394" s="21"/>
      <c r="T2394" s="21"/>
      <c r="AA2394"/>
      <c r="AH2394" t="str">
        <f t="shared" si="352"/>
        <v>k yet</v>
      </c>
    </row>
    <row r="2395" spans="1:34">
      <c r="A2395" s="42" t="s">
        <v>259</v>
      </c>
      <c r="B2395" s="1" t="s">
        <v>20</v>
      </c>
      <c r="C2395" s="40" t="str">
        <f t="shared" si="349"/>
        <v>14-&gt;</v>
      </c>
      <c r="D2395" s="40" t="str">
        <f t="shared" si="350"/>
        <v xml:space="preserve">No pick yet                                                 </v>
      </c>
      <c r="E2395" s="52">
        <f t="shared" si="351"/>
        <v>0</v>
      </c>
      <c r="M2395" s="18"/>
      <c r="N2395" s="18"/>
      <c r="O2395" s="18"/>
      <c r="P2395" s="18"/>
      <c r="Q2395" s="22"/>
      <c r="R2395" s="21"/>
      <c r="S2395" s="21"/>
      <c r="T2395" s="21"/>
      <c r="AA2395"/>
      <c r="AH2395" t="str">
        <f t="shared" si="352"/>
        <v>k yet</v>
      </c>
    </row>
    <row r="2396" spans="1:34">
      <c r="A2396" s="42" t="s">
        <v>260</v>
      </c>
      <c r="B2396" s="1" t="s">
        <v>20</v>
      </c>
      <c r="C2396" s="40" t="str">
        <f t="shared" si="349"/>
        <v>15-&gt;</v>
      </c>
      <c r="D2396" s="40" t="str">
        <f t="shared" si="350"/>
        <v xml:space="preserve">No pick yet                                                 </v>
      </c>
      <c r="E2396" s="52">
        <f t="shared" si="351"/>
        <v>0</v>
      </c>
      <c r="M2396" s="18"/>
      <c r="N2396" s="18"/>
      <c r="O2396" s="18"/>
      <c r="P2396" s="18"/>
      <c r="Q2396" s="22"/>
      <c r="R2396" s="21"/>
      <c r="S2396" s="21"/>
      <c r="T2396" s="21"/>
      <c r="AA2396"/>
      <c r="AH2396" t="str">
        <f t="shared" si="352"/>
        <v>k yet</v>
      </c>
    </row>
    <row r="2397" spans="1:34">
      <c r="A2397" s="42" t="s">
        <v>261</v>
      </c>
      <c r="B2397" s="1" t="s">
        <v>20</v>
      </c>
      <c r="C2397" s="40" t="str">
        <f t="shared" si="349"/>
        <v>16-&gt;</v>
      </c>
      <c r="D2397" s="40" t="str">
        <f t="shared" si="350"/>
        <v xml:space="preserve">No pick yet                                                 </v>
      </c>
      <c r="E2397" s="52">
        <f t="shared" si="351"/>
        <v>0</v>
      </c>
      <c r="M2397" s="18"/>
      <c r="N2397" s="18"/>
      <c r="O2397" s="18"/>
      <c r="P2397" s="18"/>
      <c r="Q2397" s="22"/>
      <c r="R2397" s="21"/>
      <c r="S2397" s="21"/>
      <c r="T2397" s="21"/>
      <c r="AA2397"/>
      <c r="AH2397" t="str">
        <f t="shared" si="352"/>
        <v>k yet</v>
      </c>
    </row>
    <row r="2398" spans="1:34">
      <c r="A2398" s="42" t="s">
        <v>262</v>
      </c>
      <c r="B2398" s="1" t="s">
        <v>20</v>
      </c>
      <c r="C2398" s="40" t="str">
        <f t="shared" si="349"/>
        <v>17-&gt;</v>
      </c>
      <c r="D2398" s="40" t="str">
        <f t="shared" si="350"/>
        <v xml:space="preserve">No pick yet                                                 </v>
      </c>
      <c r="E2398" s="52">
        <f t="shared" si="351"/>
        <v>0</v>
      </c>
      <c r="K2398" s="22"/>
      <c r="N2398" s="22"/>
      <c r="O2398" s="22"/>
      <c r="P2398" s="22"/>
      <c r="Q2398" s="22"/>
      <c r="R2398" s="22"/>
      <c r="S2398" s="22"/>
      <c r="Z2398" s="53"/>
      <c r="AA2398"/>
      <c r="AH2398" t="str">
        <f t="shared" si="352"/>
        <v>k yet</v>
      </c>
    </row>
    <row r="2399" spans="1:34">
      <c r="A2399" s="42" t="s">
        <v>263</v>
      </c>
      <c r="B2399" s="1" t="s">
        <v>20</v>
      </c>
      <c r="C2399" s="40" t="str">
        <f t="shared" si="349"/>
        <v>18-&gt;</v>
      </c>
      <c r="D2399" s="40" t="str">
        <f t="shared" si="350"/>
        <v xml:space="preserve">No pick yet                                                 </v>
      </c>
      <c r="E2399" s="52">
        <f t="shared" si="351"/>
        <v>0</v>
      </c>
      <c r="F2399" s="18"/>
      <c r="L2399" s="21"/>
      <c r="N2399" s="22"/>
      <c r="O2399" s="22"/>
      <c r="P2399" s="18"/>
      <c r="Q2399" s="22"/>
      <c r="R2399" s="22"/>
      <c r="S2399" s="22"/>
      <c r="Z2399" s="53"/>
      <c r="AA2399"/>
      <c r="AH2399" t="str">
        <f t="shared" si="352"/>
        <v>k yet</v>
      </c>
    </row>
    <row r="2400" spans="1:34">
      <c r="A2400" s="42" t="s">
        <v>264</v>
      </c>
      <c r="B2400" s="1" t="s">
        <v>20</v>
      </c>
      <c r="C2400" s="40" t="str">
        <f t="shared" si="349"/>
        <v>19-&gt;</v>
      </c>
      <c r="D2400" s="40" t="str">
        <f t="shared" si="350"/>
        <v xml:space="preserve">No pick yet                                                 </v>
      </c>
      <c r="E2400" s="52">
        <f t="shared" si="351"/>
        <v>0</v>
      </c>
      <c r="F2400" s="18"/>
      <c r="M2400" s="18"/>
      <c r="N2400" s="18"/>
      <c r="O2400" s="18"/>
      <c r="P2400" s="18"/>
      <c r="Q2400" s="22"/>
      <c r="R2400" s="21"/>
      <c r="S2400" s="21"/>
      <c r="T2400" s="21"/>
      <c r="AA2400"/>
      <c r="AH2400" t="str">
        <f t="shared" si="352"/>
        <v>k yet</v>
      </c>
    </row>
    <row r="2401" spans="1:39">
      <c r="A2401" s="42" t="s">
        <v>265</v>
      </c>
      <c r="B2401" s="1" t="s">
        <v>20</v>
      </c>
      <c r="C2401" s="40" t="str">
        <f t="shared" si="349"/>
        <v>20-&gt;</v>
      </c>
      <c r="D2401" s="40" t="str">
        <f t="shared" si="350"/>
        <v xml:space="preserve">No pick yet                                                 </v>
      </c>
      <c r="E2401" s="52">
        <f t="shared" si="351"/>
        <v>0</v>
      </c>
      <c r="F2401" s="18"/>
      <c r="M2401" s="18"/>
      <c r="N2401" s="18"/>
      <c r="O2401" s="18"/>
      <c r="P2401" s="18"/>
      <c r="Q2401" s="22"/>
      <c r="R2401" s="21"/>
      <c r="S2401" s="21"/>
      <c r="T2401" s="21"/>
      <c r="AA2401"/>
      <c r="AH2401" t="str">
        <f t="shared" si="352"/>
        <v>k yet</v>
      </c>
    </row>
    <row r="2402" spans="1:39">
      <c r="A2402" s="42" t="s">
        <v>266</v>
      </c>
      <c r="B2402" s="1" t="s">
        <v>20</v>
      </c>
      <c r="C2402" s="40" t="str">
        <f t="shared" si="349"/>
        <v>21-&gt;</v>
      </c>
      <c r="D2402" s="40" t="str">
        <f t="shared" si="350"/>
        <v xml:space="preserve">No pick yet                                                 </v>
      </c>
      <c r="E2402" s="52">
        <f t="shared" si="351"/>
        <v>0</v>
      </c>
      <c r="F2402" s="18"/>
      <c r="M2402" s="18"/>
      <c r="N2402" s="18"/>
      <c r="O2402" s="18"/>
      <c r="P2402" s="18"/>
      <c r="Q2402" s="22"/>
      <c r="R2402" s="21"/>
      <c r="S2402" s="21"/>
      <c r="T2402" s="21"/>
      <c r="AA2402"/>
      <c r="AH2402" t="str">
        <f t="shared" si="352"/>
        <v>k yet</v>
      </c>
    </row>
    <row r="2403" spans="1:39">
      <c r="A2403" s="42" t="s">
        <v>267</v>
      </c>
      <c r="B2403" s="1" t="s">
        <v>20</v>
      </c>
      <c r="C2403" s="40" t="str">
        <f t="shared" si="349"/>
        <v>22-&gt;</v>
      </c>
      <c r="D2403" s="40" t="str">
        <f t="shared" si="350"/>
        <v xml:space="preserve">No pick yet                                                 </v>
      </c>
      <c r="E2403" s="52">
        <f t="shared" si="351"/>
        <v>0</v>
      </c>
      <c r="F2403" s="18"/>
      <c r="M2403" s="18"/>
      <c r="N2403" s="18"/>
      <c r="O2403" s="18"/>
      <c r="P2403" s="18"/>
      <c r="Q2403" s="22"/>
      <c r="R2403" s="21"/>
      <c r="S2403" s="21"/>
      <c r="T2403" s="21"/>
      <c r="AA2403"/>
      <c r="AH2403" t="str">
        <f t="shared" si="352"/>
        <v>k yet</v>
      </c>
    </row>
    <row r="2404" spans="1:39">
      <c r="A2404" s="42" t="s">
        <v>268</v>
      </c>
      <c r="B2404" s="1" t="s">
        <v>20</v>
      </c>
      <c r="C2404" s="40" t="str">
        <f t="shared" si="349"/>
        <v>23-&gt;</v>
      </c>
      <c r="D2404" s="40" t="str">
        <f t="shared" si="350"/>
        <v xml:space="preserve">No pick yet                                                 </v>
      </c>
      <c r="E2404" s="52">
        <f t="shared" si="351"/>
        <v>0</v>
      </c>
      <c r="F2404" s="18"/>
      <c r="M2404" s="18"/>
      <c r="N2404" s="18"/>
      <c r="O2404" s="18"/>
      <c r="P2404" s="18"/>
      <c r="Q2404" s="22"/>
      <c r="R2404" s="21"/>
      <c r="S2404" s="21"/>
      <c r="T2404" s="21"/>
      <c r="AA2404"/>
      <c r="AH2404" t="str">
        <f t="shared" si="352"/>
        <v>k yet</v>
      </c>
    </row>
    <row r="2405" spans="1:39">
      <c r="A2405" s="42" t="s">
        <v>269</v>
      </c>
      <c r="B2405" s="1" t="s">
        <v>20</v>
      </c>
      <c r="C2405" s="40" t="str">
        <f t="shared" si="349"/>
        <v>24-&gt;</v>
      </c>
      <c r="D2405" s="40" t="str">
        <f t="shared" si="350"/>
        <v xml:space="preserve">No pick yet                                                 </v>
      </c>
      <c r="E2405" s="52">
        <f t="shared" si="351"/>
        <v>0</v>
      </c>
      <c r="F2405" s="18"/>
      <c r="M2405" s="18"/>
      <c r="N2405" s="18"/>
      <c r="O2405" s="18"/>
      <c r="P2405" s="18"/>
      <c r="Q2405" s="22"/>
      <c r="R2405" s="21"/>
      <c r="S2405" s="21"/>
      <c r="T2405" s="21"/>
      <c r="AA2405"/>
      <c r="AH2405" t="str">
        <f t="shared" si="352"/>
        <v>k yet</v>
      </c>
    </row>
    <row r="2406" spans="1:39">
      <c r="A2406" s="42" t="s">
        <v>270</v>
      </c>
      <c r="B2406" s="1" t="s">
        <v>20</v>
      </c>
      <c r="C2406" s="40" t="str">
        <f t="shared" si="349"/>
        <v>25-&gt;</v>
      </c>
      <c r="D2406" s="40" t="str">
        <f t="shared" si="350"/>
        <v xml:space="preserve">No pick yet                                                 </v>
      </c>
      <c r="E2406" s="52">
        <f t="shared" si="351"/>
        <v>0</v>
      </c>
      <c r="F2406" s="18"/>
      <c r="M2406" s="18"/>
      <c r="N2406" s="18"/>
      <c r="O2406" s="18"/>
      <c r="P2406" s="18"/>
      <c r="Q2406" s="22"/>
      <c r="R2406" s="21"/>
      <c r="S2406" s="21"/>
      <c r="T2406" s="21"/>
      <c r="AA2406"/>
      <c r="AH2406" t="str">
        <f t="shared" si="352"/>
        <v>k yet</v>
      </c>
    </row>
    <row r="2407" spans="1:39">
      <c r="A2407" s="42" t="s">
        <v>271</v>
      </c>
      <c r="B2407" s="1" t="s">
        <v>20</v>
      </c>
      <c r="C2407" s="40" t="str">
        <f t="shared" si="349"/>
        <v>26-&gt;</v>
      </c>
      <c r="D2407" s="40" t="str">
        <f t="shared" si="350"/>
        <v xml:space="preserve">No pick yet                                                 </v>
      </c>
      <c r="E2407" s="52">
        <f t="shared" si="351"/>
        <v>0</v>
      </c>
      <c r="F2407" s="18"/>
      <c r="M2407" s="18"/>
      <c r="N2407" s="18"/>
      <c r="O2407" s="18"/>
      <c r="P2407" s="18"/>
      <c r="Q2407" s="22"/>
      <c r="R2407" s="21"/>
      <c r="S2407" s="21"/>
      <c r="T2407" s="21"/>
      <c r="AA2407"/>
      <c r="AH2407" t="str">
        <f t="shared" si="352"/>
        <v>k yet</v>
      </c>
    </row>
    <row r="2408" spans="1:39">
      <c r="A2408" s="38"/>
      <c r="B2408" s="40"/>
      <c r="C2408" s="40"/>
      <c r="D2408" s="49"/>
      <c r="E2408" s="41" t="s">
        <v>69</v>
      </c>
      <c r="F2408" s="18"/>
      <c r="K2408" s="22" t="s">
        <v>73</v>
      </c>
      <c r="L2408" s="18" t="s">
        <v>74</v>
      </c>
      <c r="M2408" s="22" t="s">
        <v>78</v>
      </c>
      <c r="N2408" s="22" t="s">
        <v>79</v>
      </c>
      <c r="O2408" s="22" t="s">
        <v>80</v>
      </c>
      <c r="P2408" s="22" t="s">
        <v>81</v>
      </c>
      <c r="Q2408" s="22" t="s">
        <v>82</v>
      </c>
      <c r="R2408" s="22" t="s">
        <v>83</v>
      </c>
      <c r="S2408" s="22" t="s">
        <v>84</v>
      </c>
      <c r="T2408" s="18" t="s">
        <v>85</v>
      </c>
      <c r="U2408" s="18" t="s">
        <v>86</v>
      </c>
      <c r="V2408" s="18" t="s">
        <v>87</v>
      </c>
      <c r="W2408" s="18" t="s">
        <v>88</v>
      </c>
      <c r="X2408" s="18" t="s">
        <v>89</v>
      </c>
      <c r="Y2408" s="18" t="s">
        <v>90</v>
      </c>
      <c r="Z2408" s="18" t="s">
        <v>91</v>
      </c>
      <c r="AA2408" s="18" t="s">
        <v>92</v>
      </c>
      <c r="AB2408" s="18" t="s">
        <v>93</v>
      </c>
      <c r="AC2408" s="18" t="s">
        <v>94</v>
      </c>
      <c r="AD2408" s="18" t="s">
        <v>235</v>
      </c>
      <c r="AE2408" s="18" t="s">
        <v>236</v>
      </c>
      <c r="AF2408" s="18" t="s">
        <v>237</v>
      </c>
      <c r="AG2408" s="18" t="s">
        <v>238</v>
      </c>
      <c r="AH2408" s="18" t="s">
        <v>239</v>
      </c>
      <c r="AI2408" s="18" t="s">
        <v>240</v>
      </c>
      <c r="AJ2408" s="18" t="s">
        <v>241</v>
      </c>
      <c r="AK2408" s="18" t="s">
        <v>242</v>
      </c>
      <c r="AL2408" s="18" t="s">
        <v>243</v>
      </c>
      <c r="AM2408" s="50" t="s">
        <v>244</v>
      </c>
    </row>
    <row r="2409" spans="1:39">
      <c r="A2409" s="40" t="s">
        <v>245</v>
      </c>
      <c r="B2409" s="51" t="str">
        <f>D85</f>
        <v/>
      </c>
      <c r="C2409" s="40" t="str">
        <f t="shared" ref="C2409:C2435" si="353">A2409</f>
        <v>#</v>
      </c>
      <c r="D2409" s="40" t="str">
        <f>"   "&amp;B2409&amp;REPT(" ",$AH$70-LEN(B2409)-3)</f>
        <v xml:space="preserve">                                                            </v>
      </c>
      <c r="E2409" s="38" t="str">
        <f>SUM(E2410:E2435)&amp;" pts[/b]"</f>
        <v>0 pts[/b]</v>
      </c>
      <c r="F2409" s="21">
        <f>SUM(E2410:E2435)</f>
        <v>0</v>
      </c>
      <c r="K2409" s="18">
        <f>COUNTIF(E2410:E2435,"&gt;0")</f>
        <v>0</v>
      </c>
      <c r="L2409" s="21">
        <f>AM2409-K2409</f>
        <v>0</v>
      </c>
      <c r="M2409" s="22">
        <f>MAX(E2410:E2435)</f>
        <v>0</v>
      </c>
      <c r="N2409" s="22">
        <f>LARGE(E2410:E2435,2)</f>
        <v>0</v>
      </c>
      <c r="O2409" s="22">
        <f>LARGE(E2410:E2435,3)</f>
        <v>0</v>
      </c>
      <c r="P2409" s="18">
        <f>LARGE(E2410:E2435,4)</f>
        <v>0</v>
      </c>
      <c r="Q2409" s="22">
        <f>LARGE(E2410:E2435,5)</f>
        <v>0</v>
      </c>
      <c r="R2409" s="22">
        <f>LARGE(E2410:E2435,6)</f>
        <v>0</v>
      </c>
      <c r="S2409" s="22">
        <f>LARGE(E2410:E2435,7)</f>
        <v>0</v>
      </c>
      <c r="T2409" s="18">
        <f>LARGE(E2410:E2435,8)</f>
        <v>0</v>
      </c>
      <c r="U2409" s="18">
        <f>LARGE(E2410:E2435,9)</f>
        <v>0</v>
      </c>
      <c r="V2409" s="18">
        <f>LARGE(E2410:E2435,10)</f>
        <v>0</v>
      </c>
      <c r="W2409" s="18">
        <f>LARGE(E2410:E2435,11)</f>
        <v>0</v>
      </c>
      <c r="X2409" s="18">
        <f>LARGE(E2410:E2435,12)</f>
        <v>0</v>
      </c>
      <c r="Y2409" s="18">
        <f>LARGE(E2410:E2435,13)</f>
        <v>0</v>
      </c>
      <c r="Z2409" s="18">
        <f>LARGE(E2410:E2435,14)</f>
        <v>0</v>
      </c>
      <c r="AA2409" s="18">
        <f>LARGE(E2410:E2435,15)</f>
        <v>0</v>
      </c>
      <c r="AB2409" s="18">
        <f>LARGE(E2410:E2435,16)</f>
        <v>0</v>
      </c>
      <c r="AC2409" s="18">
        <f>LARGE(E2410:E2435,17)</f>
        <v>0</v>
      </c>
      <c r="AD2409" s="18">
        <f>LARGE(E2410:E2436,13)</f>
        <v>0</v>
      </c>
      <c r="AE2409" s="18">
        <f>LARGE(E2410:E2435,19)</f>
        <v>0</v>
      </c>
      <c r="AF2409" s="18">
        <f>LARGE(E2410:E2435,20)</f>
        <v>0</v>
      </c>
      <c r="AG2409" s="18">
        <f>LARGE(E2410:E2435,21)</f>
        <v>0</v>
      </c>
      <c r="AH2409" s="18">
        <f>LARGE(E2410:E2435,22)</f>
        <v>0</v>
      </c>
      <c r="AI2409" s="18">
        <f>LARGE(E2410:E2435,23)</f>
        <v>0</v>
      </c>
      <c r="AJ2409" s="18">
        <f>LARGE(E2410:E2435,24)</f>
        <v>0</v>
      </c>
      <c r="AK2409" s="18">
        <f>LARGE(E2410:E2435,25)</f>
        <v>0</v>
      </c>
      <c r="AL2409" s="18">
        <f>LARGE(E2410:E2435,26)</f>
        <v>0</v>
      </c>
      <c r="AM2409" s="50">
        <f>COUNTIF(AH2410:AH2435,"&lt;&gt;"&amp;$AH$76)-(26-COUNTIF(E2410:E2435,"&gt;=0"))</f>
        <v>0</v>
      </c>
    </row>
    <row r="2410" spans="1:39">
      <c r="A2410" s="42" t="s">
        <v>246</v>
      </c>
      <c r="B2410" s="1" t="s">
        <v>20</v>
      </c>
      <c r="C2410" s="40" t="str">
        <f t="shared" si="353"/>
        <v>01-&gt;</v>
      </c>
      <c r="D2410" s="40" t="str">
        <f t="shared" ref="D2410:D2435" si="354">B2410&amp;REPT(" ",$AH$70-LEN(B2410))</f>
        <v xml:space="preserve">No pick yet                                                 </v>
      </c>
      <c r="E2410" s="52">
        <f t="shared" ref="E2410:E2435" si="355">VLOOKUP(RIGHT(B2410,LEN(B2410)-$AH$66),$H$138:$I$420,2,0)</f>
        <v>0</v>
      </c>
      <c r="F2410" s="18"/>
      <c r="M2410" s="18"/>
      <c r="N2410" s="18"/>
      <c r="O2410" s="18"/>
      <c r="P2410" s="18"/>
      <c r="Q2410" s="22"/>
      <c r="R2410" s="21"/>
      <c r="S2410" s="21"/>
      <c r="T2410" s="21"/>
      <c r="AA2410"/>
      <c r="AH2410" t="str">
        <f t="shared" ref="AH2410:AH2435" si="356">RIGHT(B2410,LEN(B2410)-$AH$66)</f>
        <v>k yet</v>
      </c>
    </row>
    <row r="2411" spans="1:39">
      <c r="A2411" s="42" t="s">
        <v>247</v>
      </c>
      <c r="B2411" s="1" t="s">
        <v>20</v>
      </c>
      <c r="C2411" s="40" t="str">
        <f t="shared" si="353"/>
        <v>02-&gt;</v>
      </c>
      <c r="D2411" s="40" t="str">
        <f t="shared" si="354"/>
        <v xml:space="preserve">No pick yet                                                 </v>
      </c>
      <c r="E2411" s="52">
        <f t="shared" si="355"/>
        <v>0</v>
      </c>
      <c r="F2411" s="18"/>
      <c r="K2411" s="22"/>
      <c r="N2411" s="22"/>
      <c r="O2411" s="22"/>
      <c r="P2411" s="22"/>
      <c r="Q2411" s="22"/>
      <c r="R2411" s="22"/>
      <c r="S2411" s="22"/>
      <c r="Z2411" s="53"/>
      <c r="AA2411"/>
      <c r="AH2411" t="str">
        <f t="shared" si="356"/>
        <v>k yet</v>
      </c>
    </row>
    <row r="2412" spans="1:39">
      <c r="A2412" s="42" t="s">
        <v>248</v>
      </c>
      <c r="B2412" s="1" t="s">
        <v>20</v>
      </c>
      <c r="C2412" s="40" t="str">
        <f t="shared" si="353"/>
        <v>03-&gt;</v>
      </c>
      <c r="D2412" s="40" t="str">
        <f t="shared" si="354"/>
        <v xml:space="preserve">No pick yet                                                 </v>
      </c>
      <c r="E2412" s="52">
        <f t="shared" si="355"/>
        <v>0</v>
      </c>
      <c r="F2412" s="18"/>
      <c r="L2412" s="21"/>
      <c r="N2412" s="22"/>
      <c r="O2412" s="22"/>
      <c r="P2412" s="18"/>
      <c r="Q2412" s="22"/>
      <c r="R2412" s="22"/>
      <c r="S2412" s="22"/>
      <c r="Z2412" s="53"/>
      <c r="AA2412"/>
      <c r="AH2412" t="str">
        <f t="shared" si="356"/>
        <v>k yet</v>
      </c>
    </row>
    <row r="2413" spans="1:39">
      <c r="A2413" s="42" t="s">
        <v>249</v>
      </c>
      <c r="B2413" s="1" t="s">
        <v>20</v>
      </c>
      <c r="C2413" s="40" t="str">
        <f t="shared" si="353"/>
        <v>04-&gt;</v>
      </c>
      <c r="D2413" s="40" t="str">
        <f t="shared" si="354"/>
        <v xml:space="preserve">No pick yet                                                 </v>
      </c>
      <c r="E2413" s="52">
        <f t="shared" si="355"/>
        <v>0</v>
      </c>
      <c r="F2413" s="18"/>
      <c r="M2413" s="18"/>
      <c r="N2413" s="18"/>
      <c r="O2413" s="18"/>
      <c r="P2413" s="18"/>
      <c r="Q2413" s="22"/>
      <c r="R2413" s="21"/>
      <c r="S2413" s="21"/>
      <c r="T2413" s="21"/>
      <c r="AA2413"/>
      <c r="AH2413" t="str">
        <f t="shared" si="356"/>
        <v>k yet</v>
      </c>
    </row>
    <row r="2414" spans="1:39">
      <c r="A2414" s="42" t="s">
        <v>250</v>
      </c>
      <c r="B2414" s="1" t="s">
        <v>20</v>
      </c>
      <c r="C2414" s="40" t="str">
        <f t="shared" si="353"/>
        <v>05-&gt;</v>
      </c>
      <c r="D2414" s="40" t="str">
        <f t="shared" si="354"/>
        <v xml:space="preserve">No pick yet                                                 </v>
      </c>
      <c r="E2414" s="52">
        <f t="shared" si="355"/>
        <v>0</v>
      </c>
      <c r="F2414" s="18"/>
      <c r="M2414" s="18"/>
      <c r="N2414" s="18"/>
      <c r="O2414" s="18"/>
      <c r="P2414" s="18"/>
      <c r="Q2414" s="22"/>
      <c r="R2414" s="21"/>
      <c r="S2414" s="21"/>
      <c r="T2414" s="21"/>
      <c r="AA2414"/>
      <c r="AH2414" t="str">
        <f t="shared" si="356"/>
        <v>k yet</v>
      </c>
    </row>
    <row r="2415" spans="1:39">
      <c r="A2415" s="42" t="s">
        <v>251</v>
      </c>
      <c r="B2415" s="1" t="s">
        <v>20</v>
      </c>
      <c r="C2415" s="40" t="str">
        <f t="shared" si="353"/>
        <v>06-&gt;</v>
      </c>
      <c r="D2415" s="40" t="str">
        <f t="shared" si="354"/>
        <v xml:space="preserve">No pick yet                                                 </v>
      </c>
      <c r="E2415" s="52">
        <f t="shared" si="355"/>
        <v>0</v>
      </c>
      <c r="F2415" s="18"/>
      <c r="M2415" s="18"/>
      <c r="N2415" s="18"/>
      <c r="O2415" s="18"/>
      <c r="P2415" s="18"/>
      <c r="Q2415" s="22"/>
      <c r="R2415" s="21"/>
      <c r="S2415" s="21"/>
      <c r="T2415" s="21"/>
      <c r="AA2415"/>
      <c r="AH2415" t="str">
        <f t="shared" si="356"/>
        <v>k yet</v>
      </c>
    </row>
    <row r="2416" spans="1:39">
      <c r="A2416" s="42" t="s">
        <v>252</v>
      </c>
      <c r="B2416" s="1" t="s">
        <v>20</v>
      </c>
      <c r="C2416" s="40" t="str">
        <f t="shared" si="353"/>
        <v>07-&gt;</v>
      </c>
      <c r="D2416" s="40" t="str">
        <f t="shared" si="354"/>
        <v xml:space="preserve">No pick yet                                                 </v>
      </c>
      <c r="E2416" s="52">
        <f t="shared" si="355"/>
        <v>0</v>
      </c>
      <c r="F2416" s="18"/>
      <c r="M2416" s="18"/>
      <c r="N2416" s="18"/>
      <c r="O2416" s="18"/>
      <c r="P2416" s="18"/>
      <c r="Q2416" s="22"/>
      <c r="R2416" s="21"/>
      <c r="S2416" s="21"/>
      <c r="T2416" s="21"/>
      <c r="AA2416"/>
      <c r="AH2416" t="str">
        <f t="shared" si="356"/>
        <v>k yet</v>
      </c>
    </row>
    <row r="2417" spans="1:34">
      <c r="A2417" s="42" t="s">
        <v>253</v>
      </c>
      <c r="B2417" s="1" t="s">
        <v>20</v>
      </c>
      <c r="C2417" s="40" t="str">
        <f t="shared" si="353"/>
        <v>08-&gt;</v>
      </c>
      <c r="D2417" s="40" t="str">
        <f t="shared" si="354"/>
        <v xml:space="preserve">No pick yet                                                 </v>
      </c>
      <c r="E2417" s="52">
        <f t="shared" si="355"/>
        <v>0</v>
      </c>
      <c r="F2417" s="18"/>
      <c r="M2417" s="18"/>
      <c r="N2417" s="18"/>
      <c r="O2417" s="18"/>
      <c r="P2417" s="18"/>
      <c r="Q2417" s="22"/>
      <c r="R2417" s="21"/>
      <c r="S2417" s="21"/>
      <c r="T2417" s="21"/>
      <c r="AA2417"/>
      <c r="AH2417" t="str">
        <f t="shared" si="356"/>
        <v>k yet</v>
      </c>
    </row>
    <row r="2418" spans="1:34">
      <c r="A2418" s="42" t="s">
        <v>254</v>
      </c>
      <c r="B2418" s="1" t="s">
        <v>20</v>
      </c>
      <c r="C2418" s="40" t="str">
        <f t="shared" si="353"/>
        <v>09-&gt;</v>
      </c>
      <c r="D2418" s="40" t="str">
        <f t="shared" si="354"/>
        <v xml:space="preserve">No pick yet                                                 </v>
      </c>
      <c r="E2418" s="52">
        <f t="shared" si="355"/>
        <v>0</v>
      </c>
      <c r="F2418" s="18"/>
      <c r="M2418" s="18"/>
      <c r="N2418" s="18"/>
      <c r="O2418" s="18"/>
      <c r="P2418" s="18"/>
      <c r="Q2418" s="22"/>
      <c r="R2418" s="21"/>
      <c r="S2418" s="21"/>
      <c r="T2418" s="21"/>
      <c r="AA2418"/>
      <c r="AH2418" t="str">
        <f t="shared" si="356"/>
        <v>k yet</v>
      </c>
    </row>
    <row r="2419" spans="1:34">
      <c r="A2419" s="42" t="s">
        <v>255</v>
      </c>
      <c r="B2419" s="1" t="s">
        <v>20</v>
      </c>
      <c r="C2419" s="40" t="str">
        <f t="shared" si="353"/>
        <v>10-&gt;</v>
      </c>
      <c r="D2419" s="40" t="str">
        <f t="shared" si="354"/>
        <v xml:space="preserve">No pick yet                                                 </v>
      </c>
      <c r="E2419" s="52">
        <f t="shared" si="355"/>
        <v>0</v>
      </c>
      <c r="F2419" s="22"/>
      <c r="M2419" s="18"/>
      <c r="N2419" s="18"/>
      <c r="O2419" s="18"/>
      <c r="P2419" s="18"/>
      <c r="Q2419" s="22"/>
      <c r="R2419" s="21"/>
      <c r="S2419" s="21"/>
      <c r="T2419" s="21"/>
      <c r="AA2419"/>
      <c r="AH2419" t="str">
        <f t="shared" si="356"/>
        <v>k yet</v>
      </c>
    </row>
    <row r="2420" spans="1:34">
      <c r="A2420" s="42" t="s">
        <v>256</v>
      </c>
      <c r="B2420" s="1" t="s">
        <v>20</v>
      </c>
      <c r="C2420" s="40" t="str">
        <f t="shared" si="353"/>
        <v>11-&gt;</v>
      </c>
      <c r="D2420" s="40" t="str">
        <f t="shared" si="354"/>
        <v xml:space="preserve">No pick yet                                                 </v>
      </c>
      <c r="E2420" s="52">
        <f t="shared" si="355"/>
        <v>0</v>
      </c>
      <c r="M2420" s="18"/>
      <c r="N2420" s="18"/>
      <c r="O2420" s="18"/>
      <c r="P2420" s="18"/>
      <c r="Q2420" s="22"/>
      <c r="R2420" s="21"/>
      <c r="S2420" s="21"/>
      <c r="T2420" s="21"/>
      <c r="AA2420"/>
      <c r="AH2420" t="str">
        <f t="shared" si="356"/>
        <v>k yet</v>
      </c>
    </row>
    <row r="2421" spans="1:34">
      <c r="A2421" s="42" t="s">
        <v>257</v>
      </c>
      <c r="B2421" s="1" t="s">
        <v>20</v>
      </c>
      <c r="C2421" s="40" t="str">
        <f t="shared" si="353"/>
        <v>12-&gt;</v>
      </c>
      <c r="D2421" s="40" t="str">
        <f t="shared" si="354"/>
        <v xml:space="preserve">No pick yet                                                 </v>
      </c>
      <c r="E2421" s="52">
        <f t="shared" si="355"/>
        <v>0</v>
      </c>
      <c r="M2421" s="18"/>
      <c r="N2421" s="18"/>
      <c r="O2421" s="18"/>
      <c r="P2421" s="18"/>
      <c r="Q2421" s="22"/>
      <c r="R2421" s="21"/>
      <c r="S2421" s="21"/>
      <c r="T2421" s="21"/>
      <c r="AA2421"/>
      <c r="AH2421" t="str">
        <f t="shared" si="356"/>
        <v>k yet</v>
      </c>
    </row>
    <row r="2422" spans="1:34">
      <c r="A2422" s="42" t="s">
        <v>258</v>
      </c>
      <c r="B2422" s="1" t="s">
        <v>20</v>
      </c>
      <c r="C2422" s="40" t="str">
        <f t="shared" si="353"/>
        <v>13-&gt;</v>
      </c>
      <c r="D2422" s="40" t="str">
        <f t="shared" si="354"/>
        <v xml:space="preserve">No pick yet                                                 </v>
      </c>
      <c r="E2422" s="52">
        <f t="shared" si="355"/>
        <v>0</v>
      </c>
      <c r="M2422" s="18"/>
      <c r="N2422" s="18"/>
      <c r="O2422" s="18"/>
      <c r="P2422" s="18"/>
      <c r="Q2422" s="22"/>
      <c r="R2422" s="21"/>
      <c r="S2422" s="21"/>
      <c r="T2422" s="21"/>
      <c r="AA2422"/>
      <c r="AH2422" t="str">
        <f t="shared" si="356"/>
        <v>k yet</v>
      </c>
    </row>
    <row r="2423" spans="1:34">
      <c r="A2423" s="42" t="s">
        <v>259</v>
      </c>
      <c r="B2423" s="1" t="s">
        <v>20</v>
      </c>
      <c r="C2423" s="40" t="str">
        <f t="shared" si="353"/>
        <v>14-&gt;</v>
      </c>
      <c r="D2423" s="40" t="str">
        <f t="shared" si="354"/>
        <v xml:space="preserve">No pick yet                                                 </v>
      </c>
      <c r="E2423" s="52">
        <f t="shared" si="355"/>
        <v>0</v>
      </c>
      <c r="M2423" s="18"/>
      <c r="N2423" s="18"/>
      <c r="O2423" s="18"/>
      <c r="P2423" s="18"/>
      <c r="Q2423" s="22"/>
      <c r="R2423" s="21"/>
      <c r="S2423" s="21"/>
      <c r="T2423" s="21"/>
      <c r="AA2423"/>
      <c r="AH2423" t="str">
        <f t="shared" si="356"/>
        <v>k yet</v>
      </c>
    </row>
    <row r="2424" spans="1:34">
      <c r="A2424" s="42" t="s">
        <v>260</v>
      </c>
      <c r="B2424" s="1" t="s">
        <v>20</v>
      </c>
      <c r="C2424" s="40" t="str">
        <f t="shared" si="353"/>
        <v>15-&gt;</v>
      </c>
      <c r="D2424" s="40" t="str">
        <f t="shared" si="354"/>
        <v xml:space="preserve">No pick yet                                                 </v>
      </c>
      <c r="E2424" s="52">
        <f t="shared" si="355"/>
        <v>0</v>
      </c>
      <c r="M2424" s="18"/>
      <c r="N2424" s="18"/>
      <c r="O2424" s="18"/>
      <c r="P2424" s="18"/>
      <c r="Q2424" s="22"/>
      <c r="R2424" s="21"/>
      <c r="S2424" s="21"/>
      <c r="T2424" s="21"/>
      <c r="AA2424"/>
      <c r="AH2424" t="str">
        <f t="shared" si="356"/>
        <v>k yet</v>
      </c>
    </row>
    <row r="2425" spans="1:34">
      <c r="A2425" s="42" t="s">
        <v>261</v>
      </c>
      <c r="B2425" s="1" t="s">
        <v>20</v>
      </c>
      <c r="C2425" s="40" t="str">
        <f t="shared" si="353"/>
        <v>16-&gt;</v>
      </c>
      <c r="D2425" s="40" t="str">
        <f t="shared" si="354"/>
        <v xml:space="preserve">No pick yet                                                 </v>
      </c>
      <c r="E2425" s="52">
        <f t="shared" si="355"/>
        <v>0</v>
      </c>
      <c r="M2425" s="18"/>
      <c r="N2425" s="18"/>
      <c r="O2425" s="18"/>
      <c r="P2425" s="18"/>
      <c r="Q2425" s="22"/>
      <c r="R2425" s="21"/>
      <c r="S2425" s="21"/>
      <c r="T2425" s="21"/>
      <c r="AA2425"/>
      <c r="AH2425" t="str">
        <f t="shared" si="356"/>
        <v>k yet</v>
      </c>
    </row>
    <row r="2426" spans="1:34">
      <c r="A2426" s="42" t="s">
        <v>262</v>
      </c>
      <c r="B2426" s="1" t="s">
        <v>20</v>
      </c>
      <c r="C2426" s="40" t="str">
        <f t="shared" si="353"/>
        <v>17-&gt;</v>
      </c>
      <c r="D2426" s="40" t="str">
        <f t="shared" si="354"/>
        <v xml:space="preserve">No pick yet                                                 </v>
      </c>
      <c r="E2426" s="52">
        <f t="shared" si="355"/>
        <v>0</v>
      </c>
      <c r="K2426" s="22"/>
      <c r="N2426" s="22"/>
      <c r="O2426" s="22"/>
      <c r="P2426" s="22"/>
      <c r="Q2426" s="22"/>
      <c r="R2426" s="22"/>
      <c r="S2426" s="22"/>
      <c r="Z2426" s="53"/>
      <c r="AA2426"/>
      <c r="AH2426" t="str">
        <f t="shared" si="356"/>
        <v>k yet</v>
      </c>
    </row>
    <row r="2427" spans="1:34">
      <c r="A2427" s="42" t="s">
        <v>263</v>
      </c>
      <c r="B2427" s="1" t="s">
        <v>20</v>
      </c>
      <c r="C2427" s="40" t="str">
        <f t="shared" si="353"/>
        <v>18-&gt;</v>
      </c>
      <c r="D2427" s="40" t="str">
        <f t="shared" si="354"/>
        <v xml:space="preserve">No pick yet                                                 </v>
      </c>
      <c r="E2427" s="52">
        <f t="shared" si="355"/>
        <v>0</v>
      </c>
      <c r="F2427" s="18"/>
      <c r="L2427" s="21"/>
      <c r="N2427" s="22"/>
      <c r="O2427" s="22"/>
      <c r="P2427" s="18"/>
      <c r="Q2427" s="22"/>
      <c r="R2427" s="22"/>
      <c r="S2427" s="22"/>
      <c r="Z2427" s="53"/>
      <c r="AA2427"/>
      <c r="AH2427" t="str">
        <f t="shared" si="356"/>
        <v>k yet</v>
      </c>
    </row>
    <row r="2428" spans="1:34">
      <c r="A2428" s="42" t="s">
        <v>264</v>
      </c>
      <c r="B2428" s="1" t="s">
        <v>20</v>
      </c>
      <c r="C2428" s="40" t="str">
        <f t="shared" si="353"/>
        <v>19-&gt;</v>
      </c>
      <c r="D2428" s="40" t="str">
        <f t="shared" si="354"/>
        <v xml:space="preserve">No pick yet                                                 </v>
      </c>
      <c r="E2428" s="52">
        <f t="shared" si="355"/>
        <v>0</v>
      </c>
      <c r="F2428" s="18"/>
      <c r="M2428" s="18"/>
      <c r="N2428" s="18"/>
      <c r="O2428" s="18"/>
      <c r="P2428" s="18"/>
      <c r="Q2428" s="22"/>
      <c r="R2428" s="21"/>
      <c r="S2428" s="21"/>
      <c r="T2428" s="21"/>
      <c r="AA2428"/>
      <c r="AH2428" t="str">
        <f t="shared" si="356"/>
        <v>k yet</v>
      </c>
    </row>
    <row r="2429" spans="1:34">
      <c r="A2429" s="42" t="s">
        <v>265</v>
      </c>
      <c r="B2429" s="1" t="s">
        <v>20</v>
      </c>
      <c r="C2429" s="40" t="str">
        <f t="shared" si="353"/>
        <v>20-&gt;</v>
      </c>
      <c r="D2429" s="40" t="str">
        <f t="shared" si="354"/>
        <v xml:space="preserve">No pick yet                                                 </v>
      </c>
      <c r="E2429" s="52">
        <f t="shared" si="355"/>
        <v>0</v>
      </c>
      <c r="F2429" s="18"/>
      <c r="M2429" s="18"/>
      <c r="N2429" s="18"/>
      <c r="O2429" s="18"/>
      <c r="P2429" s="18"/>
      <c r="Q2429" s="22"/>
      <c r="R2429" s="21"/>
      <c r="S2429" s="21"/>
      <c r="T2429" s="21"/>
      <c r="AA2429"/>
      <c r="AH2429" t="str">
        <f t="shared" si="356"/>
        <v>k yet</v>
      </c>
    </row>
    <row r="2430" spans="1:34">
      <c r="A2430" s="42" t="s">
        <v>266</v>
      </c>
      <c r="B2430" s="1" t="s">
        <v>20</v>
      </c>
      <c r="C2430" s="40" t="str">
        <f t="shared" si="353"/>
        <v>21-&gt;</v>
      </c>
      <c r="D2430" s="40" t="str">
        <f t="shared" si="354"/>
        <v xml:space="preserve">No pick yet                                                 </v>
      </c>
      <c r="E2430" s="52">
        <f t="shared" si="355"/>
        <v>0</v>
      </c>
      <c r="F2430" s="18"/>
      <c r="M2430" s="18"/>
      <c r="N2430" s="18"/>
      <c r="O2430" s="18"/>
      <c r="P2430" s="18"/>
      <c r="Q2430" s="22"/>
      <c r="R2430" s="21"/>
      <c r="S2430" s="21"/>
      <c r="T2430" s="21"/>
      <c r="AA2430"/>
      <c r="AH2430" t="str">
        <f t="shared" si="356"/>
        <v>k yet</v>
      </c>
    </row>
    <row r="2431" spans="1:34">
      <c r="A2431" s="42" t="s">
        <v>267</v>
      </c>
      <c r="B2431" s="1" t="s">
        <v>20</v>
      </c>
      <c r="C2431" s="40" t="str">
        <f t="shared" si="353"/>
        <v>22-&gt;</v>
      </c>
      <c r="D2431" s="40" t="str">
        <f t="shared" si="354"/>
        <v xml:space="preserve">No pick yet                                                 </v>
      </c>
      <c r="E2431" s="52">
        <f t="shared" si="355"/>
        <v>0</v>
      </c>
      <c r="F2431" s="18"/>
      <c r="M2431" s="18"/>
      <c r="N2431" s="18"/>
      <c r="O2431" s="18"/>
      <c r="P2431" s="18"/>
      <c r="Q2431" s="22"/>
      <c r="R2431" s="21"/>
      <c r="S2431" s="21"/>
      <c r="T2431" s="21"/>
      <c r="AA2431"/>
      <c r="AH2431" t="str">
        <f t="shared" si="356"/>
        <v>k yet</v>
      </c>
    </row>
    <row r="2432" spans="1:34">
      <c r="A2432" s="42" t="s">
        <v>268</v>
      </c>
      <c r="B2432" s="1" t="s">
        <v>20</v>
      </c>
      <c r="C2432" s="40" t="str">
        <f t="shared" si="353"/>
        <v>23-&gt;</v>
      </c>
      <c r="D2432" s="40" t="str">
        <f t="shared" si="354"/>
        <v xml:space="preserve">No pick yet                                                 </v>
      </c>
      <c r="E2432" s="52">
        <f t="shared" si="355"/>
        <v>0</v>
      </c>
      <c r="F2432" s="18"/>
      <c r="M2432" s="18"/>
      <c r="N2432" s="18"/>
      <c r="O2432" s="18"/>
      <c r="P2432" s="18"/>
      <c r="Q2432" s="22"/>
      <c r="R2432" s="21"/>
      <c r="S2432" s="21"/>
      <c r="T2432" s="21"/>
      <c r="AA2432"/>
      <c r="AH2432" t="str">
        <f t="shared" si="356"/>
        <v>k yet</v>
      </c>
    </row>
    <row r="2433" spans="1:39">
      <c r="A2433" s="42" t="s">
        <v>269</v>
      </c>
      <c r="B2433" s="1" t="s">
        <v>20</v>
      </c>
      <c r="C2433" s="40" t="str">
        <f t="shared" si="353"/>
        <v>24-&gt;</v>
      </c>
      <c r="D2433" s="40" t="str">
        <f t="shared" si="354"/>
        <v xml:space="preserve">No pick yet                                                 </v>
      </c>
      <c r="E2433" s="52">
        <f t="shared" si="355"/>
        <v>0</v>
      </c>
      <c r="F2433" s="18"/>
      <c r="M2433" s="18"/>
      <c r="N2433" s="18"/>
      <c r="O2433" s="18"/>
      <c r="P2433" s="18"/>
      <c r="Q2433" s="22"/>
      <c r="R2433" s="21"/>
      <c r="S2433" s="21"/>
      <c r="T2433" s="21"/>
      <c r="AA2433"/>
      <c r="AH2433" t="str">
        <f t="shared" si="356"/>
        <v>k yet</v>
      </c>
    </row>
    <row r="2434" spans="1:39">
      <c r="A2434" s="42" t="s">
        <v>270</v>
      </c>
      <c r="B2434" s="1" t="s">
        <v>20</v>
      </c>
      <c r="C2434" s="40" t="str">
        <f t="shared" si="353"/>
        <v>25-&gt;</v>
      </c>
      <c r="D2434" s="40" t="str">
        <f t="shared" si="354"/>
        <v xml:space="preserve">No pick yet                                                 </v>
      </c>
      <c r="E2434" s="52">
        <f t="shared" si="355"/>
        <v>0</v>
      </c>
      <c r="F2434" s="18"/>
      <c r="M2434" s="18"/>
      <c r="N2434" s="18"/>
      <c r="O2434" s="18"/>
      <c r="P2434" s="18"/>
      <c r="Q2434" s="22"/>
      <c r="R2434" s="21"/>
      <c r="S2434" s="21"/>
      <c r="T2434" s="21"/>
      <c r="AA2434"/>
      <c r="AH2434" t="str">
        <f t="shared" si="356"/>
        <v>k yet</v>
      </c>
    </row>
    <row r="2435" spans="1:39">
      <c r="A2435" s="42" t="s">
        <v>271</v>
      </c>
      <c r="B2435" s="1" t="s">
        <v>20</v>
      </c>
      <c r="C2435" s="40" t="str">
        <f t="shared" si="353"/>
        <v>26-&gt;</v>
      </c>
      <c r="D2435" s="40" t="str">
        <f t="shared" si="354"/>
        <v xml:space="preserve">No pick yet                                                 </v>
      </c>
      <c r="E2435" s="52">
        <f t="shared" si="355"/>
        <v>0</v>
      </c>
      <c r="F2435" s="18"/>
      <c r="M2435" s="18"/>
      <c r="N2435" s="18"/>
      <c r="O2435" s="18"/>
      <c r="P2435" s="18"/>
      <c r="Q2435" s="22"/>
      <c r="R2435" s="21"/>
      <c r="S2435" s="21"/>
      <c r="T2435" s="21"/>
      <c r="AA2435"/>
      <c r="AH2435" t="str">
        <f t="shared" si="356"/>
        <v>k yet</v>
      </c>
    </row>
    <row r="2436" spans="1:39">
      <c r="A2436" s="38"/>
      <c r="B2436" s="40"/>
      <c r="C2436" s="40"/>
      <c r="D2436" s="49"/>
      <c r="E2436" s="41" t="s">
        <v>69</v>
      </c>
      <c r="F2436" s="18"/>
      <c r="K2436" s="22" t="s">
        <v>73</v>
      </c>
      <c r="L2436" s="18" t="s">
        <v>74</v>
      </c>
      <c r="M2436" s="22" t="s">
        <v>78</v>
      </c>
      <c r="N2436" s="22" t="s">
        <v>79</v>
      </c>
      <c r="O2436" s="22" t="s">
        <v>80</v>
      </c>
      <c r="P2436" s="22" t="s">
        <v>81</v>
      </c>
      <c r="Q2436" s="22" t="s">
        <v>82</v>
      </c>
      <c r="R2436" s="22" t="s">
        <v>83</v>
      </c>
      <c r="S2436" s="22" t="s">
        <v>84</v>
      </c>
      <c r="T2436" s="18" t="s">
        <v>85</v>
      </c>
      <c r="U2436" s="18" t="s">
        <v>86</v>
      </c>
      <c r="V2436" s="18" t="s">
        <v>87</v>
      </c>
      <c r="W2436" s="18" t="s">
        <v>88</v>
      </c>
      <c r="X2436" s="18" t="s">
        <v>89</v>
      </c>
      <c r="Y2436" s="18" t="s">
        <v>90</v>
      </c>
      <c r="Z2436" s="18" t="s">
        <v>91</v>
      </c>
      <c r="AA2436" s="18" t="s">
        <v>92</v>
      </c>
      <c r="AB2436" s="18" t="s">
        <v>93</v>
      </c>
      <c r="AC2436" s="18" t="s">
        <v>94</v>
      </c>
      <c r="AD2436" s="18" t="s">
        <v>235</v>
      </c>
      <c r="AE2436" s="18" t="s">
        <v>236</v>
      </c>
      <c r="AF2436" s="18" t="s">
        <v>237</v>
      </c>
      <c r="AG2436" s="18" t="s">
        <v>238</v>
      </c>
      <c r="AH2436" s="18" t="s">
        <v>239</v>
      </c>
      <c r="AI2436" s="18" t="s">
        <v>240</v>
      </c>
      <c r="AJ2436" s="18" t="s">
        <v>241</v>
      </c>
      <c r="AK2436" s="18" t="s">
        <v>242</v>
      </c>
      <c r="AL2436" s="18" t="s">
        <v>243</v>
      </c>
      <c r="AM2436" s="50" t="s">
        <v>244</v>
      </c>
    </row>
    <row r="2437" spans="1:39">
      <c r="A2437" s="40" t="s">
        <v>245</v>
      </c>
      <c r="B2437" s="51" t="str">
        <f>D86</f>
        <v/>
      </c>
      <c r="C2437" s="40" t="str">
        <f t="shared" ref="C2437:C2463" si="357">A2437</f>
        <v>#</v>
      </c>
      <c r="D2437" s="40" t="str">
        <f>"   "&amp;B2437&amp;REPT(" ",$AH$70-LEN(B2437)-3)</f>
        <v xml:space="preserve">                                                            </v>
      </c>
      <c r="E2437" s="38" t="str">
        <f>SUM(E2438:E2463)&amp;" pts[/b]"</f>
        <v>0 pts[/b]</v>
      </c>
      <c r="F2437" s="21">
        <f>SUM(E2438:E2463)</f>
        <v>0</v>
      </c>
      <c r="K2437" s="18">
        <f>COUNTIF(E2438:E2463,"&gt;0")</f>
        <v>0</v>
      </c>
      <c r="L2437" s="21">
        <f>AM2437-K2437</f>
        <v>0</v>
      </c>
      <c r="M2437" s="22">
        <f>MAX(E2438:E2463)</f>
        <v>0</v>
      </c>
      <c r="N2437" s="22">
        <f>LARGE(E2438:E2463,2)</f>
        <v>0</v>
      </c>
      <c r="O2437" s="22">
        <f>LARGE(E2438:E2463,3)</f>
        <v>0</v>
      </c>
      <c r="P2437" s="18">
        <f>LARGE(E2438:E2463,4)</f>
        <v>0</v>
      </c>
      <c r="Q2437" s="22">
        <f>LARGE(E2438:E2463,5)</f>
        <v>0</v>
      </c>
      <c r="R2437" s="22">
        <f>LARGE(E2438:E2463,6)</f>
        <v>0</v>
      </c>
      <c r="S2437" s="22">
        <f>LARGE(E2438:E2463,7)</f>
        <v>0</v>
      </c>
      <c r="T2437" s="18">
        <f>LARGE(E2438:E2463,8)</f>
        <v>0</v>
      </c>
      <c r="U2437" s="18">
        <f>LARGE(E2438:E2463,9)</f>
        <v>0</v>
      </c>
      <c r="V2437" s="18">
        <f>LARGE(E2438:E2463,10)</f>
        <v>0</v>
      </c>
      <c r="W2437" s="18">
        <f>LARGE(E2438:E2463,11)</f>
        <v>0</v>
      </c>
      <c r="X2437" s="18">
        <f>LARGE(E2438:E2463,12)</f>
        <v>0</v>
      </c>
      <c r="Y2437" s="18">
        <f>LARGE(E2438:E2463,13)</f>
        <v>0</v>
      </c>
      <c r="Z2437" s="18">
        <f>LARGE(E2438:E2463,14)</f>
        <v>0</v>
      </c>
      <c r="AA2437" s="18">
        <f>LARGE(E2438:E2463,15)</f>
        <v>0</v>
      </c>
      <c r="AB2437" s="18">
        <f>LARGE(E2438:E2463,16)</f>
        <v>0</v>
      </c>
      <c r="AC2437" s="18">
        <f>LARGE(E2438:E2463,17)</f>
        <v>0</v>
      </c>
      <c r="AD2437" s="18">
        <f>LARGE(E2438:E2464,13)</f>
        <v>0</v>
      </c>
      <c r="AE2437" s="18">
        <f>LARGE(E2438:E2463,19)</f>
        <v>0</v>
      </c>
      <c r="AF2437" s="18">
        <f>LARGE(E2438:E2463,20)</f>
        <v>0</v>
      </c>
      <c r="AG2437" s="18">
        <f>LARGE(E2438:E2463,21)</f>
        <v>0</v>
      </c>
      <c r="AH2437" s="18">
        <f>LARGE(E2438:E2463,22)</f>
        <v>0</v>
      </c>
      <c r="AI2437" s="18">
        <f>LARGE(E2438:E2463,23)</f>
        <v>0</v>
      </c>
      <c r="AJ2437" s="18">
        <f>LARGE(E2438:E2463,24)</f>
        <v>0</v>
      </c>
      <c r="AK2437" s="18">
        <f>LARGE(E2438:E2463,25)</f>
        <v>0</v>
      </c>
      <c r="AL2437" s="18">
        <f>LARGE(E2438:E2463,26)</f>
        <v>0</v>
      </c>
      <c r="AM2437" s="50">
        <f>COUNTIF(AH2438:AH2463,"&lt;&gt;"&amp;$AH$76)-(26-COUNTIF(E2438:E2463,"&gt;=0"))</f>
        <v>0</v>
      </c>
    </row>
    <row r="2438" spans="1:39">
      <c r="A2438" s="42" t="s">
        <v>246</v>
      </c>
      <c r="B2438" s="40" t="str">
        <f t="shared" ref="B2438:B2463" si="358">$AH$74</f>
        <v>No pick yet</v>
      </c>
      <c r="C2438" s="40" t="str">
        <f t="shared" si="357"/>
        <v>01-&gt;</v>
      </c>
      <c r="D2438" s="40" t="str">
        <f t="shared" ref="D2438:D2463" si="359">B2438&amp;REPT(" ",$AH$70-LEN(B2438))</f>
        <v xml:space="preserve">No pick yet                                                 </v>
      </c>
      <c r="E2438" s="52">
        <f t="shared" ref="E2438:E2463" si="360">VLOOKUP(RIGHT(B2438,LEN(B2438)-$AH$66),$H$138:$I$420,2,0)</f>
        <v>0</v>
      </c>
      <c r="F2438" s="18"/>
      <c r="M2438" s="18"/>
      <c r="N2438" s="18"/>
      <c r="O2438" s="18"/>
      <c r="P2438" s="18"/>
      <c r="Q2438" s="22"/>
      <c r="R2438" s="21"/>
      <c r="S2438" s="21"/>
      <c r="T2438" s="21"/>
      <c r="AA2438"/>
      <c r="AH2438" t="str">
        <f t="shared" ref="AH2438:AH2463" si="361">RIGHT(B2438,LEN(B2438)-$AH$66)</f>
        <v>k yet</v>
      </c>
    </row>
    <row r="2439" spans="1:39">
      <c r="A2439" s="42" t="s">
        <v>247</v>
      </c>
      <c r="B2439" s="40" t="str">
        <f t="shared" si="358"/>
        <v>No pick yet</v>
      </c>
      <c r="C2439" s="40" t="str">
        <f t="shared" si="357"/>
        <v>02-&gt;</v>
      </c>
      <c r="D2439" s="40" t="str">
        <f t="shared" si="359"/>
        <v xml:space="preserve">No pick yet                                                 </v>
      </c>
      <c r="E2439" s="52">
        <f t="shared" si="360"/>
        <v>0</v>
      </c>
      <c r="F2439" s="18"/>
      <c r="K2439" s="22"/>
      <c r="N2439" s="22"/>
      <c r="O2439" s="22"/>
      <c r="P2439" s="22"/>
      <c r="Q2439" s="22"/>
      <c r="R2439" s="22"/>
      <c r="S2439" s="22"/>
      <c r="Z2439" s="53"/>
      <c r="AA2439"/>
      <c r="AH2439" t="str">
        <f t="shared" si="361"/>
        <v>k yet</v>
      </c>
    </row>
    <row r="2440" spans="1:39">
      <c r="A2440" s="42" t="s">
        <v>248</v>
      </c>
      <c r="B2440" s="40" t="str">
        <f t="shared" si="358"/>
        <v>No pick yet</v>
      </c>
      <c r="C2440" s="40" t="str">
        <f t="shared" si="357"/>
        <v>03-&gt;</v>
      </c>
      <c r="D2440" s="40" t="str">
        <f t="shared" si="359"/>
        <v xml:space="preserve">No pick yet                                                 </v>
      </c>
      <c r="E2440" s="52">
        <f t="shared" si="360"/>
        <v>0</v>
      </c>
      <c r="F2440" s="18"/>
      <c r="L2440" s="21"/>
      <c r="N2440" s="22"/>
      <c r="O2440" s="22"/>
      <c r="P2440" s="18"/>
      <c r="Q2440" s="22"/>
      <c r="R2440" s="22"/>
      <c r="S2440" s="22"/>
      <c r="Z2440" s="53"/>
      <c r="AA2440"/>
      <c r="AH2440" t="str">
        <f t="shared" si="361"/>
        <v>k yet</v>
      </c>
    </row>
    <row r="2441" spans="1:39">
      <c r="A2441" s="42" t="s">
        <v>249</v>
      </c>
      <c r="B2441" s="40" t="str">
        <f t="shared" si="358"/>
        <v>No pick yet</v>
      </c>
      <c r="C2441" s="40" t="str">
        <f t="shared" si="357"/>
        <v>04-&gt;</v>
      </c>
      <c r="D2441" s="40" t="str">
        <f t="shared" si="359"/>
        <v xml:space="preserve">No pick yet                                                 </v>
      </c>
      <c r="E2441" s="52">
        <f t="shared" si="360"/>
        <v>0</v>
      </c>
      <c r="F2441" s="18"/>
      <c r="M2441" s="18"/>
      <c r="N2441" s="18"/>
      <c r="O2441" s="18"/>
      <c r="P2441" s="18"/>
      <c r="Q2441" s="22"/>
      <c r="R2441" s="21"/>
      <c r="S2441" s="21"/>
      <c r="T2441" s="21"/>
      <c r="AA2441"/>
      <c r="AH2441" t="str">
        <f t="shared" si="361"/>
        <v>k yet</v>
      </c>
    </row>
    <row r="2442" spans="1:39">
      <c r="A2442" s="42" t="s">
        <v>250</v>
      </c>
      <c r="B2442" s="40" t="str">
        <f t="shared" si="358"/>
        <v>No pick yet</v>
      </c>
      <c r="C2442" s="40" t="str">
        <f t="shared" si="357"/>
        <v>05-&gt;</v>
      </c>
      <c r="D2442" s="40" t="str">
        <f t="shared" si="359"/>
        <v xml:space="preserve">No pick yet                                                 </v>
      </c>
      <c r="E2442" s="52">
        <f t="shared" si="360"/>
        <v>0</v>
      </c>
      <c r="F2442" s="18"/>
      <c r="M2442" s="18"/>
      <c r="N2442" s="18"/>
      <c r="O2442" s="18"/>
      <c r="P2442" s="18"/>
      <c r="Q2442" s="22"/>
      <c r="R2442" s="21"/>
      <c r="S2442" s="21"/>
      <c r="T2442" s="21"/>
      <c r="AA2442"/>
      <c r="AH2442" t="str">
        <f t="shared" si="361"/>
        <v>k yet</v>
      </c>
    </row>
    <row r="2443" spans="1:39">
      <c r="A2443" s="42" t="s">
        <v>251</v>
      </c>
      <c r="B2443" s="40" t="str">
        <f t="shared" si="358"/>
        <v>No pick yet</v>
      </c>
      <c r="C2443" s="40" t="str">
        <f t="shared" si="357"/>
        <v>06-&gt;</v>
      </c>
      <c r="D2443" s="40" t="str">
        <f t="shared" si="359"/>
        <v xml:space="preserve">No pick yet                                                 </v>
      </c>
      <c r="E2443" s="52">
        <f t="shared" si="360"/>
        <v>0</v>
      </c>
      <c r="F2443" s="18"/>
      <c r="M2443" s="18"/>
      <c r="N2443" s="18"/>
      <c r="O2443" s="18"/>
      <c r="P2443" s="18"/>
      <c r="Q2443" s="22"/>
      <c r="R2443" s="21"/>
      <c r="S2443" s="21"/>
      <c r="T2443" s="21"/>
      <c r="AA2443"/>
      <c r="AH2443" t="str">
        <f t="shared" si="361"/>
        <v>k yet</v>
      </c>
    </row>
    <row r="2444" spans="1:39">
      <c r="A2444" s="42" t="s">
        <v>252</v>
      </c>
      <c r="B2444" s="40" t="str">
        <f t="shared" si="358"/>
        <v>No pick yet</v>
      </c>
      <c r="C2444" s="40" t="str">
        <f t="shared" si="357"/>
        <v>07-&gt;</v>
      </c>
      <c r="D2444" s="40" t="str">
        <f t="shared" si="359"/>
        <v xml:space="preserve">No pick yet                                                 </v>
      </c>
      <c r="E2444" s="52">
        <f t="shared" si="360"/>
        <v>0</v>
      </c>
      <c r="F2444" s="18"/>
      <c r="M2444" s="18"/>
      <c r="N2444" s="18"/>
      <c r="O2444" s="18"/>
      <c r="P2444" s="18"/>
      <c r="Q2444" s="22"/>
      <c r="R2444" s="21"/>
      <c r="S2444" s="21"/>
      <c r="T2444" s="21"/>
      <c r="AA2444"/>
      <c r="AH2444" t="str">
        <f t="shared" si="361"/>
        <v>k yet</v>
      </c>
    </row>
    <row r="2445" spans="1:39">
      <c r="A2445" s="42" t="s">
        <v>253</v>
      </c>
      <c r="B2445" s="40" t="str">
        <f t="shared" si="358"/>
        <v>No pick yet</v>
      </c>
      <c r="C2445" s="40" t="str">
        <f t="shared" si="357"/>
        <v>08-&gt;</v>
      </c>
      <c r="D2445" s="40" t="str">
        <f t="shared" si="359"/>
        <v xml:space="preserve">No pick yet                                                 </v>
      </c>
      <c r="E2445" s="52">
        <f t="shared" si="360"/>
        <v>0</v>
      </c>
      <c r="F2445" s="18"/>
      <c r="M2445" s="18"/>
      <c r="N2445" s="18"/>
      <c r="O2445" s="18"/>
      <c r="P2445" s="18"/>
      <c r="Q2445" s="22"/>
      <c r="R2445" s="21"/>
      <c r="S2445" s="21"/>
      <c r="T2445" s="21"/>
      <c r="AA2445"/>
      <c r="AH2445" t="str">
        <f t="shared" si="361"/>
        <v>k yet</v>
      </c>
    </row>
    <row r="2446" spans="1:39">
      <c r="A2446" s="42" t="s">
        <v>254</v>
      </c>
      <c r="B2446" s="40" t="str">
        <f t="shared" si="358"/>
        <v>No pick yet</v>
      </c>
      <c r="C2446" s="40" t="str">
        <f t="shared" si="357"/>
        <v>09-&gt;</v>
      </c>
      <c r="D2446" s="40" t="str">
        <f t="shared" si="359"/>
        <v xml:space="preserve">No pick yet                                                 </v>
      </c>
      <c r="E2446" s="52">
        <f t="shared" si="360"/>
        <v>0</v>
      </c>
      <c r="F2446" s="18"/>
      <c r="M2446" s="18"/>
      <c r="N2446" s="18"/>
      <c r="O2446" s="18"/>
      <c r="P2446" s="18"/>
      <c r="Q2446" s="22"/>
      <c r="R2446" s="21"/>
      <c r="S2446" s="21"/>
      <c r="T2446" s="21"/>
      <c r="AA2446"/>
      <c r="AH2446" t="str">
        <f t="shared" si="361"/>
        <v>k yet</v>
      </c>
    </row>
    <row r="2447" spans="1:39">
      <c r="A2447" s="42" t="s">
        <v>255</v>
      </c>
      <c r="B2447" s="40" t="str">
        <f t="shared" si="358"/>
        <v>No pick yet</v>
      </c>
      <c r="C2447" s="40" t="str">
        <f t="shared" si="357"/>
        <v>10-&gt;</v>
      </c>
      <c r="D2447" s="40" t="str">
        <f t="shared" si="359"/>
        <v xml:space="preserve">No pick yet                                                 </v>
      </c>
      <c r="E2447" s="52">
        <f t="shared" si="360"/>
        <v>0</v>
      </c>
      <c r="F2447" s="22"/>
      <c r="M2447" s="18"/>
      <c r="N2447" s="18"/>
      <c r="O2447" s="18"/>
      <c r="P2447" s="18"/>
      <c r="Q2447" s="22"/>
      <c r="R2447" s="21"/>
      <c r="S2447" s="21"/>
      <c r="T2447" s="21"/>
      <c r="AA2447"/>
      <c r="AH2447" t="str">
        <f t="shared" si="361"/>
        <v>k yet</v>
      </c>
    </row>
    <row r="2448" spans="1:39">
      <c r="A2448" s="42" t="s">
        <v>256</v>
      </c>
      <c r="B2448" s="40" t="str">
        <f t="shared" si="358"/>
        <v>No pick yet</v>
      </c>
      <c r="C2448" s="40" t="str">
        <f t="shared" si="357"/>
        <v>11-&gt;</v>
      </c>
      <c r="D2448" s="40" t="str">
        <f t="shared" si="359"/>
        <v xml:space="preserve">No pick yet                                                 </v>
      </c>
      <c r="E2448" s="52">
        <f t="shared" si="360"/>
        <v>0</v>
      </c>
      <c r="M2448" s="18"/>
      <c r="N2448" s="18"/>
      <c r="O2448" s="18"/>
      <c r="P2448" s="18"/>
      <c r="Q2448" s="22"/>
      <c r="R2448" s="21"/>
      <c r="S2448" s="21"/>
      <c r="T2448" s="21"/>
      <c r="AA2448"/>
      <c r="AH2448" t="str">
        <f t="shared" si="361"/>
        <v>k yet</v>
      </c>
    </row>
    <row r="2449" spans="1:39">
      <c r="A2449" s="42" t="s">
        <v>257</v>
      </c>
      <c r="B2449" s="40" t="str">
        <f t="shared" si="358"/>
        <v>No pick yet</v>
      </c>
      <c r="C2449" s="40" t="str">
        <f t="shared" si="357"/>
        <v>12-&gt;</v>
      </c>
      <c r="D2449" s="40" t="str">
        <f t="shared" si="359"/>
        <v xml:space="preserve">No pick yet                                                 </v>
      </c>
      <c r="E2449" s="52">
        <f t="shared" si="360"/>
        <v>0</v>
      </c>
      <c r="M2449" s="18"/>
      <c r="N2449" s="18"/>
      <c r="O2449" s="18"/>
      <c r="P2449" s="18"/>
      <c r="Q2449" s="22"/>
      <c r="R2449" s="21"/>
      <c r="S2449" s="21"/>
      <c r="T2449" s="21"/>
      <c r="AA2449"/>
      <c r="AH2449" t="str">
        <f t="shared" si="361"/>
        <v>k yet</v>
      </c>
    </row>
    <row r="2450" spans="1:39">
      <c r="A2450" s="42" t="s">
        <v>258</v>
      </c>
      <c r="B2450" s="40" t="str">
        <f t="shared" si="358"/>
        <v>No pick yet</v>
      </c>
      <c r="C2450" s="40" t="str">
        <f t="shared" si="357"/>
        <v>13-&gt;</v>
      </c>
      <c r="D2450" s="40" t="str">
        <f t="shared" si="359"/>
        <v xml:space="preserve">No pick yet                                                 </v>
      </c>
      <c r="E2450" s="52">
        <f t="shared" si="360"/>
        <v>0</v>
      </c>
      <c r="M2450" s="18"/>
      <c r="N2450" s="18"/>
      <c r="O2450" s="18"/>
      <c r="P2450" s="18"/>
      <c r="Q2450" s="22"/>
      <c r="R2450" s="21"/>
      <c r="S2450" s="21"/>
      <c r="T2450" s="21"/>
      <c r="AA2450"/>
      <c r="AH2450" t="str">
        <f t="shared" si="361"/>
        <v>k yet</v>
      </c>
    </row>
    <row r="2451" spans="1:39">
      <c r="A2451" s="42" t="s">
        <v>259</v>
      </c>
      <c r="B2451" s="40" t="str">
        <f t="shared" si="358"/>
        <v>No pick yet</v>
      </c>
      <c r="C2451" s="40" t="str">
        <f t="shared" si="357"/>
        <v>14-&gt;</v>
      </c>
      <c r="D2451" s="40" t="str">
        <f t="shared" si="359"/>
        <v xml:space="preserve">No pick yet                                                 </v>
      </c>
      <c r="E2451" s="52">
        <f t="shared" si="360"/>
        <v>0</v>
      </c>
      <c r="M2451" s="18"/>
      <c r="N2451" s="18"/>
      <c r="O2451" s="18"/>
      <c r="P2451" s="18"/>
      <c r="Q2451" s="22"/>
      <c r="R2451" s="21"/>
      <c r="S2451" s="21"/>
      <c r="T2451" s="21"/>
      <c r="AA2451"/>
      <c r="AH2451" t="str">
        <f t="shared" si="361"/>
        <v>k yet</v>
      </c>
    </row>
    <row r="2452" spans="1:39">
      <c r="A2452" s="42" t="s">
        <v>260</v>
      </c>
      <c r="B2452" s="40" t="str">
        <f t="shared" si="358"/>
        <v>No pick yet</v>
      </c>
      <c r="C2452" s="40" t="str">
        <f t="shared" si="357"/>
        <v>15-&gt;</v>
      </c>
      <c r="D2452" s="40" t="str">
        <f t="shared" si="359"/>
        <v xml:space="preserve">No pick yet                                                 </v>
      </c>
      <c r="E2452" s="52">
        <f t="shared" si="360"/>
        <v>0</v>
      </c>
      <c r="M2452" s="18"/>
      <c r="N2452" s="18"/>
      <c r="O2452" s="18"/>
      <c r="P2452" s="18"/>
      <c r="Q2452" s="22"/>
      <c r="R2452" s="21"/>
      <c r="S2452" s="21"/>
      <c r="T2452" s="21"/>
      <c r="AA2452"/>
      <c r="AH2452" t="str">
        <f t="shared" si="361"/>
        <v>k yet</v>
      </c>
    </row>
    <row r="2453" spans="1:39">
      <c r="A2453" s="42" t="s">
        <v>261</v>
      </c>
      <c r="B2453" s="40" t="str">
        <f t="shared" si="358"/>
        <v>No pick yet</v>
      </c>
      <c r="C2453" s="40" t="str">
        <f t="shared" si="357"/>
        <v>16-&gt;</v>
      </c>
      <c r="D2453" s="40" t="str">
        <f t="shared" si="359"/>
        <v xml:space="preserve">No pick yet                                                 </v>
      </c>
      <c r="E2453" s="52">
        <f t="shared" si="360"/>
        <v>0</v>
      </c>
      <c r="M2453" s="18"/>
      <c r="N2453" s="18"/>
      <c r="O2453" s="18"/>
      <c r="P2453" s="18"/>
      <c r="Q2453" s="22"/>
      <c r="R2453" s="21"/>
      <c r="S2453" s="21"/>
      <c r="T2453" s="21"/>
      <c r="AA2453"/>
      <c r="AH2453" t="str">
        <f t="shared" si="361"/>
        <v>k yet</v>
      </c>
    </row>
    <row r="2454" spans="1:39">
      <c r="A2454" s="42" t="s">
        <v>262</v>
      </c>
      <c r="B2454" s="40" t="str">
        <f t="shared" si="358"/>
        <v>No pick yet</v>
      </c>
      <c r="C2454" s="40" t="str">
        <f t="shared" si="357"/>
        <v>17-&gt;</v>
      </c>
      <c r="D2454" s="40" t="str">
        <f t="shared" si="359"/>
        <v xml:space="preserve">No pick yet                                                 </v>
      </c>
      <c r="E2454" s="52">
        <f t="shared" si="360"/>
        <v>0</v>
      </c>
      <c r="K2454" s="22"/>
      <c r="N2454" s="22"/>
      <c r="O2454" s="22"/>
      <c r="P2454" s="22"/>
      <c r="Q2454" s="22"/>
      <c r="R2454" s="22"/>
      <c r="S2454" s="22"/>
      <c r="Z2454" s="53"/>
      <c r="AA2454"/>
      <c r="AH2454" t="str">
        <f t="shared" si="361"/>
        <v>k yet</v>
      </c>
    </row>
    <row r="2455" spans="1:39">
      <c r="A2455" s="42" t="s">
        <v>263</v>
      </c>
      <c r="B2455" s="40" t="str">
        <f t="shared" si="358"/>
        <v>No pick yet</v>
      </c>
      <c r="C2455" s="40" t="str">
        <f t="shared" si="357"/>
        <v>18-&gt;</v>
      </c>
      <c r="D2455" s="40" t="str">
        <f t="shared" si="359"/>
        <v xml:space="preserve">No pick yet                                                 </v>
      </c>
      <c r="E2455" s="52">
        <f t="shared" si="360"/>
        <v>0</v>
      </c>
      <c r="F2455" s="18"/>
      <c r="L2455" s="21"/>
      <c r="N2455" s="22"/>
      <c r="O2455" s="22"/>
      <c r="P2455" s="18"/>
      <c r="Q2455" s="22"/>
      <c r="R2455" s="22"/>
      <c r="S2455" s="22"/>
      <c r="Z2455" s="53"/>
      <c r="AA2455"/>
      <c r="AH2455" t="str">
        <f t="shared" si="361"/>
        <v>k yet</v>
      </c>
    </row>
    <row r="2456" spans="1:39">
      <c r="A2456" s="42" t="s">
        <v>264</v>
      </c>
      <c r="B2456" s="40" t="str">
        <f t="shared" si="358"/>
        <v>No pick yet</v>
      </c>
      <c r="C2456" s="40" t="str">
        <f t="shared" si="357"/>
        <v>19-&gt;</v>
      </c>
      <c r="D2456" s="40" t="str">
        <f t="shared" si="359"/>
        <v xml:space="preserve">No pick yet                                                 </v>
      </c>
      <c r="E2456" s="52">
        <f t="shared" si="360"/>
        <v>0</v>
      </c>
      <c r="F2456" s="18"/>
      <c r="M2456" s="18"/>
      <c r="N2456" s="18"/>
      <c r="O2456" s="18"/>
      <c r="P2456" s="18"/>
      <c r="Q2456" s="22"/>
      <c r="R2456" s="21"/>
      <c r="S2456" s="21"/>
      <c r="T2456" s="21"/>
      <c r="AA2456"/>
      <c r="AH2456" t="str">
        <f t="shared" si="361"/>
        <v>k yet</v>
      </c>
    </row>
    <row r="2457" spans="1:39">
      <c r="A2457" s="42" t="s">
        <v>265</v>
      </c>
      <c r="B2457" s="40" t="str">
        <f t="shared" si="358"/>
        <v>No pick yet</v>
      </c>
      <c r="C2457" s="40" t="str">
        <f t="shared" si="357"/>
        <v>20-&gt;</v>
      </c>
      <c r="D2457" s="40" t="str">
        <f t="shared" si="359"/>
        <v xml:space="preserve">No pick yet                                                 </v>
      </c>
      <c r="E2457" s="52">
        <f t="shared" si="360"/>
        <v>0</v>
      </c>
      <c r="F2457" s="18"/>
      <c r="M2457" s="18"/>
      <c r="N2457" s="18"/>
      <c r="O2457" s="18"/>
      <c r="P2457" s="18"/>
      <c r="Q2457" s="22"/>
      <c r="R2457" s="21"/>
      <c r="S2457" s="21"/>
      <c r="T2457" s="21"/>
      <c r="AA2457"/>
      <c r="AH2457" t="str">
        <f t="shared" si="361"/>
        <v>k yet</v>
      </c>
    </row>
    <row r="2458" spans="1:39">
      <c r="A2458" s="42" t="s">
        <v>266</v>
      </c>
      <c r="B2458" s="40" t="str">
        <f t="shared" si="358"/>
        <v>No pick yet</v>
      </c>
      <c r="C2458" s="40" t="str">
        <f t="shared" si="357"/>
        <v>21-&gt;</v>
      </c>
      <c r="D2458" s="40" t="str">
        <f t="shared" si="359"/>
        <v xml:space="preserve">No pick yet                                                 </v>
      </c>
      <c r="E2458" s="52">
        <f t="shared" si="360"/>
        <v>0</v>
      </c>
      <c r="F2458" s="18"/>
      <c r="M2458" s="18"/>
      <c r="N2458" s="18"/>
      <c r="O2458" s="18"/>
      <c r="P2458" s="18"/>
      <c r="Q2458" s="22"/>
      <c r="R2458" s="21"/>
      <c r="S2458" s="21"/>
      <c r="T2458" s="21"/>
      <c r="AA2458"/>
      <c r="AH2458" t="str">
        <f t="shared" si="361"/>
        <v>k yet</v>
      </c>
    </row>
    <row r="2459" spans="1:39">
      <c r="A2459" s="42" t="s">
        <v>267</v>
      </c>
      <c r="B2459" s="40" t="str">
        <f t="shared" si="358"/>
        <v>No pick yet</v>
      </c>
      <c r="C2459" s="40" t="str">
        <f t="shared" si="357"/>
        <v>22-&gt;</v>
      </c>
      <c r="D2459" s="40" t="str">
        <f t="shared" si="359"/>
        <v xml:space="preserve">No pick yet                                                 </v>
      </c>
      <c r="E2459" s="52">
        <f t="shared" si="360"/>
        <v>0</v>
      </c>
      <c r="F2459" s="18"/>
      <c r="M2459" s="18"/>
      <c r="N2459" s="18"/>
      <c r="O2459" s="18"/>
      <c r="P2459" s="18"/>
      <c r="Q2459" s="22"/>
      <c r="R2459" s="21"/>
      <c r="S2459" s="21"/>
      <c r="T2459" s="21"/>
      <c r="AA2459"/>
      <c r="AH2459" t="str">
        <f t="shared" si="361"/>
        <v>k yet</v>
      </c>
    </row>
    <row r="2460" spans="1:39">
      <c r="A2460" s="42" t="s">
        <v>268</v>
      </c>
      <c r="B2460" s="40" t="str">
        <f t="shared" si="358"/>
        <v>No pick yet</v>
      </c>
      <c r="C2460" s="40" t="str">
        <f t="shared" si="357"/>
        <v>23-&gt;</v>
      </c>
      <c r="D2460" s="40" t="str">
        <f t="shared" si="359"/>
        <v xml:space="preserve">No pick yet                                                 </v>
      </c>
      <c r="E2460" s="52">
        <f t="shared" si="360"/>
        <v>0</v>
      </c>
      <c r="F2460" s="18"/>
      <c r="M2460" s="18"/>
      <c r="N2460" s="18"/>
      <c r="O2460" s="18"/>
      <c r="P2460" s="18"/>
      <c r="Q2460" s="22"/>
      <c r="R2460" s="21"/>
      <c r="S2460" s="21"/>
      <c r="T2460" s="21"/>
      <c r="AA2460"/>
      <c r="AH2460" t="str">
        <f t="shared" si="361"/>
        <v>k yet</v>
      </c>
    </row>
    <row r="2461" spans="1:39">
      <c r="A2461" s="42" t="s">
        <v>269</v>
      </c>
      <c r="B2461" s="40" t="str">
        <f t="shared" si="358"/>
        <v>No pick yet</v>
      </c>
      <c r="C2461" s="40" t="str">
        <f t="shared" si="357"/>
        <v>24-&gt;</v>
      </c>
      <c r="D2461" s="40" t="str">
        <f t="shared" si="359"/>
        <v xml:space="preserve">No pick yet                                                 </v>
      </c>
      <c r="E2461" s="52">
        <f t="shared" si="360"/>
        <v>0</v>
      </c>
      <c r="F2461" s="18"/>
      <c r="M2461" s="18"/>
      <c r="N2461" s="18"/>
      <c r="O2461" s="18"/>
      <c r="P2461" s="18"/>
      <c r="Q2461" s="22"/>
      <c r="R2461" s="21"/>
      <c r="S2461" s="21"/>
      <c r="T2461" s="21"/>
      <c r="AA2461"/>
      <c r="AH2461" t="str">
        <f t="shared" si="361"/>
        <v>k yet</v>
      </c>
    </row>
    <row r="2462" spans="1:39">
      <c r="A2462" s="42" t="s">
        <v>270</v>
      </c>
      <c r="B2462" s="40" t="str">
        <f t="shared" si="358"/>
        <v>No pick yet</v>
      </c>
      <c r="C2462" s="40" t="str">
        <f t="shared" si="357"/>
        <v>25-&gt;</v>
      </c>
      <c r="D2462" s="40" t="str">
        <f t="shared" si="359"/>
        <v xml:space="preserve">No pick yet                                                 </v>
      </c>
      <c r="E2462" s="52">
        <f t="shared" si="360"/>
        <v>0</v>
      </c>
      <c r="F2462" s="18"/>
      <c r="M2462" s="18"/>
      <c r="N2462" s="18"/>
      <c r="O2462" s="18"/>
      <c r="P2462" s="18"/>
      <c r="Q2462" s="22"/>
      <c r="R2462" s="21"/>
      <c r="S2462" s="21"/>
      <c r="T2462" s="21"/>
      <c r="AA2462"/>
      <c r="AH2462" t="str">
        <f t="shared" si="361"/>
        <v>k yet</v>
      </c>
    </row>
    <row r="2463" spans="1:39">
      <c r="A2463" s="42" t="s">
        <v>271</v>
      </c>
      <c r="B2463" s="40" t="str">
        <f t="shared" si="358"/>
        <v>No pick yet</v>
      </c>
      <c r="C2463" s="40" t="str">
        <f t="shared" si="357"/>
        <v>26-&gt;</v>
      </c>
      <c r="D2463" s="40" t="str">
        <f t="shared" si="359"/>
        <v xml:space="preserve">No pick yet                                                 </v>
      </c>
      <c r="E2463" s="52">
        <f t="shared" si="360"/>
        <v>0</v>
      </c>
      <c r="F2463" s="18"/>
      <c r="M2463" s="18"/>
      <c r="N2463" s="18"/>
      <c r="O2463" s="18"/>
      <c r="P2463" s="18"/>
      <c r="Q2463" s="22"/>
      <c r="R2463" s="21"/>
      <c r="S2463" s="21"/>
      <c r="T2463" s="21"/>
      <c r="AA2463"/>
      <c r="AH2463" t="str">
        <f t="shared" si="361"/>
        <v>k yet</v>
      </c>
    </row>
    <row r="2464" spans="1:39">
      <c r="A2464" s="38"/>
      <c r="B2464" s="40"/>
      <c r="C2464" s="40"/>
      <c r="D2464" s="49"/>
      <c r="E2464" s="41" t="s">
        <v>69</v>
      </c>
      <c r="F2464" s="18"/>
      <c r="K2464" s="22" t="s">
        <v>73</v>
      </c>
      <c r="L2464" s="18" t="s">
        <v>74</v>
      </c>
      <c r="M2464" s="22" t="s">
        <v>78</v>
      </c>
      <c r="N2464" s="22" t="s">
        <v>79</v>
      </c>
      <c r="O2464" s="22" t="s">
        <v>80</v>
      </c>
      <c r="P2464" s="22" t="s">
        <v>81</v>
      </c>
      <c r="Q2464" s="22" t="s">
        <v>82</v>
      </c>
      <c r="R2464" s="22" t="s">
        <v>83</v>
      </c>
      <c r="S2464" s="22" t="s">
        <v>84</v>
      </c>
      <c r="T2464" s="18" t="s">
        <v>85</v>
      </c>
      <c r="U2464" s="18" t="s">
        <v>86</v>
      </c>
      <c r="V2464" s="18" t="s">
        <v>87</v>
      </c>
      <c r="W2464" s="18" t="s">
        <v>88</v>
      </c>
      <c r="X2464" s="18" t="s">
        <v>89</v>
      </c>
      <c r="Y2464" s="18" t="s">
        <v>90</v>
      </c>
      <c r="Z2464" s="18" t="s">
        <v>91</v>
      </c>
      <c r="AA2464" s="18" t="s">
        <v>92</v>
      </c>
      <c r="AB2464" s="18" t="s">
        <v>93</v>
      </c>
      <c r="AC2464" s="18" t="s">
        <v>94</v>
      </c>
      <c r="AD2464" s="18" t="s">
        <v>235</v>
      </c>
      <c r="AE2464" s="18" t="s">
        <v>236</v>
      </c>
      <c r="AF2464" s="18" t="s">
        <v>237</v>
      </c>
      <c r="AG2464" s="18" t="s">
        <v>238</v>
      </c>
      <c r="AH2464" s="18" t="s">
        <v>239</v>
      </c>
      <c r="AI2464" s="18" t="s">
        <v>240</v>
      </c>
      <c r="AJ2464" s="18" t="s">
        <v>241</v>
      </c>
      <c r="AK2464" s="18" t="s">
        <v>242</v>
      </c>
      <c r="AL2464" s="18" t="s">
        <v>243</v>
      </c>
      <c r="AM2464" s="50" t="s">
        <v>244</v>
      </c>
    </row>
    <row r="2465" spans="1:39">
      <c r="A2465" s="40" t="s">
        <v>245</v>
      </c>
      <c r="B2465" s="51" t="str">
        <f>D87</f>
        <v/>
      </c>
      <c r="C2465" s="40" t="str">
        <f t="shared" ref="C2465:C2491" si="362">A2465</f>
        <v>#</v>
      </c>
      <c r="D2465" s="40" t="str">
        <f>"   "&amp;B2465&amp;REPT(" ",$AH$70-LEN(B2465)-3)</f>
        <v xml:space="preserve">                                                            </v>
      </c>
      <c r="E2465" s="38" t="str">
        <f>SUM(E2466:E2491)&amp;" pts[/b]"</f>
        <v>0 pts[/b]</v>
      </c>
      <c r="F2465" s="21">
        <f>SUM(E2466:E2491)</f>
        <v>0</v>
      </c>
      <c r="K2465" s="18">
        <f>COUNTIF(E2466:E2491,"&gt;0")</f>
        <v>0</v>
      </c>
      <c r="L2465" s="21">
        <f>AM2465-K2465</f>
        <v>0</v>
      </c>
      <c r="M2465" s="22">
        <f>MAX(E2466:E2491)</f>
        <v>0</v>
      </c>
      <c r="N2465" s="22">
        <f>LARGE(E2466:E2491,2)</f>
        <v>0</v>
      </c>
      <c r="O2465" s="22">
        <f>LARGE(E2466:E2491,3)</f>
        <v>0</v>
      </c>
      <c r="P2465" s="18">
        <f>LARGE(E2466:E2491,4)</f>
        <v>0</v>
      </c>
      <c r="Q2465" s="22">
        <f>LARGE(E2466:E2491,5)</f>
        <v>0</v>
      </c>
      <c r="R2465" s="22">
        <f>LARGE(E2466:E2491,6)</f>
        <v>0</v>
      </c>
      <c r="S2465" s="22">
        <f>LARGE(E2466:E2491,7)</f>
        <v>0</v>
      </c>
      <c r="T2465" s="18">
        <f>LARGE(E2466:E2491,8)</f>
        <v>0</v>
      </c>
      <c r="U2465" s="18">
        <f>LARGE(E2466:E2491,9)</f>
        <v>0</v>
      </c>
      <c r="V2465" s="18">
        <f>LARGE(E2466:E2491,10)</f>
        <v>0</v>
      </c>
      <c r="W2465" s="18">
        <f>LARGE(E2466:E2491,11)</f>
        <v>0</v>
      </c>
      <c r="X2465" s="18">
        <f>LARGE(E2466:E2491,12)</f>
        <v>0</v>
      </c>
      <c r="Y2465" s="18">
        <f>LARGE(E2466:E2491,13)</f>
        <v>0</v>
      </c>
      <c r="Z2465" s="18">
        <f>LARGE(E2466:E2491,14)</f>
        <v>0</v>
      </c>
      <c r="AA2465" s="18">
        <f>LARGE(E2466:E2491,15)</f>
        <v>0</v>
      </c>
      <c r="AB2465" s="18">
        <f>LARGE(E2466:E2491,16)</f>
        <v>0</v>
      </c>
      <c r="AC2465" s="18">
        <f>LARGE(E2466:E2491,17)</f>
        <v>0</v>
      </c>
      <c r="AD2465" s="18">
        <f>LARGE(E2466:E2492,13)</f>
        <v>0</v>
      </c>
      <c r="AE2465" s="18">
        <f>LARGE(E2466:E2491,19)</f>
        <v>0</v>
      </c>
      <c r="AF2465" s="18">
        <f>LARGE(E2466:E2491,20)</f>
        <v>0</v>
      </c>
      <c r="AG2465" s="18">
        <f>LARGE(E2466:E2491,21)</f>
        <v>0</v>
      </c>
      <c r="AH2465" s="18">
        <f>LARGE(E2466:E2491,22)</f>
        <v>0</v>
      </c>
      <c r="AI2465" s="18">
        <f>LARGE(E2466:E2491,23)</f>
        <v>0</v>
      </c>
      <c r="AJ2465" s="18">
        <f>LARGE(E2466:E2491,24)</f>
        <v>0</v>
      </c>
      <c r="AK2465" s="18">
        <f>LARGE(E2466:E2491,25)</f>
        <v>0</v>
      </c>
      <c r="AL2465" s="18">
        <f>LARGE(E2466:E2491,26)</f>
        <v>0</v>
      </c>
      <c r="AM2465" s="50">
        <f>COUNTIF(B2466:B2491,"&lt;&gt;"&amp;AH74)</f>
        <v>0</v>
      </c>
    </row>
    <row r="2466" spans="1:39">
      <c r="A2466" s="42" t="s">
        <v>246</v>
      </c>
      <c r="B2466" s="40" t="str">
        <f t="shared" ref="B2466:B2491" si="363">$AH$74</f>
        <v>No pick yet</v>
      </c>
      <c r="C2466" s="40" t="str">
        <f t="shared" si="362"/>
        <v>01-&gt;</v>
      </c>
      <c r="D2466" s="40" t="str">
        <f t="shared" ref="D2466:D2491" si="364">B2466&amp;REPT(" ",$AH$70-LEN(B2466))</f>
        <v xml:space="preserve">No pick yet                                                 </v>
      </c>
      <c r="E2466" s="52">
        <f t="shared" ref="E2466:E2491" si="365">VLOOKUP(RIGHT(B2466,LEN(B2466)-$AH$66),$H$138:$I$420,2,0)</f>
        <v>0</v>
      </c>
      <c r="F2466" s="18"/>
      <c r="M2466" s="18"/>
      <c r="N2466" s="18"/>
      <c r="O2466" s="18"/>
      <c r="P2466" s="18"/>
      <c r="Q2466" s="22"/>
      <c r="R2466" s="21"/>
      <c r="S2466" s="21"/>
      <c r="T2466" s="21"/>
      <c r="AA2466"/>
      <c r="AH2466" t="str">
        <f t="shared" ref="AH2466:AH2491" si="366">RIGHT(B2466,LEN(B2466)-$AH$66)</f>
        <v>k yet</v>
      </c>
    </row>
    <row r="2467" spans="1:39">
      <c r="A2467" s="42" t="s">
        <v>247</v>
      </c>
      <c r="B2467" s="40" t="str">
        <f t="shared" si="363"/>
        <v>No pick yet</v>
      </c>
      <c r="C2467" s="40" t="str">
        <f t="shared" si="362"/>
        <v>02-&gt;</v>
      </c>
      <c r="D2467" s="40" t="str">
        <f t="shared" si="364"/>
        <v xml:space="preserve">No pick yet                                                 </v>
      </c>
      <c r="E2467" s="52">
        <f t="shared" si="365"/>
        <v>0</v>
      </c>
      <c r="F2467" s="18"/>
      <c r="K2467" s="22"/>
      <c r="N2467" s="22"/>
      <c r="O2467" s="22"/>
      <c r="P2467" s="22"/>
      <c r="Q2467" s="22"/>
      <c r="R2467" s="22"/>
      <c r="S2467" s="22"/>
      <c r="Z2467" s="53"/>
      <c r="AA2467"/>
      <c r="AH2467" t="str">
        <f t="shared" si="366"/>
        <v>k yet</v>
      </c>
    </row>
    <row r="2468" spans="1:39">
      <c r="A2468" s="42" t="s">
        <v>248</v>
      </c>
      <c r="B2468" s="40" t="str">
        <f t="shared" si="363"/>
        <v>No pick yet</v>
      </c>
      <c r="C2468" s="40" t="str">
        <f t="shared" si="362"/>
        <v>03-&gt;</v>
      </c>
      <c r="D2468" s="40" t="str">
        <f t="shared" si="364"/>
        <v xml:space="preserve">No pick yet                                                 </v>
      </c>
      <c r="E2468" s="52">
        <f t="shared" si="365"/>
        <v>0</v>
      </c>
      <c r="F2468" s="18"/>
      <c r="L2468" s="21"/>
      <c r="N2468" s="22"/>
      <c r="O2468" s="22"/>
      <c r="P2468" s="18"/>
      <c r="Q2468" s="22"/>
      <c r="R2468" s="22"/>
      <c r="S2468" s="22"/>
      <c r="Z2468" s="53"/>
      <c r="AA2468"/>
      <c r="AH2468" t="str">
        <f t="shared" si="366"/>
        <v>k yet</v>
      </c>
    </row>
    <row r="2469" spans="1:39">
      <c r="A2469" s="42" t="s">
        <v>249</v>
      </c>
      <c r="B2469" s="40" t="str">
        <f t="shared" si="363"/>
        <v>No pick yet</v>
      </c>
      <c r="C2469" s="40" t="str">
        <f t="shared" si="362"/>
        <v>04-&gt;</v>
      </c>
      <c r="D2469" s="40" t="str">
        <f t="shared" si="364"/>
        <v xml:space="preserve">No pick yet                                                 </v>
      </c>
      <c r="E2469" s="52">
        <f t="shared" si="365"/>
        <v>0</v>
      </c>
      <c r="F2469" s="18"/>
      <c r="M2469" s="18"/>
      <c r="N2469" s="18"/>
      <c r="O2469" s="18"/>
      <c r="P2469" s="18"/>
      <c r="Q2469" s="22"/>
      <c r="R2469" s="21"/>
      <c r="S2469" s="21"/>
      <c r="T2469" s="21"/>
      <c r="AA2469"/>
      <c r="AH2469" t="str">
        <f t="shared" si="366"/>
        <v>k yet</v>
      </c>
    </row>
    <row r="2470" spans="1:39">
      <c r="A2470" s="42" t="s">
        <v>250</v>
      </c>
      <c r="B2470" s="40" t="str">
        <f t="shared" si="363"/>
        <v>No pick yet</v>
      </c>
      <c r="C2470" s="40" t="str">
        <f t="shared" si="362"/>
        <v>05-&gt;</v>
      </c>
      <c r="D2470" s="40" t="str">
        <f t="shared" si="364"/>
        <v xml:space="preserve">No pick yet                                                 </v>
      </c>
      <c r="E2470" s="52">
        <f t="shared" si="365"/>
        <v>0</v>
      </c>
      <c r="F2470" s="18"/>
      <c r="M2470" s="18"/>
      <c r="N2470" s="18"/>
      <c r="O2470" s="18"/>
      <c r="P2470" s="18"/>
      <c r="Q2470" s="22"/>
      <c r="R2470" s="21"/>
      <c r="S2470" s="21"/>
      <c r="T2470" s="21"/>
      <c r="AA2470"/>
      <c r="AH2470" t="str">
        <f t="shared" si="366"/>
        <v>k yet</v>
      </c>
    </row>
    <row r="2471" spans="1:39">
      <c r="A2471" s="42" t="s">
        <v>251</v>
      </c>
      <c r="B2471" s="40" t="str">
        <f t="shared" si="363"/>
        <v>No pick yet</v>
      </c>
      <c r="C2471" s="40" t="str">
        <f t="shared" si="362"/>
        <v>06-&gt;</v>
      </c>
      <c r="D2471" s="40" t="str">
        <f t="shared" si="364"/>
        <v xml:space="preserve">No pick yet                                                 </v>
      </c>
      <c r="E2471" s="52">
        <f t="shared" si="365"/>
        <v>0</v>
      </c>
      <c r="F2471" s="18"/>
      <c r="M2471" s="18"/>
      <c r="N2471" s="18"/>
      <c r="O2471" s="18"/>
      <c r="P2471" s="18"/>
      <c r="Q2471" s="22"/>
      <c r="R2471" s="21"/>
      <c r="S2471" s="21"/>
      <c r="T2471" s="21"/>
      <c r="AA2471"/>
      <c r="AH2471" t="str">
        <f t="shared" si="366"/>
        <v>k yet</v>
      </c>
    </row>
    <row r="2472" spans="1:39">
      <c r="A2472" s="42" t="s">
        <v>252</v>
      </c>
      <c r="B2472" s="40" t="str">
        <f t="shared" si="363"/>
        <v>No pick yet</v>
      </c>
      <c r="C2472" s="40" t="str">
        <f t="shared" si="362"/>
        <v>07-&gt;</v>
      </c>
      <c r="D2472" s="40" t="str">
        <f t="shared" si="364"/>
        <v xml:space="preserve">No pick yet                                                 </v>
      </c>
      <c r="E2472" s="52">
        <f t="shared" si="365"/>
        <v>0</v>
      </c>
      <c r="F2472" s="18"/>
      <c r="M2472" s="18"/>
      <c r="N2472" s="18"/>
      <c r="O2472" s="18"/>
      <c r="P2472" s="18"/>
      <c r="Q2472" s="22"/>
      <c r="R2472" s="21"/>
      <c r="S2472" s="21"/>
      <c r="T2472" s="21"/>
      <c r="AA2472"/>
      <c r="AH2472" t="str">
        <f t="shared" si="366"/>
        <v>k yet</v>
      </c>
    </row>
    <row r="2473" spans="1:39">
      <c r="A2473" s="42" t="s">
        <v>253</v>
      </c>
      <c r="B2473" s="40" t="str">
        <f t="shared" si="363"/>
        <v>No pick yet</v>
      </c>
      <c r="C2473" s="40" t="str">
        <f t="shared" si="362"/>
        <v>08-&gt;</v>
      </c>
      <c r="D2473" s="40" t="str">
        <f t="shared" si="364"/>
        <v xml:space="preserve">No pick yet                                                 </v>
      </c>
      <c r="E2473" s="52">
        <f t="shared" si="365"/>
        <v>0</v>
      </c>
      <c r="F2473" s="18"/>
      <c r="M2473" s="18"/>
      <c r="N2473" s="18"/>
      <c r="O2473" s="18"/>
      <c r="P2473" s="18"/>
      <c r="Q2473" s="22"/>
      <c r="R2473" s="21"/>
      <c r="S2473" s="21"/>
      <c r="T2473" s="21"/>
      <c r="AA2473"/>
      <c r="AH2473" t="str">
        <f t="shared" si="366"/>
        <v>k yet</v>
      </c>
    </row>
    <row r="2474" spans="1:39">
      <c r="A2474" s="42" t="s">
        <v>254</v>
      </c>
      <c r="B2474" s="40" t="str">
        <f t="shared" si="363"/>
        <v>No pick yet</v>
      </c>
      <c r="C2474" s="40" t="str">
        <f t="shared" si="362"/>
        <v>09-&gt;</v>
      </c>
      <c r="D2474" s="40" t="str">
        <f t="shared" si="364"/>
        <v xml:space="preserve">No pick yet                                                 </v>
      </c>
      <c r="E2474" s="52">
        <f t="shared" si="365"/>
        <v>0</v>
      </c>
      <c r="F2474" s="18"/>
      <c r="M2474" s="18"/>
      <c r="N2474" s="18"/>
      <c r="O2474" s="18"/>
      <c r="P2474" s="18"/>
      <c r="Q2474" s="22"/>
      <c r="R2474" s="21"/>
      <c r="S2474" s="21"/>
      <c r="T2474" s="21"/>
      <c r="AA2474"/>
      <c r="AH2474" t="str">
        <f t="shared" si="366"/>
        <v>k yet</v>
      </c>
    </row>
    <row r="2475" spans="1:39">
      <c r="A2475" s="42" t="s">
        <v>255</v>
      </c>
      <c r="B2475" s="40" t="str">
        <f t="shared" si="363"/>
        <v>No pick yet</v>
      </c>
      <c r="C2475" s="40" t="str">
        <f t="shared" si="362"/>
        <v>10-&gt;</v>
      </c>
      <c r="D2475" s="40" t="str">
        <f t="shared" si="364"/>
        <v xml:space="preserve">No pick yet                                                 </v>
      </c>
      <c r="E2475" s="52">
        <f t="shared" si="365"/>
        <v>0</v>
      </c>
      <c r="F2475" s="22"/>
      <c r="M2475" s="18"/>
      <c r="N2475" s="18"/>
      <c r="O2475" s="18"/>
      <c r="P2475" s="18"/>
      <c r="Q2475" s="22"/>
      <c r="R2475" s="21"/>
      <c r="S2475" s="21"/>
      <c r="T2475" s="21"/>
      <c r="AA2475"/>
      <c r="AH2475" t="str">
        <f t="shared" si="366"/>
        <v>k yet</v>
      </c>
    </row>
    <row r="2476" spans="1:39">
      <c r="A2476" s="42" t="s">
        <v>256</v>
      </c>
      <c r="B2476" s="40" t="str">
        <f t="shared" si="363"/>
        <v>No pick yet</v>
      </c>
      <c r="C2476" s="40" t="str">
        <f t="shared" si="362"/>
        <v>11-&gt;</v>
      </c>
      <c r="D2476" s="40" t="str">
        <f t="shared" si="364"/>
        <v xml:space="preserve">No pick yet                                                 </v>
      </c>
      <c r="E2476" s="52">
        <f t="shared" si="365"/>
        <v>0</v>
      </c>
      <c r="M2476" s="18"/>
      <c r="N2476" s="18"/>
      <c r="O2476" s="18"/>
      <c r="P2476" s="18"/>
      <c r="Q2476" s="22"/>
      <c r="R2476" s="21"/>
      <c r="S2476" s="21"/>
      <c r="T2476" s="21"/>
      <c r="AA2476"/>
      <c r="AH2476" t="str">
        <f t="shared" si="366"/>
        <v>k yet</v>
      </c>
    </row>
    <row r="2477" spans="1:39">
      <c r="A2477" s="42" t="s">
        <v>257</v>
      </c>
      <c r="B2477" s="40" t="str">
        <f t="shared" si="363"/>
        <v>No pick yet</v>
      </c>
      <c r="C2477" s="40" t="str">
        <f t="shared" si="362"/>
        <v>12-&gt;</v>
      </c>
      <c r="D2477" s="40" t="str">
        <f t="shared" si="364"/>
        <v xml:space="preserve">No pick yet                                                 </v>
      </c>
      <c r="E2477" s="52">
        <f t="shared" si="365"/>
        <v>0</v>
      </c>
      <c r="M2477" s="18"/>
      <c r="N2477" s="18"/>
      <c r="O2477" s="18"/>
      <c r="P2477" s="18"/>
      <c r="Q2477" s="22"/>
      <c r="R2477" s="21"/>
      <c r="S2477" s="21"/>
      <c r="T2477" s="21"/>
      <c r="AA2477"/>
      <c r="AH2477" t="str">
        <f t="shared" si="366"/>
        <v>k yet</v>
      </c>
    </row>
    <row r="2478" spans="1:39">
      <c r="A2478" s="42" t="s">
        <v>258</v>
      </c>
      <c r="B2478" s="40" t="str">
        <f t="shared" si="363"/>
        <v>No pick yet</v>
      </c>
      <c r="C2478" s="40" t="str">
        <f t="shared" si="362"/>
        <v>13-&gt;</v>
      </c>
      <c r="D2478" s="40" t="str">
        <f t="shared" si="364"/>
        <v xml:space="preserve">No pick yet                                                 </v>
      </c>
      <c r="E2478" s="52">
        <f t="shared" si="365"/>
        <v>0</v>
      </c>
      <c r="M2478" s="18"/>
      <c r="N2478" s="18"/>
      <c r="O2478" s="18"/>
      <c r="P2478" s="18"/>
      <c r="Q2478" s="22"/>
      <c r="R2478" s="21"/>
      <c r="S2478" s="21"/>
      <c r="T2478" s="21"/>
      <c r="AA2478"/>
      <c r="AH2478" t="str">
        <f t="shared" si="366"/>
        <v>k yet</v>
      </c>
    </row>
    <row r="2479" spans="1:39">
      <c r="A2479" s="42" t="s">
        <v>259</v>
      </c>
      <c r="B2479" s="40" t="str">
        <f t="shared" si="363"/>
        <v>No pick yet</v>
      </c>
      <c r="C2479" s="40" t="str">
        <f t="shared" si="362"/>
        <v>14-&gt;</v>
      </c>
      <c r="D2479" s="40" t="str">
        <f t="shared" si="364"/>
        <v xml:space="preserve">No pick yet                                                 </v>
      </c>
      <c r="E2479" s="52">
        <f t="shared" si="365"/>
        <v>0</v>
      </c>
      <c r="M2479" s="18"/>
      <c r="N2479" s="18"/>
      <c r="O2479" s="18"/>
      <c r="P2479" s="18"/>
      <c r="Q2479" s="22"/>
      <c r="R2479" s="21"/>
      <c r="S2479" s="21"/>
      <c r="T2479" s="21"/>
      <c r="AA2479"/>
      <c r="AH2479" t="str">
        <f t="shared" si="366"/>
        <v>k yet</v>
      </c>
    </row>
    <row r="2480" spans="1:39">
      <c r="A2480" s="42" t="s">
        <v>260</v>
      </c>
      <c r="B2480" s="40" t="str">
        <f t="shared" si="363"/>
        <v>No pick yet</v>
      </c>
      <c r="C2480" s="40" t="str">
        <f t="shared" si="362"/>
        <v>15-&gt;</v>
      </c>
      <c r="D2480" s="40" t="str">
        <f t="shared" si="364"/>
        <v xml:space="preserve">No pick yet                                                 </v>
      </c>
      <c r="E2480" s="52">
        <f t="shared" si="365"/>
        <v>0</v>
      </c>
      <c r="M2480" s="18"/>
      <c r="N2480" s="18"/>
      <c r="O2480" s="18"/>
      <c r="P2480" s="18"/>
      <c r="Q2480" s="22"/>
      <c r="R2480" s="21"/>
      <c r="S2480" s="21"/>
      <c r="T2480" s="21"/>
      <c r="AA2480"/>
      <c r="AH2480" t="str">
        <f t="shared" si="366"/>
        <v>k yet</v>
      </c>
    </row>
    <row r="2481" spans="1:39">
      <c r="A2481" s="42" t="s">
        <v>261</v>
      </c>
      <c r="B2481" s="40" t="str">
        <f t="shared" si="363"/>
        <v>No pick yet</v>
      </c>
      <c r="C2481" s="40" t="str">
        <f t="shared" si="362"/>
        <v>16-&gt;</v>
      </c>
      <c r="D2481" s="40" t="str">
        <f t="shared" si="364"/>
        <v xml:space="preserve">No pick yet                                                 </v>
      </c>
      <c r="E2481" s="52">
        <f t="shared" si="365"/>
        <v>0</v>
      </c>
      <c r="M2481" s="18"/>
      <c r="N2481" s="18"/>
      <c r="O2481" s="18"/>
      <c r="P2481" s="18"/>
      <c r="Q2481" s="22"/>
      <c r="R2481" s="21"/>
      <c r="S2481" s="21"/>
      <c r="T2481" s="21"/>
      <c r="AA2481"/>
      <c r="AH2481" t="str">
        <f t="shared" si="366"/>
        <v>k yet</v>
      </c>
    </row>
    <row r="2482" spans="1:39">
      <c r="A2482" s="42" t="s">
        <v>262</v>
      </c>
      <c r="B2482" s="40" t="str">
        <f t="shared" si="363"/>
        <v>No pick yet</v>
      </c>
      <c r="C2482" s="40" t="str">
        <f t="shared" si="362"/>
        <v>17-&gt;</v>
      </c>
      <c r="D2482" s="40" t="str">
        <f t="shared" si="364"/>
        <v xml:space="preserve">No pick yet                                                 </v>
      </c>
      <c r="E2482" s="52">
        <f t="shared" si="365"/>
        <v>0</v>
      </c>
      <c r="K2482" s="22"/>
      <c r="N2482" s="22"/>
      <c r="O2482" s="22"/>
      <c r="P2482" s="22"/>
      <c r="Q2482" s="22"/>
      <c r="R2482" s="22"/>
      <c r="S2482" s="22"/>
      <c r="Z2482" s="53"/>
      <c r="AA2482"/>
      <c r="AH2482" t="str">
        <f t="shared" si="366"/>
        <v>k yet</v>
      </c>
    </row>
    <row r="2483" spans="1:39">
      <c r="A2483" s="42" t="s">
        <v>263</v>
      </c>
      <c r="B2483" s="40" t="str">
        <f t="shared" si="363"/>
        <v>No pick yet</v>
      </c>
      <c r="C2483" s="40" t="str">
        <f t="shared" si="362"/>
        <v>18-&gt;</v>
      </c>
      <c r="D2483" s="40" t="str">
        <f t="shared" si="364"/>
        <v xml:space="preserve">No pick yet                                                 </v>
      </c>
      <c r="E2483" s="52">
        <f t="shared" si="365"/>
        <v>0</v>
      </c>
      <c r="F2483" s="18"/>
      <c r="L2483" s="21"/>
      <c r="N2483" s="22"/>
      <c r="O2483" s="22"/>
      <c r="P2483" s="18"/>
      <c r="Q2483" s="22"/>
      <c r="R2483" s="22"/>
      <c r="S2483" s="22"/>
      <c r="Z2483" s="53"/>
      <c r="AA2483"/>
      <c r="AH2483" t="str">
        <f t="shared" si="366"/>
        <v>k yet</v>
      </c>
    </row>
    <row r="2484" spans="1:39">
      <c r="A2484" s="42" t="s">
        <v>264</v>
      </c>
      <c r="B2484" s="40" t="str">
        <f t="shared" si="363"/>
        <v>No pick yet</v>
      </c>
      <c r="C2484" s="40" t="str">
        <f t="shared" si="362"/>
        <v>19-&gt;</v>
      </c>
      <c r="D2484" s="40" t="str">
        <f t="shared" si="364"/>
        <v xml:space="preserve">No pick yet                                                 </v>
      </c>
      <c r="E2484" s="52">
        <f t="shared" si="365"/>
        <v>0</v>
      </c>
      <c r="F2484" s="18"/>
      <c r="M2484" s="18"/>
      <c r="N2484" s="18"/>
      <c r="O2484" s="18"/>
      <c r="P2484" s="18"/>
      <c r="Q2484" s="22"/>
      <c r="R2484" s="21"/>
      <c r="S2484" s="21"/>
      <c r="T2484" s="21"/>
      <c r="AA2484"/>
      <c r="AH2484" t="str">
        <f t="shared" si="366"/>
        <v>k yet</v>
      </c>
    </row>
    <row r="2485" spans="1:39">
      <c r="A2485" s="42" t="s">
        <v>265</v>
      </c>
      <c r="B2485" s="40" t="str">
        <f t="shared" si="363"/>
        <v>No pick yet</v>
      </c>
      <c r="C2485" s="40" t="str">
        <f t="shared" si="362"/>
        <v>20-&gt;</v>
      </c>
      <c r="D2485" s="40" t="str">
        <f t="shared" si="364"/>
        <v xml:space="preserve">No pick yet                                                 </v>
      </c>
      <c r="E2485" s="52">
        <f t="shared" si="365"/>
        <v>0</v>
      </c>
      <c r="F2485" s="18"/>
      <c r="M2485" s="18"/>
      <c r="N2485" s="18"/>
      <c r="O2485" s="18"/>
      <c r="P2485" s="18"/>
      <c r="Q2485" s="22"/>
      <c r="R2485" s="21"/>
      <c r="S2485" s="21"/>
      <c r="T2485" s="21"/>
      <c r="AA2485"/>
      <c r="AH2485" t="str">
        <f t="shared" si="366"/>
        <v>k yet</v>
      </c>
    </row>
    <row r="2486" spans="1:39">
      <c r="A2486" s="42" t="s">
        <v>266</v>
      </c>
      <c r="B2486" s="40" t="str">
        <f t="shared" si="363"/>
        <v>No pick yet</v>
      </c>
      <c r="C2486" s="40" t="str">
        <f t="shared" si="362"/>
        <v>21-&gt;</v>
      </c>
      <c r="D2486" s="40" t="str">
        <f t="shared" si="364"/>
        <v xml:space="preserve">No pick yet                                                 </v>
      </c>
      <c r="E2486" s="52">
        <f t="shared" si="365"/>
        <v>0</v>
      </c>
      <c r="F2486" s="18"/>
      <c r="M2486" s="18"/>
      <c r="N2486" s="18"/>
      <c r="O2486" s="18"/>
      <c r="P2486" s="18"/>
      <c r="Q2486" s="22"/>
      <c r="R2486" s="21"/>
      <c r="S2486" s="21"/>
      <c r="T2486" s="21"/>
      <c r="AA2486"/>
      <c r="AH2486" t="str">
        <f t="shared" si="366"/>
        <v>k yet</v>
      </c>
    </row>
    <row r="2487" spans="1:39">
      <c r="A2487" s="42" t="s">
        <v>267</v>
      </c>
      <c r="B2487" s="40" t="str">
        <f t="shared" si="363"/>
        <v>No pick yet</v>
      </c>
      <c r="C2487" s="40" t="str">
        <f t="shared" si="362"/>
        <v>22-&gt;</v>
      </c>
      <c r="D2487" s="40" t="str">
        <f t="shared" si="364"/>
        <v xml:space="preserve">No pick yet                                                 </v>
      </c>
      <c r="E2487" s="52">
        <f t="shared" si="365"/>
        <v>0</v>
      </c>
      <c r="F2487" s="18"/>
      <c r="M2487" s="18"/>
      <c r="N2487" s="18"/>
      <c r="O2487" s="18"/>
      <c r="P2487" s="18"/>
      <c r="Q2487" s="22"/>
      <c r="R2487" s="21"/>
      <c r="S2487" s="21"/>
      <c r="T2487" s="21"/>
      <c r="AA2487"/>
      <c r="AH2487" t="str">
        <f t="shared" si="366"/>
        <v>k yet</v>
      </c>
    </row>
    <row r="2488" spans="1:39">
      <c r="A2488" s="42" t="s">
        <v>268</v>
      </c>
      <c r="B2488" s="40" t="str">
        <f t="shared" si="363"/>
        <v>No pick yet</v>
      </c>
      <c r="C2488" s="40" t="str">
        <f t="shared" si="362"/>
        <v>23-&gt;</v>
      </c>
      <c r="D2488" s="40" t="str">
        <f t="shared" si="364"/>
        <v xml:space="preserve">No pick yet                                                 </v>
      </c>
      <c r="E2488" s="52">
        <f t="shared" si="365"/>
        <v>0</v>
      </c>
      <c r="F2488" s="18"/>
      <c r="M2488" s="18"/>
      <c r="N2488" s="18"/>
      <c r="O2488" s="18"/>
      <c r="P2488" s="18"/>
      <c r="Q2488" s="22"/>
      <c r="R2488" s="21"/>
      <c r="S2488" s="21"/>
      <c r="T2488" s="21"/>
      <c r="AA2488"/>
      <c r="AH2488" t="str">
        <f t="shared" si="366"/>
        <v>k yet</v>
      </c>
    </row>
    <row r="2489" spans="1:39">
      <c r="A2489" s="42" t="s">
        <v>269</v>
      </c>
      <c r="B2489" s="40" t="str">
        <f t="shared" si="363"/>
        <v>No pick yet</v>
      </c>
      <c r="C2489" s="40" t="str">
        <f t="shared" si="362"/>
        <v>24-&gt;</v>
      </c>
      <c r="D2489" s="40" t="str">
        <f t="shared" si="364"/>
        <v xml:space="preserve">No pick yet                                                 </v>
      </c>
      <c r="E2489" s="52">
        <f t="shared" si="365"/>
        <v>0</v>
      </c>
      <c r="F2489" s="18"/>
      <c r="M2489" s="18"/>
      <c r="N2489" s="18"/>
      <c r="O2489" s="18"/>
      <c r="P2489" s="18"/>
      <c r="Q2489" s="22"/>
      <c r="R2489" s="21"/>
      <c r="S2489" s="21"/>
      <c r="T2489" s="21"/>
      <c r="AA2489"/>
      <c r="AH2489" t="str">
        <f t="shared" si="366"/>
        <v>k yet</v>
      </c>
    </row>
    <row r="2490" spans="1:39">
      <c r="A2490" s="42" t="s">
        <v>270</v>
      </c>
      <c r="B2490" s="40" t="str">
        <f t="shared" si="363"/>
        <v>No pick yet</v>
      </c>
      <c r="C2490" s="40" t="str">
        <f t="shared" si="362"/>
        <v>25-&gt;</v>
      </c>
      <c r="D2490" s="40" t="str">
        <f t="shared" si="364"/>
        <v xml:space="preserve">No pick yet                                                 </v>
      </c>
      <c r="E2490" s="52">
        <f t="shared" si="365"/>
        <v>0</v>
      </c>
      <c r="F2490" s="18"/>
      <c r="M2490" s="18"/>
      <c r="N2490" s="18"/>
      <c r="O2490" s="18"/>
      <c r="P2490" s="18"/>
      <c r="Q2490" s="22"/>
      <c r="R2490" s="21"/>
      <c r="S2490" s="21"/>
      <c r="T2490" s="21"/>
      <c r="AA2490"/>
      <c r="AH2490" t="str">
        <f t="shared" si="366"/>
        <v>k yet</v>
      </c>
    </row>
    <row r="2491" spans="1:39">
      <c r="A2491" s="42" t="s">
        <v>271</v>
      </c>
      <c r="B2491" s="40" t="str">
        <f t="shared" si="363"/>
        <v>No pick yet</v>
      </c>
      <c r="C2491" s="40" t="str">
        <f t="shared" si="362"/>
        <v>26-&gt;</v>
      </c>
      <c r="D2491" s="40" t="str">
        <f t="shared" si="364"/>
        <v xml:space="preserve">No pick yet                                                 </v>
      </c>
      <c r="E2491" s="52">
        <f t="shared" si="365"/>
        <v>0</v>
      </c>
      <c r="F2491" s="18"/>
      <c r="M2491" s="18"/>
      <c r="N2491" s="18"/>
      <c r="O2491" s="18"/>
      <c r="P2491" s="18"/>
      <c r="Q2491" s="22"/>
      <c r="R2491" s="21"/>
      <c r="S2491" s="21"/>
      <c r="T2491" s="21"/>
      <c r="AA2491"/>
      <c r="AH2491" t="str">
        <f t="shared" si="366"/>
        <v>k yet</v>
      </c>
    </row>
    <row r="2492" spans="1:39">
      <c r="A2492" s="38"/>
      <c r="B2492" s="40"/>
      <c r="C2492" s="40"/>
      <c r="D2492" s="49"/>
      <c r="E2492" s="41" t="s">
        <v>69</v>
      </c>
      <c r="F2492" s="18"/>
      <c r="K2492" s="22" t="s">
        <v>73</v>
      </c>
      <c r="L2492" s="18" t="s">
        <v>74</v>
      </c>
      <c r="M2492" s="22" t="s">
        <v>78</v>
      </c>
      <c r="N2492" s="22" t="s">
        <v>79</v>
      </c>
      <c r="O2492" s="22" t="s">
        <v>80</v>
      </c>
      <c r="P2492" s="22" t="s">
        <v>81</v>
      </c>
      <c r="Q2492" s="22" t="s">
        <v>82</v>
      </c>
      <c r="R2492" s="22" t="s">
        <v>83</v>
      </c>
      <c r="S2492" s="22" t="s">
        <v>84</v>
      </c>
      <c r="T2492" s="18" t="s">
        <v>85</v>
      </c>
      <c r="U2492" s="18" t="s">
        <v>86</v>
      </c>
      <c r="V2492" s="18" t="s">
        <v>87</v>
      </c>
      <c r="W2492" s="18" t="s">
        <v>88</v>
      </c>
      <c r="X2492" s="18" t="s">
        <v>89</v>
      </c>
      <c r="Y2492" s="18" t="s">
        <v>90</v>
      </c>
      <c r="Z2492" s="18" t="s">
        <v>91</v>
      </c>
      <c r="AA2492" s="18" t="s">
        <v>92</v>
      </c>
      <c r="AB2492" s="18" t="s">
        <v>93</v>
      </c>
      <c r="AC2492" s="18" t="s">
        <v>94</v>
      </c>
      <c r="AD2492" s="18" t="s">
        <v>235</v>
      </c>
      <c r="AE2492" s="18" t="s">
        <v>236</v>
      </c>
      <c r="AF2492" s="18" t="s">
        <v>237</v>
      </c>
      <c r="AG2492" s="18" t="s">
        <v>238</v>
      </c>
      <c r="AH2492" s="18" t="s">
        <v>239</v>
      </c>
      <c r="AI2492" s="18" t="s">
        <v>240</v>
      </c>
      <c r="AJ2492" s="18" t="s">
        <v>241</v>
      </c>
      <c r="AK2492" s="18" t="s">
        <v>242</v>
      </c>
      <c r="AL2492" s="18" t="s">
        <v>243</v>
      </c>
      <c r="AM2492" s="50" t="s">
        <v>244</v>
      </c>
    </row>
    <row r="2493" spans="1:39">
      <c r="A2493" s="40" t="s">
        <v>245</v>
      </c>
      <c r="B2493" s="51" t="str">
        <f>D88</f>
        <v/>
      </c>
      <c r="C2493" s="40" t="str">
        <f t="shared" ref="C2493:C2519" si="367">A2493</f>
        <v>#</v>
      </c>
      <c r="D2493" s="40" t="str">
        <f>"   "&amp;B2493&amp;REPT(" ",$AH$70-LEN(B2493)-3)</f>
        <v xml:space="preserve">                                                            </v>
      </c>
      <c r="E2493" s="38" t="str">
        <f>SUM(E2494:E2519)&amp;" pts[/b]"</f>
        <v>0 pts[/b]</v>
      </c>
      <c r="F2493" s="21">
        <f>SUM(E2494:E2519)</f>
        <v>0</v>
      </c>
      <c r="K2493" s="18">
        <f>COUNTIF(E2494:E2519,"&gt;0")</f>
        <v>0</v>
      </c>
      <c r="L2493" s="21">
        <f>AM2493-K2493</f>
        <v>0</v>
      </c>
      <c r="M2493" s="22">
        <f>MAX(E2494:E2519)</f>
        <v>0</v>
      </c>
      <c r="N2493" s="22">
        <f>LARGE(E2494:E2519,2)</f>
        <v>0</v>
      </c>
      <c r="O2493" s="22">
        <f>LARGE(E2494:E2519,3)</f>
        <v>0</v>
      </c>
      <c r="P2493" s="18">
        <f>LARGE(E2494:E2519,4)</f>
        <v>0</v>
      </c>
      <c r="Q2493" s="22">
        <f>LARGE(E2494:E2519,5)</f>
        <v>0</v>
      </c>
      <c r="R2493" s="22">
        <f>LARGE(E2494:E2519,6)</f>
        <v>0</v>
      </c>
      <c r="S2493" s="22">
        <f>LARGE(E2494:E2519,7)</f>
        <v>0</v>
      </c>
      <c r="T2493" s="18">
        <f>LARGE(E2494:E2519,8)</f>
        <v>0</v>
      </c>
      <c r="U2493" s="18">
        <f>LARGE(E2494:E2519,9)</f>
        <v>0</v>
      </c>
      <c r="V2493" s="18">
        <f>LARGE(E2494:E2519,10)</f>
        <v>0</v>
      </c>
      <c r="W2493" s="18">
        <f>LARGE(E2494:E2519,11)</f>
        <v>0</v>
      </c>
      <c r="X2493" s="18">
        <f>LARGE(E2494:E2519,12)</f>
        <v>0</v>
      </c>
      <c r="Y2493" s="18">
        <f>LARGE(E2494:E2519,13)</f>
        <v>0</v>
      </c>
      <c r="Z2493" s="18">
        <f>LARGE(E2494:E2519,14)</f>
        <v>0</v>
      </c>
      <c r="AA2493" s="18">
        <f>LARGE(E2494:E2519,15)</f>
        <v>0</v>
      </c>
      <c r="AB2493" s="18">
        <f>LARGE(E2494:E2519,16)</f>
        <v>0</v>
      </c>
      <c r="AC2493" s="18">
        <f>LARGE(E2494:E2519,17)</f>
        <v>0</v>
      </c>
      <c r="AD2493" s="18">
        <f>LARGE(E2494:E2520,13)</f>
        <v>0</v>
      </c>
      <c r="AE2493" s="18">
        <f>LARGE(E2494:E2519,19)</f>
        <v>0</v>
      </c>
      <c r="AF2493" s="18">
        <f>LARGE(E2494:E2519,20)</f>
        <v>0</v>
      </c>
      <c r="AG2493" s="18">
        <f>LARGE(E2494:E2519,21)</f>
        <v>0</v>
      </c>
      <c r="AH2493" s="18">
        <f>LARGE(E2494:E2519,22)</f>
        <v>0</v>
      </c>
      <c r="AI2493" s="18">
        <f>LARGE(E2494:E2519,23)</f>
        <v>0</v>
      </c>
      <c r="AJ2493" s="18">
        <f>LARGE(E2494:E2519,24)</f>
        <v>0</v>
      </c>
      <c r="AK2493" s="18">
        <f>LARGE(E2494:E2519,25)</f>
        <v>0</v>
      </c>
      <c r="AL2493" s="18">
        <f>LARGE(E2494:E2519,26)</f>
        <v>0</v>
      </c>
      <c r="AM2493" s="50">
        <f>COUNTIF(B2494:B2519,"&lt;&gt;"&amp;AH74)</f>
        <v>0</v>
      </c>
    </row>
    <row r="2494" spans="1:39">
      <c r="A2494" s="42" t="s">
        <v>246</v>
      </c>
      <c r="B2494" s="40" t="str">
        <f t="shared" ref="B2494:B2519" si="368">$AH$74</f>
        <v>No pick yet</v>
      </c>
      <c r="C2494" s="40" t="str">
        <f t="shared" si="367"/>
        <v>01-&gt;</v>
      </c>
      <c r="D2494" s="40" t="str">
        <f t="shared" ref="D2494:D2519" si="369">B2494&amp;REPT(" ",$AH$70-LEN(B2494))</f>
        <v xml:space="preserve">No pick yet                                                 </v>
      </c>
      <c r="E2494" s="52">
        <f t="shared" ref="E2494:E2519" si="370">VLOOKUP(RIGHT(B2494,LEN(B2494)-$AH$66),$H$138:$I$420,2,0)</f>
        <v>0</v>
      </c>
      <c r="F2494" s="18"/>
      <c r="M2494" s="18"/>
      <c r="N2494" s="18"/>
      <c r="O2494" s="18"/>
      <c r="P2494" s="18"/>
      <c r="Q2494" s="22"/>
      <c r="R2494" s="21"/>
      <c r="S2494" s="21"/>
      <c r="T2494" s="21"/>
      <c r="AA2494"/>
      <c r="AH2494" t="str">
        <f t="shared" ref="AH2494:AH2519" si="371">RIGHT(B2494,LEN(B2494)-$AH$66)</f>
        <v>k yet</v>
      </c>
    </row>
    <row r="2495" spans="1:39">
      <c r="A2495" s="42" t="s">
        <v>247</v>
      </c>
      <c r="B2495" s="40" t="str">
        <f t="shared" si="368"/>
        <v>No pick yet</v>
      </c>
      <c r="C2495" s="40" t="str">
        <f t="shared" si="367"/>
        <v>02-&gt;</v>
      </c>
      <c r="D2495" s="40" t="str">
        <f t="shared" si="369"/>
        <v xml:space="preserve">No pick yet                                                 </v>
      </c>
      <c r="E2495" s="52">
        <f t="shared" si="370"/>
        <v>0</v>
      </c>
      <c r="F2495" s="18"/>
      <c r="K2495" s="22"/>
      <c r="N2495" s="22"/>
      <c r="O2495" s="22"/>
      <c r="P2495" s="22"/>
      <c r="Q2495" s="22"/>
      <c r="R2495" s="22"/>
      <c r="S2495" s="22"/>
      <c r="Z2495" s="53"/>
      <c r="AA2495"/>
      <c r="AH2495" t="str">
        <f t="shared" si="371"/>
        <v>k yet</v>
      </c>
    </row>
    <row r="2496" spans="1:39">
      <c r="A2496" s="42" t="s">
        <v>248</v>
      </c>
      <c r="B2496" s="40" t="str">
        <f t="shared" si="368"/>
        <v>No pick yet</v>
      </c>
      <c r="C2496" s="40" t="str">
        <f t="shared" si="367"/>
        <v>03-&gt;</v>
      </c>
      <c r="D2496" s="40" t="str">
        <f t="shared" si="369"/>
        <v xml:space="preserve">No pick yet                                                 </v>
      </c>
      <c r="E2496" s="52">
        <f t="shared" si="370"/>
        <v>0</v>
      </c>
      <c r="F2496" s="18"/>
      <c r="L2496" s="21"/>
      <c r="N2496" s="22"/>
      <c r="O2496" s="22"/>
      <c r="P2496" s="18"/>
      <c r="Q2496" s="22"/>
      <c r="R2496" s="22"/>
      <c r="S2496" s="22"/>
      <c r="Z2496" s="53"/>
      <c r="AA2496"/>
      <c r="AH2496" t="str">
        <f t="shared" si="371"/>
        <v>k yet</v>
      </c>
    </row>
    <row r="2497" spans="1:34">
      <c r="A2497" s="42" t="s">
        <v>249</v>
      </c>
      <c r="B2497" s="40" t="str">
        <f t="shared" si="368"/>
        <v>No pick yet</v>
      </c>
      <c r="C2497" s="40" t="str">
        <f t="shared" si="367"/>
        <v>04-&gt;</v>
      </c>
      <c r="D2497" s="40" t="str">
        <f t="shared" si="369"/>
        <v xml:space="preserve">No pick yet                                                 </v>
      </c>
      <c r="E2497" s="52">
        <f t="shared" si="370"/>
        <v>0</v>
      </c>
      <c r="F2497" s="18"/>
      <c r="M2497" s="18"/>
      <c r="N2497" s="18"/>
      <c r="O2497" s="18"/>
      <c r="P2497" s="18"/>
      <c r="Q2497" s="22"/>
      <c r="R2497" s="21"/>
      <c r="S2497" s="21"/>
      <c r="T2497" s="21"/>
      <c r="AA2497"/>
      <c r="AH2497" t="str">
        <f t="shared" si="371"/>
        <v>k yet</v>
      </c>
    </row>
    <row r="2498" spans="1:34">
      <c r="A2498" s="42" t="s">
        <v>250</v>
      </c>
      <c r="B2498" s="40" t="str">
        <f t="shared" si="368"/>
        <v>No pick yet</v>
      </c>
      <c r="C2498" s="40" t="str">
        <f t="shared" si="367"/>
        <v>05-&gt;</v>
      </c>
      <c r="D2498" s="40" t="str">
        <f t="shared" si="369"/>
        <v xml:space="preserve">No pick yet                                                 </v>
      </c>
      <c r="E2498" s="52">
        <f t="shared" si="370"/>
        <v>0</v>
      </c>
      <c r="F2498" s="18"/>
      <c r="M2498" s="18"/>
      <c r="N2498" s="18"/>
      <c r="O2498" s="18"/>
      <c r="P2498" s="18"/>
      <c r="Q2498" s="22"/>
      <c r="R2498" s="21"/>
      <c r="S2498" s="21"/>
      <c r="T2498" s="21"/>
      <c r="AA2498"/>
      <c r="AH2498" t="str">
        <f t="shared" si="371"/>
        <v>k yet</v>
      </c>
    </row>
    <row r="2499" spans="1:34">
      <c r="A2499" s="42" t="s">
        <v>251</v>
      </c>
      <c r="B2499" s="40" t="str">
        <f t="shared" si="368"/>
        <v>No pick yet</v>
      </c>
      <c r="C2499" s="40" t="str">
        <f t="shared" si="367"/>
        <v>06-&gt;</v>
      </c>
      <c r="D2499" s="40" t="str">
        <f t="shared" si="369"/>
        <v xml:space="preserve">No pick yet                                                 </v>
      </c>
      <c r="E2499" s="52">
        <f t="shared" si="370"/>
        <v>0</v>
      </c>
      <c r="F2499" s="18"/>
      <c r="M2499" s="18"/>
      <c r="N2499" s="18"/>
      <c r="O2499" s="18"/>
      <c r="P2499" s="18"/>
      <c r="Q2499" s="22"/>
      <c r="R2499" s="21"/>
      <c r="S2499" s="21"/>
      <c r="T2499" s="21"/>
      <c r="AA2499"/>
      <c r="AH2499" t="str">
        <f t="shared" si="371"/>
        <v>k yet</v>
      </c>
    </row>
    <row r="2500" spans="1:34">
      <c r="A2500" s="42" t="s">
        <v>252</v>
      </c>
      <c r="B2500" s="40" t="str">
        <f t="shared" si="368"/>
        <v>No pick yet</v>
      </c>
      <c r="C2500" s="40" t="str">
        <f t="shared" si="367"/>
        <v>07-&gt;</v>
      </c>
      <c r="D2500" s="40" t="str">
        <f t="shared" si="369"/>
        <v xml:space="preserve">No pick yet                                                 </v>
      </c>
      <c r="E2500" s="52">
        <f t="shared" si="370"/>
        <v>0</v>
      </c>
      <c r="F2500" s="18"/>
      <c r="M2500" s="18"/>
      <c r="N2500" s="18"/>
      <c r="O2500" s="18"/>
      <c r="P2500" s="18"/>
      <c r="Q2500" s="22"/>
      <c r="R2500" s="21"/>
      <c r="S2500" s="21"/>
      <c r="T2500" s="21"/>
      <c r="AA2500"/>
      <c r="AH2500" t="str">
        <f t="shared" si="371"/>
        <v>k yet</v>
      </c>
    </row>
    <row r="2501" spans="1:34">
      <c r="A2501" s="42" t="s">
        <v>253</v>
      </c>
      <c r="B2501" s="40" t="str">
        <f t="shared" si="368"/>
        <v>No pick yet</v>
      </c>
      <c r="C2501" s="40" t="str">
        <f t="shared" si="367"/>
        <v>08-&gt;</v>
      </c>
      <c r="D2501" s="40" t="str">
        <f t="shared" si="369"/>
        <v xml:space="preserve">No pick yet                                                 </v>
      </c>
      <c r="E2501" s="52">
        <f t="shared" si="370"/>
        <v>0</v>
      </c>
      <c r="F2501" s="18"/>
      <c r="M2501" s="18"/>
      <c r="N2501" s="18"/>
      <c r="O2501" s="18"/>
      <c r="P2501" s="18"/>
      <c r="Q2501" s="22"/>
      <c r="R2501" s="21"/>
      <c r="S2501" s="21"/>
      <c r="T2501" s="21"/>
      <c r="AA2501"/>
      <c r="AH2501" t="str">
        <f t="shared" si="371"/>
        <v>k yet</v>
      </c>
    </row>
    <row r="2502" spans="1:34">
      <c r="A2502" s="42" t="s">
        <v>254</v>
      </c>
      <c r="B2502" s="40" t="str">
        <f t="shared" si="368"/>
        <v>No pick yet</v>
      </c>
      <c r="C2502" s="40" t="str">
        <f t="shared" si="367"/>
        <v>09-&gt;</v>
      </c>
      <c r="D2502" s="40" t="str">
        <f t="shared" si="369"/>
        <v xml:space="preserve">No pick yet                                                 </v>
      </c>
      <c r="E2502" s="52">
        <f t="shared" si="370"/>
        <v>0</v>
      </c>
      <c r="F2502" s="18"/>
      <c r="M2502" s="18"/>
      <c r="N2502" s="18"/>
      <c r="O2502" s="18"/>
      <c r="P2502" s="18"/>
      <c r="Q2502" s="22"/>
      <c r="R2502" s="21"/>
      <c r="S2502" s="21"/>
      <c r="T2502" s="21"/>
      <c r="AA2502"/>
      <c r="AH2502" t="str">
        <f t="shared" si="371"/>
        <v>k yet</v>
      </c>
    </row>
    <row r="2503" spans="1:34">
      <c r="A2503" s="42" t="s">
        <v>255</v>
      </c>
      <c r="B2503" s="40" t="str">
        <f t="shared" si="368"/>
        <v>No pick yet</v>
      </c>
      <c r="C2503" s="40" t="str">
        <f t="shared" si="367"/>
        <v>10-&gt;</v>
      </c>
      <c r="D2503" s="40" t="str">
        <f t="shared" si="369"/>
        <v xml:space="preserve">No pick yet                                                 </v>
      </c>
      <c r="E2503" s="52">
        <f t="shared" si="370"/>
        <v>0</v>
      </c>
      <c r="F2503" s="22"/>
      <c r="M2503" s="18"/>
      <c r="N2503" s="18"/>
      <c r="O2503" s="18"/>
      <c r="P2503" s="18"/>
      <c r="Q2503" s="22"/>
      <c r="R2503" s="21"/>
      <c r="S2503" s="21"/>
      <c r="T2503" s="21"/>
      <c r="AA2503"/>
      <c r="AH2503" t="str">
        <f t="shared" si="371"/>
        <v>k yet</v>
      </c>
    </row>
    <row r="2504" spans="1:34">
      <c r="A2504" s="42" t="s">
        <v>256</v>
      </c>
      <c r="B2504" s="40" t="str">
        <f t="shared" si="368"/>
        <v>No pick yet</v>
      </c>
      <c r="C2504" s="40" t="str">
        <f t="shared" si="367"/>
        <v>11-&gt;</v>
      </c>
      <c r="D2504" s="40" t="str">
        <f t="shared" si="369"/>
        <v xml:space="preserve">No pick yet                                                 </v>
      </c>
      <c r="E2504" s="52">
        <f t="shared" si="370"/>
        <v>0</v>
      </c>
      <c r="M2504" s="18"/>
      <c r="N2504" s="18"/>
      <c r="O2504" s="18"/>
      <c r="P2504" s="18"/>
      <c r="Q2504" s="22"/>
      <c r="R2504" s="21"/>
      <c r="S2504" s="21"/>
      <c r="T2504" s="21"/>
      <c r="AA2504"/>
      <c r="AH2504" t="str">
        <f t="shared" si="371"/>
        <v>k yet</v>
      </c>
    </row>
    <row r="2505" spans="1:34">
      <c r="A2505" s="42" t="s">
        <v>257</v>
      </c>
      <c r="B2505" s="40" t="str">
        <f t="shared" si="368"/>
        <v>No pick yet</v>
      </c>
      <c r="C2505" s="40" t="str">
        <f t="shared" si="367"/>
        <v>12-&gt;</v>
      </c>
      <c r="D2505" s="40" t="str">
        <f t="shared" si="369"/>
        <v xml:space="preserve">No pick yet                                                 </v>
      </c>
      <c r="E2505" s="52">
        <f t="shared" si="370"/>
        <v>0</v>
      </c>
      <c r="M2505" s="18"/>
      <c r="N2505" s="18"/>
      <c r="O2505" s="18"/>
      <c r="P2505" s="18"/>
      <c r="Q2505" s="22"/>
      <c r="R2505" s="21"/>
      <c r="S2505" s="21"/>
      <c r="T2505" s="21"/>
      <c r="AA2505"/>
      <c r="AH2505" t="str">
        <f t="shared" si="371"/>
        <v>k yet</v>
      </c>
    </row>
    <row r="2506" spans="1:34">
      <c r="A2506" s="42" t="s">
        <v>258</v>
      </c>
      <c r="B2506" s="40" t="str">
        <f t="shared" si="368"/>
        <v>No pick yet</v>
      </c>
      <c r="C2506" s="40" t="str">
        <f t="shared" si="367"/>
        <v>13-&gt;</v>
      </c>
      <c r="D2506" s="40" t="str">
        <f t="shared" si="369"/>
        <v xml:space="preserve">No pick yet                                                 </v>
      </c>
      <c r="E2506" s="52">
        <f t="shared" si="370"/>
        <v>0</v>
      </c>
      <c r="M2506" s="18"/>
      <c r="N2506" s="18"/>
      <c r="O2506" s="18"/>
      <c r="P2506" s="18"/>
      <c r="Q2506" s="22"/>
      <c r="R2506" s="21"/>
      <c r="S2506" s="21"/>
      <c r="T2506" s="21"/>
      <c r="AA2506"/>
      <c r="AH2506" t="str">
        <f t="shared" si="371"/>
        <v>k yet</v>
      </c>
    </row>
    <row r="2507" spans="1:34">
      <c r="A2507" s="42" t="s">
        <v>259</v>
      </c>
      <c r="B2507" s="40" t="str">
        <f t="shared" si="368"/>
        <v>No pick yet</v>
      </c>
      <c r="C2507" s="40" t="str">
        <f t="shared" si="367"/>
        <v>14-&gt;</v>
      </c>
      <c r="D2507" s="40" t="str">
        <f t="shared" si="369"/>
        <v xml:space="preserve">No pick yet                                                 </v>
      </c>
      <c r="E2507" s="52">
        <f t="shared" si="370"/>
        <v>0</v>
      </c>
      <c r="M2507" s="18"/>
      <c r="N2507" s="18"/>
      <c r="O2507" s="18"/>
      <c r="P2507" s="18"/>
      <c r="Q2507" s="22"/>
      <c r="R2507" s="21"/>
      <c r="S2507" s="21"/>
      <c r="T2507" s="21"/>
      <c r="AA2507"/>
      <c r="AH2507" t="str">
        <f t="shared" si="371"/>
        <v>k yet</v>
      </c>
    </row>
    <row r="2508" spans="1:34">
      <c r="A2508" s="42" t="s">
        <v>260</v>
      </c>
      <c r="B2508" s="40" t="str">
        <f t="shared" si="368"/>
        <v>No pick yet</v>
      </c>
      <c r="C2508" s="40" t="str">
        <f t="shared" si="367"/>
        <v>15-&gt;</v>
      </c>
      <c r="D2508" s="40" t="str">
        <f t="shared" si="369"/>
        <v xml:space="preserve">No pick yet                                                 </v>
      </c>
      <c r="E2508" s="52">
        <f t="shared" si="370"/>
        <v>0</v>
      </c>
      <c r="M2508" s="18"/>
      <c r="N2508" s="18"/>
      <c r="O2508" s="18"/>
      <c r="P2508" s="18"/>
      <c r="Q2508" s="22"/>
      <c r="R2508" s="21"/>
      <c r="S2508" s="21"/>
      <c r="T2508" s="21"/>
      <c r="AA2508"/>
      <c r="AH2508" t="str">
        <f t="shared" si="371"/>
        <v>k yet</v>
      </c>
    </row>
    <row r="2509" spans="1:34">
      <c r="A2509" s="42" t="s">
        <v>261</v>
      </c>
      <c r="B2509" s="40" t="str">
        <f t="shared" si="368"/>
        <v>No pick yet</v>
      </c>
      <c r="C2509" s="40" t="str">
        <f t="shared" si="367"/>
        <v>16-&gt;</v>
      </c>
      <c r="D2509" s="40" t="str">
        <f t="shared" si="369"/>
        <v xml:space="preserve">No pick yet                                                 </v>
      </c>
      <c r="E2509" s="52">
        <f t="shared" si="370"/>
        <v>0</v>
      </c>
      <c r="M2509" s="18"/>
      <c r="N2509" s="18"/>
      <c r="O2509" s="18"/>
      <c r="P2509" s="18"/>
      <c r="Q2509" s="22"/>
      <c r="R2509" s="21"/>
      <c r="S2509" s="21"/>
      <c r="T2509" s="21"/>
      <c r="AA2509"/>
      <c r="AH2509" t="str">
        <f t="shared" si="371"/>
        <v>k yet</v>
      </c>
    </row>
    <row r="2510" spans="1:34">
      <c r="A2510" s="42" t="s">
        <v>262</v>
      </c>
      <c r="B2510" s="40" t="str">
        <f t="shared" si="368"/>
        <v>No pick yet</v>
      </c>
      <c r="C2510" s="40" t="str">
        <f t="shared" si="367"/>
        <v>17-&gt;</v>
      </c>
      <c r="D2510" s="40" t="str">
        <f t="shared" si="369"/>
        <v xml:space="preserve">No pick yet                                                 </v>
      </c>
      <c r="E2510" s="52">
        <f t="shared" si="370"/>
        <v>0</v>
      </c>
      <c r="K2510" s="22"/>
      <c r="N2510" s="22"/>
      <c r="O2510" s="22"/>
      <c r="P2510" s="22"/>
      <c r="Q2510" s="22"/>
      <c r="R2510" s="22"/>
      <c r="S2510" s="22"/>
      <c r="Z2510" s="53"/>
      <c r="AA2510"/>
      <c r="AH2510" t="str">
        <f t="shared" si="371"/>
        <v>k yet</v>
      </c>
    </row>
    <row r="2511" spans="1:34">
      <c r="A2511" s="42" t="s">
        <v>263</v>
      </c>
      <c r="B2511" s="40" t="str">
        <f t="shared" si="368"/>
        <v>No pick yet</v>
      </c>
      <c r="C2511" s="40" t="str">
        <f t="shared" si="367"/>
        <v>18-&gt;</v>
      </c>
      <c r="D2511" s="40" t="str">
        <f t="shared" si="369"/>
        <v xml:space="preserve">No pick yet                                                 </v>
      </c>
      <c r="E2511" s="52">
        <f t="shared" si="370"/>
        <v>0</v>
      </c>
      <c r="F2511" s="18"/>
      <c r="L2511" s="21"/>
      <c r="N2511" s="22"/>
      <c r="O2511" s="22"/>
      <c r="P2511" s="18"/>
      <c r="Q2511" s="22"/>
      <c r="R2511" s="22"/>
      <c r="S2511" s="22"/>
      <c r="Z2511" s="53"/>
      <c r="AA2511"/>
      <c r="AH2511" t="str">
        <f t="shared" si="371"/>
        <v>k yet</v>
      </c>
    </row>
    <row r="2512" spans="1:34">
      <c r="A2512" s="42" t="s">
        <v>264</v>
      </c>
      <c r="B2512" s="40" t="str">
        <f t="shared" si="368"/>
        <v>No pick yet</v>
      </c>
      <c r="C2512" s="40" t="str">
        <f t="shared" si="367"/>
        <v>19-&gt;</v>
      </c>
      <c r="D2512" s="40" t="str">
        <f t="shared" si="369"/>
        <v xml:space="preserve">No pick yet                                                 </v>
      </c>
      <c r="E2512" s="52">
        <f t="shared" si="370"/>
        <v>0</v>
      </c>
      <c r="F2512" s="18"/>
      <c r="M2512" s="18"/>
      <c r="N2512" s="18"/>
      <c r="O2512" s="18"/>
      <c r="P2512" s="18"/>
      <c r="Q2512" s="22"/>
      <c r="R2512" s="21"/>
      <c r="S2512" s="21"/>
      <c r="T2512" s="21"/>
      <c r="AA2512"/>
      <c r="AH2512" t="str">
        <f t="shared" si="371"/>
        <v>k yet</v>
      </c>
    </row>
    <row r="2513" spans="1:39">
      <c r="A2513" s="42" t="s">
        <v>265</v>
      </c>
      <c r="B2513" s="40" t="str">
        <f t="shared" si="368"/>
        <v>No pick yet</v>
      </c>
      <c r="C2513" s="40" t="str">
        <f t="shared" si="367"/>
        <v>20-&gt;</v>
      </c>
      <c r="D2513" s="40" t="str">
        <f t="shared" si="369"/>
        <v xml:space="preserve">No pick yet                                                 </v>
      </c>
      <c r="E2513" s="52">
        <f t="shared" si="370"/>
        <v>0</v>
      </c>
      <c r="F2513" s="18"/>
      <c r="M2513" s="18"/>
      <c r="N2513" s="18"/>
      <c r="O2513" s="18"/>
      <c r="P2513" s="18"/>
      <c r="Q2513" s="22"/>
      <c r="R2513" s="21"/>
      <c r="S2513" s="21"/>
      <c r="T2513" s="21"/>
      <c r="AA2513"/>
      <c r="AH2513" t="str">
        <f t="shared" si="371"/>
        <v>k yet</v>
      </c>
    </row>
    <row r="2514" spans="1:39">
      <c r="A2514" s="42" t="s">
        <v>266</v>
      </c>
      <c r="B2514" s="40" t="str">
        <f t="shared" si="368"/>
        <v>No pick yet</v>
      </c>
      <c r="C2514" s="40" t="str">
        <f t="shared" si="367"/>
        <v>21-&gt;</v>
      </c>
      <c r="D2514" s="40" t="str">
        <f t="shared" si="369"/>
        <v xml:space="preserve">No pick yet                                                 </v>
      </c>
      <c r="E2514" s="52">
        <f t="shared" si="370"/>
        <v>0</v>
      </c>
      <c r="F2514" s="18"/>
      <c r="M2514" s="18"/>
      <c r="N2514" s="18"/>
      <c r="O2514" s="18"/>
      <c r="P2514" s="18"/>
      <c r="Q2514" s="22"/>
      <c r="R2514" s="21"/>
      <c r="S2514" s="21"/>
      <c r="T2514" s="21"/>
      <c r="AA2514"/>
      <c r="AH2514" t="str">
        <f t="shared" si="371"/>
        <v>k yet</v>
      </c>
    </row>
    <row r="2515" spans="1:39">
      <c r="A2515" s="42" t="s">
        <v>267</v>
      </c>
      <c r="B2515" s="40" t="str">
        <f t="shared" si="368"/>
        <v>No pick yet</v>
      </c>
      <c r="C2515" s="40" t="str">
        <f t="shared" si="367"/>
        <v>22-&gt;</v>
      </c>
      <c r="D2515" s="40" t="str">
        <f t="shared" si="369"/>
        <v xml:space="preserve">No pick yet                                                 </v>
      </c>
      <c r="E2515" s="52">
        <f t="shared" si="370"/>
        <v>0</v>
      </c>
      <c r="F2515" s="18"/>
      <c r="M2515" s="18"/>
      <c r="N2515" s="18"/>
      <c r="O2515" s="18"/>
      <c r="P2515" s="18"/>
      <c r="Q2515" s="22"/>
      <c r="R2515" s="21"/>
      <c r="S2515" s="21"/>
      <c r="T2515" s="21"/>
      <c r="AA2515"/>
      <c r="AH2515" t="str">
        <f t="shared" si="371"/>
        <v>k yet</v>
      </c>
    </row>
    <row r="2516" spans="1:39">
      <c r="A2516" s="42" t="s">
        <v>268</v>
      </c>
      <c r="B2516" s="40" t="str">
        <f t="shared" si="368"/>
        <v>No pick yet</v>
      </c>
      <c r="C2516" s="40" t="str">
        <f t="shared" si="367"/>
        <v>23-&gt;</v>
      </c>
      <c r="D2516" s="40" t="str">
        <f t="shared" si="369"/>
        <v xml:space="preserve">No pick yet                                                 </v>
      </c>
      <c r="E2516" s="52">
        <f t="shared" si="370"/>
        <v>0</v>
      </c>
      <c r="F2516" s="18"/>
      <c r="M2516" s="18"/>
      <c r="N2516" s="18"/>
      <c r="O2516" s="18"/>
      <c r="P2516" s="18"/>
      <c r="Q2516" s="22"/>
      <c r="R2516" s="21"/>
      <c r="S2516" s="21"/>
      <c r="T2516" s="21"/>
      <c r="AA2516"/>
      <c r="AH2516" t="str">
        <f t="shared" si="371"/>
        <v>k yet</v>
      </c>
    </row>
    <row r="2517" spans="1:39">
      <c r="A2517" s="42" t="s">
        <v>269</v>
      </c>
      <c r="B2517" s="40" t="str">
        <f t="shared" si="368"/>
        <v>No pick yet</v>
      </c>
      <c r="C2517" s="40" t="str">
        <f t="shared" si="367"/>
        <v>24-&gt;</v>
      </c>
      <c r="D2517" s="40" t="str">
        <f t="shared" si="369"/>
        <v xml:space="preserve">No pick yet                                                 </v>
      </c>
      <c r="E2517" s="52">
        <f t="shared" si="370"/>
        <v>0</v>
      </c>
      <c r="F2517" s="18"/>
      <c r="M2517" s="18"/>
      <c r="N2517" s="18"/>
      <c r="O2517" s="18"/>
      <c r="P2517" s="18"/>
      <c r="Q2517" s="22"/>
      <c r="R2517" s="21"/>
      <c r="S2517" s="21"/>
      <c r="T2517" s="21"/>
      <c r="AA2517"/>
      <c r="AH2517" t="str">
        <f t="shared" si="371"/>
        <v>k yet</v>
      </c>
    </row>
    <row r="2518" spans="1:39">
      <c r="A2518" s="42" t="s">
        <v>270</v>
      </c>
      <c r="B2518" s="40" t="str">
        <f t="shared" si="368"/>
        <v>No pick yet</v>
      </c>
      <c r="C2518" s="40" t="str">
        <f t="shared" si="367"/>
        <v>25-&gt;</v>
      </c>
      <c r="D2518" s="40" t="str">
        <f t="shared" si="369"/>
        <v xml:space="preserve">No pick yet                                                 </v>
      </c>
      <c r="E2518" s="52">
        <f t="shared" si="370"/>
        <v>0</v>
      </c>
      <c r="F2518" s="18"/>
      <c r="M2518" s="18"/>
      <c r="N2518" s="18"/>
      <c r="O2518" s="18"/>
      <c r="P2518" s="18"/>
      <c r="Q2518" s="22"/>
      <c r="R2518" s="21"/>
      <c r="S2518" s="21"/>
      <c r="T2518" s="21"/>
      <c r="AA2518"/>
      <c r="AH2518" t="str">
        <f t="shared" si="371"/>
        <v>k yet</v>
      </c>
    </row>
    <row r="2519" spans="1:39">
      <c r="A2519" s="42" t="s">
        <v>271</v>
      </c>
      <c r="B2519" s="40" t="str">
        <f t="shared" si="368"/>
        <v>No pick yet</v>
      </c>
      <c r="C2519" s="40" t="str">
        <f t="shared" si="367"/>
        <v>26-&gt;</v>
      </c>
      <c r="D2519" s="40" t="str">
        <f t="shared" si="369"/>
        <v xml:space="preserve">No pick yet                                                 </v>
      </c>
      <c r="E2519" s="52">
        <f t="shared" si="370"/>
        <v>0</v>
      </c>
      <c r="F2519" s="18"/>
      <c r="M2519" s="18"/>
      <c r="N2519" s="18"/>
      <c r="O2519" s="18"/>
      <c r="P2519" s="18"/>
      <c r="Q2519" s="22"/>
      <c r="R2519" s="21"/>
      <c r="S2519" s="21"/>
      <c r="T2519" s="21"/>
      <c r="AA2519"/>
      <c r="AH2519" t="str">
        <f t="shared" si="371"/>
        <v>k yet</v>
      </c>
    </row>
    <row r="2520" spans="1:39">
      <c r="A2520" s="38"/>
      <c r="B2520" s="40"/>
      <c r="C2520" s="40"/>
      <c r="D2520" s="49"/>
      <c r="E2520" s="41" t="s">
        <v>69</v>
      </c>
      <c r="F2520" s="18"/>
      <c r="K2520" s="22" t="s">
        <v>73</v>
      </c>
      <c r="L2520" s="18" t="s">
        <v>74</v>
      </c>
      <c r="M2520" s="22" t="s">
        <v>78</v>
      </c>
      <c r="N2520" s="22" t="s">
        <v>79</v>
      </c>
      <c r="O2520" s="22" t="s">
        <v>80</v>
      </c>
      <c r="P2520" s="22" t="s">
        <v>81</v>
      </c>
      <c r="Q2520" s="22" t="s">
        <v>82</v>
      </c>
      <c r="R2520" s="22" t="s">
        <v>83</v>
      </c>
      <c r="S2520" s="22" t="s">
        <v>84</v>
      </c>
      <c r="T2520" s="18" t="s">
        <v>85</v>
      </c>
      <c r="U2520" s="18" t="s">
        <v>86</v>
      </c>
      <c r="V2520" s="18" t="s">
        <v>87</v>
      </c>
      <c r="W2520" s="18" t="s">
        <v>88</v>
      </c>
      <c r="X2520" s="18" t="s">
        <v>89</v>
      </c>
      <c r="Y2520" s="18" t="s">
        <v>90</v>
      </c>
      <c r="Z2520" s="18" t="s">
        <v>91</v>
      </c>
      <c r="AA2520" s="18" t="s">
        <v>92</v>
      </c>
      <c r="AB2520" s="18" t="s">
        <v>93</v>
      </c>
      <c r="AC2520" s="18" t="s">
        <v>94</v>
      </c>
      <c r="AD2520" s="18" t="s">
        <v>235</v>
      </c>
      <c r="AE2520" s="18" t="s">
        <v>236</v>
      </c>
      <c r="AF2520" s="18" t="s">
        <v>237</v>
      </c>
      <c r="AG2520" s="18" t="s">
        <v>238</v>
      </c>
      <c r="AH2520" s="18" t="s">
        <v>239</v>
      </c>
      <c r="AI2520" s="18" t="s">
        <v>240</v>
      </c>
      <c r="AJ2520" s="18" t="s">
        <v>241</v>
      </c>
      <c r="AK2520" s="18" t="s">
        <v>242</v>
      </c>
      <c r="AL2520" s="18" t="s">
        <v>243</v>
      </c>
      <c r="AM2520" s="50" t="s">
        <v>244</v>
      </c>
    </row>
    <row r="2521" spans="1:39">
      <c r="A2521" s="40" t="s">
        <v>245</v>
      </c>
      <c r="B2521" s="51" t="str">
        <f>D89</f>
        <v/>
      </c>
      <c r="C2521" s="40" t="str">
        <f t="shared" ref="C2521:C2547" si="372">A2521</f>
        <v>#</v>
      </c>
      <c r="D2521" s="40" t="str">
        <f>"   "&amp;B2521&amp;REPT(" ",$AH$70-LEN(B2521)-3)</f>
        <v xml:space="preserve">                                                            </v>
      </c>
      <c r="E2521" s="38" t="str">
        <f>SUM(E2522:E2547)&amp;" pts[/b]"</f>
        <v>0 pts[/b]</v>
      </c>
      <c r="F2521" s="21">
        <f>SUM(E2522:E2547)</f>
        <v>0</v>
      </c>
      <c r="K2521" s="18">
        <f>COUNTIF(E2522:E2547,"&gt;0")</f>
        <v>0</v>
      </c>
      <c r="L2521" s="21">
        <f>AM2521-K2521</f>
        <v>0</v>
      </c>
      <c r="M2521" s="22">
        <f>MAX(E2522:E2547)</f>
        <v>0</v>
      </c>
      <c r="N2521" s="22">
        <f>LARGE(E2522:E2547,2)</f>
        <v>0</v>
      </c>
      <c r="O2521" s="22">
        <f>LARGE(E2522:E2547,3)</f>
        <v>0</v>
      </c>
      <c r="P2521" s="18">
        <f>LARGE(E2522:E2547,4)</f>
        <v>0</v>
      </c>
      <c r="Q2521" s="22">
        <f>LARGE(E2522:E2547,5)</f>
        <v>0</v>
      </c>
      <c r="R2521" s="22">
        <f>LARGE(E2522:E2547,6)</f>
        <v>0</v>
      </c>
      <c r="S2521" s="22">
        <f>LARGE(E2522:E2547,7)</f>
        <v>0</v>
      </c>
      <c r="T2521" s="18">
        <f>LARGE(E2522:E2547,8)</f>
        <v>0</v>
      </c>
      <c r="U2521" s="18">
        <f>LARGE(E2522:E2547,9)</f>
        <v>0</v>
      </c>
      <c r="V2521" s="18">
        <f>LARGE(E2522:E2547,10)</f>
        <v>0</v>
      </c>
      <c r="W2521" s="18">
        <f>LARGE(E2522:E2547,11)</f>
        <v>0</v>
      </c>
      <c r="X2521" s="18">
        <f>LARGE(E2522:E2547,12)</f>
        <v>0</v>
      </c>
      <c r="Y2521" s="18">
        <f>LARGE(E2522:E2547,13)</f>
        <v>0</v>
      </c>
      <c r="Z2521" s="18">
        <f>LARGE(E2522:E2547,14)</f>
        <v>0</v>
      </c>
      <c r="AA2521" s="18">
        <f>LARGE(E2522:E2547,15)</f>
        <v>0</v>
      </c>
      <c r="AB2521" s="18">
        <f>LARGE(E2522:E2547,16)</f>
        <v>0</v>
      </c>
      <c r="AC2521" s="18">
        <f>LARGE(E2522:E2547,17)</f>
        <v>0</v>
      </c>
      <c r="AD2521" s="18">
        <f>LARGE(E2522:E2548,13)</f>
        <v>0</v>
      </c>
      <c r="AE2521" s="18">
        <f>LARGE(E2522:E2547,19)</f>
        <v>0</v>
      </c>
      <c r="AF2521" s="18">
        <f>LARGE(E2522:E2547,20)</f>
        <v>0</v>
      </c>
      <c r="AG2521" s="18">
        <f>LARGE(E2522:E2547,21)</f>
        <v>0</v>
      </c>
      <c r="AH2521" s="18">
        <f>LARGE(E2522:E2547,22)</f>
        <v>0</v>
      </c>
      <c r="AI2521" s="18">
        <f>LARGE(E2522:E2547,23)</f>
        <v>0</v>
      </c>
      <c r="AJ2521" s="18">
        <f>LARGE(E2522:E2547,24)</f>
        <v>0</v>
      </c>
      <c r="AK2521" s="18">
        <f>LARGE(E2522:E2547,25)</f>
        <v>0</v>
      </c>
      <c r="AL2521" s="18">
        <f>LARGE(E2522:E2547,26)</f>
        <v>0</v>
      </c>
      <c r="AM2521" s="50">
        <f>COUNTIF(B2522:B2547,"&lt;&gt;"&amp;AH74)</f>
        <v>0</v>
      </c>
    </row>
    <row r="2522" spans="1:39">
      <c r="A2522" s="42" t="s">
        <v>246</v>
      </c>
      <c r="B2522" s="40" t="str">
        <f t="shared" ref="B2522:B2547" si="373">$AH$74</f>
        <v>No pick yet</v>
      </c>
      <c r="C2522" s="40" t="str">
        <f t="shared" si="372"/>
        <v>01-&gt;</v>
      </c>
      <c r="D2522" s="40" t="str">
        <f t="shared" ref="D2522:D2547" si="374">B2522&amp;REPT(" ",$AH$70-LEN(B2522))</f>
        <v xml:space="preserve">No pick yet                                                 </v>
      </c>
      <c r="E2522" s="52">
        <f t="shared" ref="E2522:E2547" si="375">VLOOKUP(RIGHT(B2522,LEN(B2522)-$AH$66),$H$138:$I$420,2,0)</f>
        <v>0</v>
      </c>
      <c r="F2522" s="18"/>
      <c r="M2522" s="18"/>
      <c r="N2522" s="18"/>
      <c r="O2522" s="18"/>
      <c r="P2522" s="18"/>
      <c r="Q2522" s="22"/>
      <c r="R2522" s="21"/>
      <c r="S2522" s="21"/>
      <c r="T2522" s="21"/>
      <c r="AA2522"/>
      <c r="AH2522" t="str">
        <f t="shared" ref="AH2522:AH2547" si="376">RIGHT(B2522,LEN(B2522)-$AH$66)</f>
        <v>k yet</v>
      </c>
    </row>
    <row r="2523" spans="1:39">
      <c r="A2523" s="42" t="s">
        <v>247</v>
      </c>
      <c r="B2523" s="40" t="str">
        <f t="shared" si="373"/>
        <v>No pick yet</v>
      </c>
      <c r="C2523" s="40" t="str">
        <f t="shared" si="372"/>
        <v>02-&gt;</v>
      </c>
      <c r="D2523" s="40" t="str">
        <f t="shared" si="374"/>
        <v xml:space="preserve">No pick yet                                                 </v>
      </c>
      <c r="E2523" s="52">
        <f t="shared" si="375"/>
        <v>0</v>
      </c>
      <c r="F2523" s="18"/>
      <c r="K2523" s="22"/>
      <c r="N2523" s="22"/>
      <c r="O2523" s="22"/>
      <c r="P2523" s="22"/>
      <c r="Q2523" s="22"/>
      <c r="R2523" s="22"/>
      <c r="S2523" s="22"/>
      <c r="Z2523" s="53"/>
      <c r="AA2523"/>
      <c r="AH2523" t="str">
        <f t="shared" si="376"/>
        <v>k yet</v>
      </c>
    </row>
    <row r="2524" spans="1:39">
      <c r="A2524" s="42" t="s">
        <v>248</v>
      </c>
      <c r="B2524" s="40" t="str">
        <f t="shared" si="373"/>
        <v>No pick yet</v>
      </c>
      <c r="C2524" s="40" t="str">
        <f t="shared" si="372"/>
        <v>03-&gt;</v>
      </c>
      <c r="D2524" s="40" t="str">
        <f t="shared" si="374"/>
        <v xml:space="preserve">No pick yet                                                 </v>
      </c>
      <c r="E2524" s="52">
        <f t="shared" si="375"/>
        <v>0</v>
      </c>
      <c r="F2524" s="18"/>
      <c r="L2524" s="21"/>
      <c r="N2524" s="22"/>
      <c r="O2524" s="22"/>
      <c r="P2524" s="18"/>
      <c r="Q2524" s="22"/>
      <c r="R2524" s="22"/>
      <c r="S2524" s="22"/>
      <c r="Z2524" s="53"/>
      <c r="AA2524"/>
      <c r="AH2524" t="str">
        <f t="shared" si="376"/>
        <v>k yet</v>
      </c>
    </row>
    <row r="2525" spans="1:39">
      <c r="A2525" s="42" t="s">
        <v>249</v>
      </c>
      <c r="B2525" s="40" t="str">
        <f t="shared" si="373"/>
        <v>No pick yet</v>
      </c>
      <c r="C2525" s="40" t="str">
        <f t="shared" si="372"/>
        <v>04-&gt;</v>
      </c>
      <c r="D2525" s="40" t="str">
        <f t="shared" si="374"/>
        <v xml:space="preserve">No pick yet                                                 </v>
      </c>
      <c r="E2525" s="52">
        <f t="shared" si="375"/>
        <v>0</v>
      </c>
      <c r="F2525" s="18"/>
      <c r="M2525" s="18"/>
      <c r="N2525" s="18"/>
      <c r="O2525" s="18"/>
      <c r="P2525" s="18"/>
      <c r="Q2525" s="22"/>
      <c r="R2525" s="21"/>
      <c r="S2525" s="21"/>
      <c r="T2525" s="21"/>
      <c r="AA2525"/>
      <c r="AH2525" t="str">
        <f t="shared" si="376"/>
        <v>k yet</v>
      </c>
    </row>
    <row r="2526" spans="1:39">
      <c r="A2526" s="42" t="s">
        <v>250</v>
      </c>
      <c r="B2526" s="40" t="str">
        <f t="shared" si="373"/>
        <v>No pick yet</v>
      </c>
      <c r="C2526" s="40" t="str">
        <f t="shared" si="372"/>
        <v>05-&gt;</v>
      </c>
      <c r="D2526" s="40" t="str">
        <f t="shared" si="374"/>
        <v xml:space="preserve">No pick yet                                                 </v>
      </c>
      <c r="E2526" s="52">
        <f t="shared" si="375"/>
        <v>0</v>
      </c>
      <c r="F2526" s="18"/>
      <c r="M2526" s="18"/>
      <c r="N2526" s="18"/>
      <c r="O2526" s="18"/>
      <c r="P2526" s="18"/>
      <c r="Q2526" s="22"/>
      <c r="R2526" s="21"/>
      <c r="S2526" s="21"/>
      <c r="T2526" s="21"/>
      <c r="AA2526"/>
      <c r="AH2526" t="str">
        <f t="shared" si="376"/>
        <v>k yet</v>
      </c>
    </row>
    <row r="2527" spans="1:39">
      <c r="A2527" s="42" t="s">
        <v>251</v>
      </c>
      <c r="B2527" s="40" t="str">
        <f t="shared" si="373"/>
        <v>No pick yet</v>
      </c>
      <c r="C2527" s="40" t="str">
        <f t="shared" si="372"/>
        <v>06-&gt;</v>
      </c>
      <c r="D2527" s="40" t="str">
        <f t="shared" si="374"/>
        <v xml:space="preserve">No pick yet                                                 </v>
      </c>
      <c r="E2527" s="52">
        <f t="shared" si="375"/>
        <v>0</v>
      </c>
      <c r="F2527" s="18"/>
      <c r="M2527" s="18"/>
      <c r="N2527" s="18"/>
      <c r="O2527" s="18"/>
      <c r="P2527" s="18"/>
      <c r="Q2527" s="22"/>
      <c r="R2527" s="21"/>
      <c r="S2527" s="21"/>
      <c r="T2527" s="21"/>
      <c r="AA2527"/>
      <c r="AH2527" t="str">
        <f t="shared" si="376"/>
        <v>k yet</v>
      </c>
    </row>
    <row r="2528" spans="1:39">
      <c r="A2528" s="42" t="s">
        <v>252</v>
      </c>
      <c r="B2528" s="40" t="str">
        <f t="shared" si="373"/>
        <v>No pick yet</v>
      </c>
      <c r="C2528" s="40" t="str">
        <f t="shared" si="372"/>
        <v>07-&gt;</v>
      </c>
      <c r="D2528" s="40" t="str">
        <f t="shared" si="374"/>
        <v xml:space="preserve">No pick yet                                                 </v>
      </c>
      <c r="E2528" s="52">
        <f t="shared" si="375"/>
        <v>0</v>
      </c>
      <c r="F2528" s="18"/>
      <c r="M2528" s="18"/>
      <c r="N2528" s="18"/>
      <c r="O2528" s="18"/>
      <c r="P2528" s="18"/>
      <c r="Q2528" s="22"/>
      <c r="R2528" s="21"/>
      <c r="S2528" s="21"/>
      <c r="T2528" s="21"/>
      <c r="AA2528"/>
      <c r="AH2528" t="str">
        <f t="shared" si="376"/>
        <v>k yet</v>
      </c>
    </row>
    <row r="2529" spans="1:34">
      <c r="A2529" s="42" t="s">
        <v>253</v>
      </c>
      <c r="B2529" s="40" t="str">
        <f t="shared" si="373"/>
        <v>No pick yet</v>
      </c>
      <c r="C2529" s="40" t="str">
        <f t="shared" si="372"/>
        <v>08-&gt;</v>
      </c>
      <c r="D2529" s="40" t="str">
        <f t="shared" si="374"/>
        <v xml:space="preserve">No pick yet                                                 </v>
      </c>
      <c r="E2529" s="52">
        <f t="shared" si="375"/>
        <v>0</v>
      </c>
      <c r="F2529" s="18"/>
      <c r="M2529" s="18"/>
      <c r="N2529" s="18"/>
      <c r="O2529" s="18"/>
      <c r="P2529" s="18"/>
      <c r="Q2529" s="22"/>
      <c r="R2529" s="21"/>
      <c r="S2529" s="21"/>
      <c r="T2529" s="21"/>
      <c r="AA2529"/>
      <c r="AH2529" t="str">
        <f t="shared" si="376"/>
        <v>k yet</v>
      </c>
    </row>
    <row r="2530" spans="1:34">
      <c r="A2530" s="42" t="s">
        <v>254</v>
      </c>
      <c r="B2530" s="40" t="str">
        <f t="shared" si="373"/>
        <v>No pick yet</v>
      </c>
      <c r="C2530" s="40" t="str">
        <f t="shared" si="372"/>
        <v>09-&gt;</v>
      </c>
      <c r="D2530" s="40" t="str">
        <f t="shared" si="374"/>
        <v xml:space="preserve">No pick yet                                                 </v>
      </c>
      <c r="E2530" s="52">
        <f t="shared" si="375"/>
        <v>0</v>
      </c>
      <c r="F2530" s="18"/>
      <c r="M2530" s="18"/>
      <c r="N2530" s="18"/>
      <c r="O2530" s="18"/>
      <c r="P2530" s="18"/>
      <c r="Q2530" s="22"/>
      <c r="R2530" s="21"/>
      <c r="S2530" s="21"/>
      <c r="T2530" s="21"/>
      <c r="AA2530"/>
      <c r="AH2530" t="str">
        <f t="shared" si="376"/>
        <v>k yet</v>
      </c>
    </row>
    <row r="2531" spans="1:34">
      <c r="A2531" s="42" t="s">
        <v>255</v>
      </c>
      <c r="B2531" s="40" t="str">
        <f t="shared" si="373"/>
        <v>No pick yet</v>
      </c>
      <c r="C2531" s="40" t="str">
        <f t="shared" si="372"/>
        <v>10-&gt;</v>
      </c>
      <c r="D2531" s="40" t="str">
        <f t="shared" si="374"/>
        <v xml:space="preserve">No pick yet                                                 </v>
      </c>
      <c r="E2531" s="52">
        <f t="shared" si="375"/>
        <v>0</v>
      </c>
      <c r="F2531" s="22"/>
      <c r="M2531" s="18"/>
      <c r="N2531" s="18"/>
      <c r="O2531" s="18"/>
      <c r="P2531" s="18"/>
      <c r="Q2531" s="22"/>
      <c r="R2531" s="21"/>
      <c r="S2531" s="21"/>
      <c r="T2531" s="21"/>
      <c r="AA2531"/>
      <c r="AH2531" t="str">
        <f t="shared" si="376"/>
        <v>k yet</v>
      </c>
    </row>
    <row r="2532" spans="1:34">
      <c r="A2532" s="42" t="s">
        <v>256</v>
      </c>
      <c r="B2532" s="40" t="str">
        <f t="shared" si="373"/>
        <v>No pick yet</v>
      </c>
      <c r="C2532" s="40" t="str">
        <f t="shared" si="372"/>
        <v>11-&gt;</v>
      </c>
      <c r="D2532" s="40" t="str">
        <f t="shared" si="374"/>
        <v xml:space="preserve">No pick yet                                                 </v>
      </c>
      <c r="E2532" s="52">
        <f t="shared" si="375"/>
        <v>0</v>
      </c>
      <c r="M2532" s="18"/>
      <c r="N2532" s="18"/>
      <c r="O2532" s="18"/>
      <c r="P2532" s="18"/>
      <c r="Q2532" s="22"/>
      <c r="R2532" s="21"/>
      <c r="S2532" s="21"/>
      <c r="T2532" s="21"/>
      <c r="AA2532"/>
      <c r="AH2532" t="str">
        <f t="shared" si="376"/>
        <v>k yet</v>
      </c>
    </row>
    <row r="2533" spans="1:34">
      <c r="A2533" s="42" t="s">
        <v>257</v>
      </c>
      <c r="B2533" s="40" t="str">
        <f t="shared" si="373"/>
        <v>No pick yet</v>
      </c>
      <c r="C2533" s="40" t="str">
        <f t="shared" si="372"/>
        <v>12-&gt;</v>
      </c>
      <c r="D2533" s="40" t="str">
        <f t="shared" si="374"/>
        <v xml:space="preserve">No pick yet                                                 </v>
      </c>
      <c r="E2533" s="52">
        <f t="shared" si="375"/>
        <v>0</v>
      </c>
      <c r="M2533" s="18"/>
      <c r="N2533" s="18"/>
      <c r="O2533" s="18"/>
      <c r="P2533" s="18"/>
      <c r="Q2533" s="22"/>
      <c r="R2533" s="21"/>
      <c r="S2533" s="21"/>
      <c r="T2533" s="21"/>
      <c r="AA2533"/>
      <c r="AH2533" t="str">
        <f t="shared" si="376"/>
        <v>k yet</v>
      </c>
    </row>
    <row r="2534" spans="1:34">
      <c r="A2534" s="42" t="s">
        <v>258</v>
      </c>
      <c r="B2534" s="40" t="str">
        <f t="shared" si="373"/>
        <v>No pick yet</v>
      </c>
      <c r="C2534" s="40" t="str">
        <f t="shared" si="372"/>
        <v>13-&gt;</v>
      </c>
      <c r="D2534" s="40" t="str">
        <f t="shared" si="374"/>
        <v xml:space="preserve">No pick yet                                                 </v>
      </c>
      <c r="E2534" s="52">
        <f t="shared" si="375"/>
        <v>0</v>
      </c>
      <c r="M2534" s="18"/>
      <c r="N2534" s="18"/>
      <c r="O2534" s="18"/>
      <c r="P2534" s="18"/>
      <c r="Q2534" s="22"/>
      <c r="R2534" s="21"/>
      <c r="S2534" s="21"/>
      <c r="T2534" s="21"/>
      <c r="AA2534"/>
      <c r="AH2534" t="str">
        <f t="shared" si="376"/>
        <v>k yet</v>
      </c>
    </row>
    <row r="2535" spans="1:34">
      <c r="A2535" s="42" t="s">
        <v>259</v>
      </c>
      <c r="B2535" s="40" t="str">
        <f t="shared" si="373"/>
        <v>No pick yet</v>
      </c>
      <c r="C2535" s="40" t="str">
        <f t="shared" si="372"/>
        <v>14-&gt;</v>
      </c>
      <c r="D2535" s="40" t="str">
        <f t="shared" si="374"/>
        <v xml:space="preserve">No pick yet                                                 </v>
      </c>
      <c r="E2535" s="52">
        <f t="shared" si="375"/>
        <v>0</v>
      </c>
      <c r="M2535" s="18"/>
      <c r="N2535" s="18"/>
      <c r="O2535" s="18"/>
      <c r="P2535" s="18"/>
      <c r="Q2535" s="22"/>
      <c r="R2535" s="21"/>
      <c r="S2535" s="21"/>
      <c r="T2535" s="21"/>
      <c r="AA2535"/>
      <c r="AH2535" t="str">
        <f t="shared" si="376"/>
        <v>k yet</v>
      </c>
    </row>
    <row r="2536" spans="1:34">
      <c r="A2536" s="42" t="s">
        <v>260</v>
      </c>
      <c r="B2536" s="40" t="str">
        <f t="shared" si="373"/>
        <v>No pick yet</v>
      </c>
      <c r="C2536" s="40" t="str">
        <f t="shared" si="372"/>
        <v>15-&gt;</v>
      </c>
      <c r="D2536" s="40" t="str">
        <f t="shared" si="374"/>
        <v xml:space="preserve">No pick yet                                                 </v>
      </c>
      <c r="E2536" s="52">
        <f t="shared" si="375"/>
        <v>0</v>
      </c>
      <c r="M2536" s="18"/>
      <c r="N2536" s="18"/>
      <c r="O2536" s="18"/>
      <c r="P2536" s="18"/>
      <c r="Q2536" s="22"/>
      <c r="R2536" s="21"/>
      <c r="S2536" s="21"/>
      <c r="T2536" s="21"/>
      <c r="AA2536"/>
      <c r="AH2536" t="str">
        <f t="shared" si="376"/>
        <v>k yet</v>
      </c>
    </row>
    <row r="2537" spans="1:34">
      <c r="A2537" s="42" t="s">
        <v>261</v>
      </c>
      <c r="B2537" s="40" t="str">
        <f t="shared" si="373"/>
        <v>No pick yet</v>
      </c>
      <c r="C2537" s="40" t="str">
        <f t="shared" si="372"/>
        <v>16-&gt;</v>
      </c>
      <c r="D2537" s="40" t="str">
        <f t="shared" si="374"/>
        <v xml:space="preserve">No pick yet                                                 </v>
      </c>
      <c r="E2537" s="52">
        <f t="shared" si="375"/>
        <v>0</v>
      </c>
      <c r="M2537" s="18"/>
      <c r="N2537" s="18"/>
      <c r="O2537" s="18"/>
      <c r="P2537" s="18"/>
      <c r="Q2537" s="22"/>
      <c r="R2537" s="21"/>
      <c r="S2537" s="21"/>
      <c r="T2537" s="21"/>
      <c r="AA2537"/>
      <c r="AH2537" t="str">
        <f t="shared" si="376"/>
        <v>k yet</v>
      </c>
    </row>
    <row r="2538" spans="1:34">
      <c r="A2538" s="42" t="s">
        <v>262</v>
      </c>
      <c r="B2538" s="40" t="str">
        <f t="shared" si="373"/>
        <v>No pick yet</v>
      </c>
      <c r="C2538" s="40" t="str">
        <f t="shared" si="372"/>
        <v>17-&gt;</v>
      </c>
      <c r="D2538" s="40" t="str">
        <f t="shared" si="374"/>
        <v xml:space="preserve">No pick yet                                                 </v>
      </c>
      <c r="E2538" s="52">
        <f t="shared" si="375"/>
        <v>0</v>
      </c>
      <c r="K2538" s="22"/>
      <c r="N2538" s="22"/>
      <c r="O2538" s="22"/>
      <c r="P2538" s="22"/>
      <c r="Q2538" s="22"/>
      <c r="R2538" s="22"/>
      <c r="S2538" s="22"/>
      <c r="Z2538" s="53"/>
      <c r="AA2538"/>
      <c r="AH2538" t="str">
        <f t="shared" si="376"/>
        <v>k yet</v>
      </c>
    </row>
    <row r="2539" spans="1:34">
      <c r="A2539" s="42" t="s">
        <v>263</v>
      </c>
      <c r="B2539" s="40" t="str">
        <f t="shared" si="373"/>
        <v>No pick yet</v>
      </c>
      <c r="C2539" s="40" t="str">
        <f t="shared" si="372"/>
        <v>18-&gt;</v>
      </c>
      <c r="D2539" s="40" t="str">
        <f t="shared" si="374"/>
        <v xml:space="preserve">No pick yet                                                 </v>
      </c>
      <c r="E2539" s="52">
        <f t="shared" si="375"/>
        <v>0</v>
      </c>
      <c r="F2539" s="18"/>
      <c r="L2539" s="21"/>
      <c r="N2539" s="22"/>
      <c r="O2539" s="22"/>
      <c r="P2539" s="18"/>
      <c r="Q2539" s="22"/>
      <c r="R2539" s="22"/>
      <c r="S2539" s="22"/>
      <c r="Z2539" s="53"/>
      <c r="AA2539"/>
      <c r="AH2539" t="str">
        <f t="shared" si="376"/>
        <v>k yet</v>
      </c>
    </row>
    <row r="2540" spans="1:34">
      <c r="A2540" s="42" t="s">
        <v>264</v>
      </c>
      <c r="B2540" s="40" t="str">
        <f t="shared" si="373"/>
        <v>No pick yet</v>
      </c>
      <c r="C2540" s="40" t="str">
        <f t="shared" si="372"/>
        <v>19-&gt;</v>
      </c>
      <c r="D2540" s="40" t="str">
        <f t="shared" si="374"/>
        <v xml:space="preserve">No pick yet                                                 </v>
      </c>
      <c r="E2540" s="52">
        <f t="shared" si="375"/>
        <v>0</v>
      </c>
      <c r="F2540" s="18"/>
      <c r="M2540" s="18"/>
      <c r="N2540" s="18"/>
      <c r="O2540" s="18"/>
      <c r="P2540" s="18"/>
      <c r="Q2540" s="22"/>
      <c r="R2540" s="21"/>
      <c r="S2540" s="21"/>
      <c r="T2540" s="21"/>
      <c r="AA2540"/>
      <c r="AH2540" t="str">
        <f t="shared" si="376"/>
        <v>k yet</v>
      </c>
    </row>
    <row r="2541" spans="1:34">
      <c r="A2541" s="42" t="s">
        <v>265</v>
      </c>
      <c r="B2541" s="40" t="str">
        <f t="shared" si="373"/>
        <v>No pick yet</v>
      </c>
      <c r="C2541" s="40" t="str">
        <f t="shared" si="372"/>
        <v>20-&gt;</v>
      </c>
      <c r="D2541" s="40" t="str">
        <f t="shared" si="374"/>
        <v xml:space="preserve">No pick yet                                                 </v>
      </c>
      <c r="E2541" s="52">
        <f t="shared" si="375"/>
        <v>0</v>
      </c>
      <c r="F2541" s="18"/>
      <c r="M2541" s="18"/>
      <c r="N2541" s="18"/>
      <c r="O2541" s="18"/>
      <c r="P2541" s="18"/>
      <c r="Q2541" s="22"/>
      <c r="R2541" s="21"/>
      <c r="S2541" s="21"/>
      <c r="T2541" s="21"/>
      <c r="AA2541"/>
      <c r="AH2541" t="str">
        <f t="shared" si="376"/>
        <v>k yet</v>
      </c>
    </row>
    <row r="2542" spans="1:34">
      <c r="A2542" s="42" t="s">
        <v>266</v>
      </c>
      <c r="B2542" s="40" t="str">
        <f t="shared" si="373"/>
        <v>No pick yet</v>
      </c>
      <c r="C2542" s="40" t="str">
        <f t="shared" si="372"/>
        <v>21-&gt;</v>
      </c>
      <c r="D2542" s="40" t="str">
        <f t="shared" si="374"/>
        <v xml:space="preserve">No pick yet                                                 </v>
      </c>
      <c r="E2542" s="52">
        <f t="shared" si="375"/>
        <v>0</v>
      </c>
      <c r="F2542" s="18"/>
      <c r="M2542" s="18"/>
      <c r="N2542" s="18"/>
      <c r="O2542" s="18"/>
      <c r="P2542" s="18"/>
      <c r="Q2542" s="22"/>
      <c r="R2542" s="21"/>
      <c r="S2542" s="21"/>
      <c r="T2542" s="21"/>
      <c r="AA2542"/>
      <c r="AH2542" t="str">
        <f t="shared" si="376"/>
        <v>k yet</v>
      </c>
    </row>
    <row r="2543" spans="1:34">
      <c r="A2543" s="42" t="s">
        <v>267</v>
      </c>
      <c r="B2543" s="40" t="str">
        <f t="shared" si="373"/>
        <v>No pick yet</v>
      </c>
      <c r="C2543" s="40" t="str">
        <f t="shared" si="372"/>
        <v>22-&gt;</v>
      </c>
      <c r="D2543" s="40" t="str">
        <f t="shared" si="374"/>
        <v xml:space="preserve">No pick yet                                                 </v>
      </c>
      <c r="E2543" s="52">
        <f t="shared" si="375"/>
        <v>0</v>
      </c>
      <c r="F2543" s="18"/>
      <c r="M2543" s="18"/>
      <c r="N2543" s="18"/>
      <c r="O2543" s="18"/>
      <c r="P2543" s="18"/>
      <c r="Q2543" s="22"/>
      <c r="R2543" s="21"/>
      <c r="S2543" s="21"/>
      <c r="T2543" s="21"/>
      <c r="AA2543"/>
      <c r="AH2543" t="str">
        <f t="shared" si="376"/>
        <v>k yet</v>
      </c>
    </row>
    <row r="2544" spans="1:34">
      <c r="A2544" s="42" t="s">
        <v>268</v>
      </c>
      <c r="B2544" s="40" t="str">
        <f t="shared" si="373"/>
        <v>No pick yet</v>
      </c>
      <c r="C2544" s="40" t="str">
        <f t="shared" si="372"/>
        <v>23-&gt;</v>
      </c>
      <c r="D2544" s="40" t="str">
        <f t="shared" si="374"/>
        <v xml:space="preserve">No pick yet                                                 </v>
      </c>
      <c r="E2544" s="52">
        <f t="shared" si="375"/>
        <v>0</v>
      </c>
      <c r="F2544" s="18"/>
      <c r="M2544" s="18"/>
      <c r="N2544" s="18"/>
      <c r="O2544" s="18"/>
      <c r="P2544" s="18"/>
      <c r="Q2544" s="22"/>
      <c r="R2544" s="21"/>
      <c r="S2544" s="21"/>
      <c r="T2544" s="21"/>
      <c r="AA2544"/>
      <c r="AH2544" t="str">
        <f t="shared" si="376"/>
        <v>k yet</v>
      </c>
    </row>
    <row r="2545" spans="1:39">
      <c r="A2545" s="42" t="s">
        <v>269</v>
      </c>
      <c r="B2545" s="40" t="str">
        <f t="shared" si="373"/>
        <v>No pick yet</v>
      </c>
      <c r="C2545" s="40" t="str">
        <f t="shared" si="372"/>
        <v>24-&gt;</v>
      </c>
      <c r="D2545" s="40" t="str">
        <f t="shared" si="374"/>
        <v xml:space="preserve">No pick yet                                                 </v>
      </c>
      <c r="E2545" s="52">
        <f t="shared" si="375"/>
        <v>0</v>
      </c>
      <c r="F2545" s="18"/>
      <c r="M2545" s="18"/>
      <c r="N2545" s="18"/>
      <c r="O2545" s="18"/>
      <c r="P2545" s="18"/>
      <c r="Q2545" s="22"/>
      <c r="R2545" s="21"/>
      <c r="S2545" s="21"/>
      <c r="T2545" s="21"/>
      <c r="AA2545"/>
      <c r="AH2545" t="str">
        <f t="shared" si="376"/>
        <v>k yet</v>
      </c>
    </row>
    <row r="2546" spans="1:39">
      <c r="A2546" s="42" t="s">
        <v>270</v>
      </c>
      <c r="B2546" s="40" t="str">
        <f t="shared" si="373"/>
        <v>No pick yet</v>
      </c>
      <c r="C2546" s="40" t="str">
        <f t="shared" si="372"/>
        <v>25-&gt;</v>
      </c>
      <c r="D2546" s="40" t="str">
        <f t="shared" si="374"/>
        <v xml:space="preserve">No pick yet                                                 </v>
      </c>
      <c r="E2546" s="52">
        <f t="shared" si="375"/>
        <v>0</v>
      </c>
      <c r="F2546" s="18"/>
      <c r="M2546" s="18"/>
      <c r="N2546" s="18"/>
      <c r="O2546" s="18"/>
      <c r="P2546" s="18"/>
      <c r="Q2546" s="22"/>
      <c r="R2546" s="21"/>
      <c r="S2546" s="21"/>
      <c r="T2546" s="21"/>
      <c r="AA2546"/>
      <c r="AH2546" t="str">
        <f t="shared" si="376"/>
        <v>k yet</v>
      </c>
    </row>
    <row r="2547" spans="1:39">
      <c r="A2547" s="42" t="s">
        <v>271</v>
      </c>
      <c r="B2547" s="40" t="str">
        <f t="shared" si="373"/>
        <v>No pick yet</v>
      </c>
      <c r="C2547" s="40" t="str">
        <f t="shared" si="372"/>
        <v>26-&gt;</v>
      </c>
      <c r="D2547" s="40" t="str">
        <f t="shared" si="374"/>
        <v xml:space="preserve">No pick yet                                                 </v>
      </c>
      <c r="E2547" s="52">
        <f t="shared" si="375"/>
        <v>0</v>
      </c>
      <c r="F2547" s="18"/>
      <c r="M2547" s="18"/>
      <c r="N2547" s="18"/>
      <c r="O2547" s="18"/>
      <c r="P2547" s="18"/>
      <c r="Q2547" s="22"/>
      <c r="R2547" s="21"/>
      <c r="S2547" s="21"/>
      <c r="T2547" s="21"/>
      <c r="AA2547"/>
      <c r="AH2547" t="str">
        <f t="shared" si="376"/>
        <v>k yet</v>
      </c>
    </row>
    <row r="2548" spans="1:39">
      <c r="A2548" s="38"/>
      <c r="B2548" s="40"/>
      <c r="C2548" s="40"/>
      <c r="D2548" s="49"/>
      <c r="E2548" s="41" t="s">
        <v>69</v>
      </c>
      <c r="F2548" s="18"/>
      <c r="K2548" s="22" t="s">
        <v>73</v>
      </c>
      <c r="L2548" s="18" t="s">
        <v>74</v>
      </c>
      <c r="M2548" s="22" t="s">
        <v>78</v>
      </c>
      <c r="N2548" s="22" t="s">
        <v>79</v>
      </c>
      <c r="O2548" s="22" t="s">
        <v>80</v>
      </c>
      <c r="P2548" s="22" t="s">
        <v>81</v>
      </c>
      <c r="Q2548" s="22" t="s">
        <v>82</v>
      </c>
      <c r="R2548" s="22" t="s">
        <v>83</v>
      </c>
      <c r="S2548" s="22" t="s">
        <v>84</v>
      </c>
      <c r="T2548" s="18" t="s">
        <v>85</v>
      </c>
      <c r="U2548" s="18" t="s">
        <v>86</v>
      </c>
      <c r="V2548" s="18" t="s">
        <v>87</v>
      </c>
      <c r="W2548" s="18" t="s">
        <v>88</v>
      </c>
      <c r="X2548" s="18" t="s">
        <v>89</v>
      </c>
      <c r="Y2548" s="18" t="s">
        <v>90</v>
      </c>
      <c r="Z2548" s="18" t="s">
        <v>91</v>
      </c>
      <c r="AA2548" s="18" t="s">
        <v>92</v>
      </c>
      <c r="AB2548" s="18" t="s">
        <v>93</v>
      </c>
      <c r="AC2548" s="18" t="s">
        <v>94</v>
      </c>
      <c r="AD2548" s="18" t="s">
        <v>235</v>
      </c>
      <c r="AE2548" s="18" t="s">
        <v>236</v>
      </c>
      <c r="AF2548" s="18" t="s">
        <v>237</v>
      </c>
      <c r="AG2548" s="18" t="s">
        <v>238</v>
      </c>
      <c r="AH2548" s="18" t="s">
        <v>239</v>
      </c>
      <c r="AI2548" s="18" t="s">
        <v>240</v>
      </c>
      <c r="AJ2548" s="18" t="s">
        <v>241</v>
      </c>
      <c r="AK2548" s="18" t="s">
        <v>242</v>
      </c>
      <c r="AL2548" s="18" t="s">
        <v>243</v>
      </c>
      <c r="AM2548" s="50" t="s">
        <v>244</v>
      </c>
    </row>
    <row r="2549" spans="1:39">
      <c r="A2549" s="40" t="s">
        <v>245</v>
      </c>
      <c r="B2549" s="51" t="str">
        <f>D90</f>
        <v/>
      </c>
      <c r="C2549" s="40" t="str">
        <f t="shared" ref="C2549:C2575" si="377">A2549</f>
        <v>#</v>
      </c>
      <c r="D2549" s="40" t="str">
        <f>"   "&amp;B2549&amp;REPT(" ",$AH$70-LEN(B2549)-3)</f>
        <v xml:space="preserve">                                                            </v>
      </c>
      <c r="E2549" s="38" t="str">
        <f>SUM(E2550:E2575)&amp;" pts[/b]"</f>
        <v>0 pts[/b]</v>
      </c>
      <c r="F2549" s="21">
        <f>SUM(E2550:E2575)</f>
        <v>0</v>
      </c>
      <c r="K2549" s="18">
        <f>COUNTIF(E2550:E2575,"&gt;0")</f>
        <v>0</v>
      </c>
      <c r="L2549" s="21">
        <f>AM2549-K2549</f>
        <v>0</v>
      </c>
      <c r="M2549" s="22">
        <f>MAX(E2550:E2575)</f>
        <v>0</v>
      </c>
      <c r="N2549" s="22">
        <f>LARGE(E2550:E2575,2)</f>
        <v>0</v>
      </c>
      <c r="O2549" s="22">
        <f>LARGE(E2550:E2575,3)</f>
        <v>0</v>
      </c>
      <c r="P2549" s="18">
        <f>LARGE(E2550:E2575,4)</f>
        <v>0</v>
      </c>
      <c r="Q2549" s="22">
        <f>LARGE(E2550:E2575,5)</f>
        <v>0</v>
      </c>
      <c r="R2549" s="22">
        <f>LARGE(E2550:E2575,6)</f>
        <v>0</v>
      </c>
      <c r="S2549" s="22">
        <f>LARGE(E2550:E2575,7)</f>
        <v>0</v>
      </c>
      <c r="T2549" s="18">
        <f>LARGE(E2550:E2575,8)</f>
        <v>0</v>
      </c>
      <c r="U2549" s="18">
        <f>LARGE(E2550:E2575,9)</f>
        <v>0</v>
      </c>
      <c r="V2549" s="18">
        <f>LARGE(E2550:E2575,10)</f>
        <v>0</v>
      </c>
      <c r="W2549" s="18">
        <f>LARGE(E2550:E2575,11)</f>
        <v>0</v>
      </c>
      <c r="X2549" s="18">
        <f>LARGE(E2550:E2575,12)</f>
        <v>0</v>
      </c>
      <c r="Y2549" s="18">
        <f>LARGE(E2550:E2575,13)</f>
        <v>0</v>
      </c>
      <c r="Z2549" s="18">
        <f>LARGE(E2550:E2575,14)</f>
        <v>0</v>
      </c>
      <c r="AA2549" s="18">
        <f>LARGE(E2550:E2575,15)</f>
        <v>0</v>
      </c>
      <c r="AB2549" s="18">
        <f>LARGE(E2550:E2575,16)</f>
        <v>0</v>
      </c>
      <c r="AC2549" s="18">
        <f>LARGE(E2550:E2575,17)</f>
        <v>0</v>
      </c>
      <c r="AD2549" s="18">
        <f>LARGE(E2550:E2576,13)</f>
        <v>0</v>
      </c>
      <c r="AE2549" s="18">
        <f>LARGE(E2550:E2575,19)</f>
        <v>0</v>
      </c>
      <c r="AF2549" s="18">
        <f>LARGE(E2550:E2575,20)</f>
        <v>0</v>
      </c>
      <c r="AG2549" s="18">
        <f>LARGE(E2550:E2575,21)</f>
        <v>0</v>
      </c>
      <c r="AH2549" s="18">
        <f>LARGE(E2550:E2575,22)</f>
        <v>0</v>
      </c>
      <c r="AI2549" s="18">
        <f>LARGE(E2550:E2575,23)</f>
        <v>0</v>
      </c>
      <c r="AJ2549" s="18">
        <f>LARGE(E2550:E2575,24)</f>
        <v>0</v>
      </c>
      <c r="AK2549" s="18">
        <f>LARGE(E2550:E2575,25)</f>
        <v>0</v>
      </c>
      <c r="AL2549" s="18">
        <f>LARGE(E2550:E2575,26)</f>
        <v>0</v>
      </c>
      <c r="AM2549" s="50">
        <f>COUNTIF(B2550:B2575,"&lt;&gt;"&amp;AH74)</f>
        <v>0</v>
      </c>
    </row>
    <row r="2550" spans="1:39">
      <c r="A2550" s="42" t="s">
        <v>246</v>
      </c>
      <c r="B2550" s="40" t="str">
        <f t="shared" ref="B2550:B2575" si="378">$AH$74</f>
        <v>No pick yet</v>
      </c>
      <c r="C2550" s="40" t="str">
        <f t="shared" si="377"/>
        <v>01-&gt;</v>
      </c>
      <c r="D2550" s="40" t="str">
        <f t="shared" ref="D2550:D2575" si="379">B2550&amp;REPT(" ",$AH$70-LEN(B2550))</f>
        <v xml:space="preserve">No pick yet                                                 </v>
      </c>
      <c r="E2550" s="52">
        <f t="shared" ref="E2550:E2575" si="380">VLOOKUP(RIGHT(B2550,LEN(B2550)-$AH$66),$H$138:$I$420,2,0)</f>
        <v>0</v>
      </c>
      <c r="F2550" s="18"/>
      <c r="M2550" s="18"/>
      <c r="N2550" s="18"/>
      <c r="O2550" s="18"/>
      <c r="P2550" s="18"/>
      <c r="Q2550" s="22"/>
      <c r="R2550" s="21"/>
      <c r="S2550" s="21"/>
      <c r="T2550" s="21"/>
      <c r="AA2550"/>
      <c r="AH2550" t="str">
        <f t="shared" ref="AH2550:AH2575" si="381">RIGHT(B2550,LEN(B2550)-$AH$66)</f>
        <v>k yet</v>
      </c>
    </row>
    <row r="2551" spans="1:39">
      <c r="A2551" s="42" t="s">
        <v>247</v>
      </c>
      <c r="B2551" s="40" t="str">
        <f t="shared" si="378"/>
        <v>No pick yet</v>
      </c>
      <c r="C2551" s="40" t="str">
        <f t="shared" si="377"/>
        <v>02-&gt;</v>
      </c>
      <c r="D2551" s="40" t="str">
        <f t="shared" si="379"/>
        <v xml:space="preserve">No pick yet                                                 </v>
      </c>
      <c r="E2551" s="52">
        <f t="shared" si="380"/>
        <v>0</v>
      </c>
      <c r="F2551" s="18"/>
      <c r="K2551" s="22"/>
      <c r="N2551" s="22"/>
      <c r="O2551" s="22"/>
      <c r="P2551" s="22"/>
      <c r="Q2551" s="22"/>
      <c r="R2551" s="22"/>
      <c r="S2551" s="22"/>
      <c r="Z2551" s="53"/>
      <c r="AA2551"/>
      <c r="AH2551" t="str">
        <f t="shared" si="381"/>
        <v>k yet</v>
      </c>
    </row>
    <row r="2552" spans="1:39">
      <c r="A2552" s="42" t="s">
        <v>248</v>
      </c>
      <c r="B2552" s="40" t="str">
        <f t="shared" si="378"/>
        <v>No pick yet</v>
      </c>
      <c r="C2552" s="40" t="str">
        <f t="shared" si="377"/>
        <v>03-&gt;</v>
      </c>
      <c r="D2552" s="40" t="str">
        <f t="shared" si="379"/>
        <v xml:space="preserve">No pick yet                                                 </v>
      </c>
      <c r="E2552" s="52">
        <f t="shared" si="380"/>
        <v>0</v>
      </c>
      <c r="F2552" s="18"/>
      <c r="L2552" s="21"/>
      <c r="N2552" s="22"/>
      <c r="O2552" s="22"/>
      <c r="P2552" s="18"/>
      <c r="Q2552" s="22"/>
      <c r="R2552" s="22"/>
      <c r="S2552" s="22"/>
      <c r="Z2552" s="53"/>
      <c r="AA2552"/>
      <c r="AH2552" t="str">
        <f t="shared" si="381"/>
        <v>k yet</v>
      </c>
    </row>
    <row r="2553" spans="1:39">
      <c r="A2553" s="42" t="s">
        <v>249</v>
      </c>
      <c r="B2553" s="40" t="str">
        <f t="shared" si="378"/>
        <v>No pick yet</v>
      </c>
      <c r="C2553" s="40" t="str">
        <f t="shared" si="377"/>
        <v>04-&gt;</v>
      </c>
      <c r="D2553" s="40" t="str">
        <f t="shared" si="379"/>
        <v xml:space="preserve">No pick yet                                                 </v>
      </c>
      <c r="E2553" s="52">
        <f t="shared" si="380"/>
        <v>0</v>
      </c>
      <c r="F2553" s="18"/>
      <c r="M2553" s="18"/>
      <c r="N2553" s="18"/>
      <c r="O2553" s="18"/>
      <c r="P2553" s="18"/>
      <c r="Q2553" s="22"/>
      <c r="R2553" s="21"/>
      <c r="S2553" s="21"/>
      <c r="T2553" s="21"/>
      <c r="AA2553"/>
      <c r="AH2553" t="str">
        <f t="shared" si="381"/>
        <v>k yet</v>
      </c>
    </row>
    <row r="2554" spans="1:39">
      <c r="A2554" s="42" t="s">
        <v>250</v>
      </c>
      <c r="B2554" s="40" t="str">
        <f t="shared" si="378"/>
        <v>No pick yet</v>
      </c>
      <c r="C2554" s="40" t="str">
        <f t="shared" si="377"/>
        <v>05-&gt;</v>
      </c>
      <c r="D2554" s="40" t="str">
        <f t="shared" si="379"/>
        <v xml:space="preserve">No pick yet                                                 </v>
      </c>
      <c r="E2554" s="52">
        <f t="shared" si="380"/>
        <v>0</v>
      </c>
      <c r="F2554" s="18"/>
      <c r="M2554" s="18"/>
      <c r="N2554" s="18"/>
      <c r="O2554" s="18"/>
      <c r="P2554" s="18"/>
      <c r="Q2554" s="22"/>
      <c r="R2554" s="21"/>
      <c r="S2554" s="21"/>
      <c r="T2554" s="21"/>
      <c r="AA2554"/>
      <c r="AH2554" t="str">
        <f t="shared" si="381"/>
        <v>k yet</v>
      </c>
    </row>
    <row r="2555" spans="1:39">
      <c r="A2555" s="42" t="s">
        <v>251</v>
      </c>
      <c r="B2555" s="40" t="str">
        <f t="shared" si="378"/>
        <v>No pick yet</v>
      </c>
      <c r="C2555" s="40" t="str">
        <f t="shared" si="377"/>
        <v>06-&gt;</v>
      </c>
      <c r="D2555" s="40" t="str">
        <f t="shared" si="379"/>
        <v xml:space="preserve">No pick yet                                                 </v>
      </c>
      <c r="E2555" s="52">
        <f t="shared" si="380"/>
        <v>0</v>
      </c>
      <c r="F2555" s="18"/>
      <c r="M2555" s="18"/>
      <c r="N2555" s="18"/>
      <c r="O2555" s="18"/>
      <c r="P2555" s="18"/>
      <c r="Q2555" s="22"/>
      <c r="R2555" s="21"/>
      <c r="S2555" s="21"/>
      <c r="T2555" s="21"/>
      <c r="AA2555"/>
      <c r="AH2555" t="str">
        <f t="shared" si="381"/>
        <v>k yet</v>
      </c>
    </row>
    <row r="2556" spans="1:39">
      <c r="A2556" s="42" t="s">
        <v>252</v>
      </c>
      <c r="B2556" s="40" t="str">
        <f t="shared" si="378"/>
        <v>No pick yet</v>
      </c>
      <c r="C2556" s="40" t="str">
        <f t="shared" si="377"/>
        <v>07-&gt;</v>
      </c>
      <c r="D2556" s="40" t="str">
        <f t="shared" si="379"/>
        <v xml:space="preserve">No pick yet                                                 </v>
      </c>
      <c r="E2556" s="52">
        <f t="shared" si="380"/>
        <v>0</v>
      </c>
      <c r="F2556" s="18"/>
      <c r="M2556" s="18"/>
      <c r="N2556" s="18"/>
      <c r="O2556" s="18"/>
      <c r="P2556" s="18"/>
      <c r="Q2556" s="22"/>
      <c r="R2556" s="21"/>
      <c r="S2556" s="21"/>
      <c r="T2556" s="21"/>
      <c r="AA2556"/>
      <c r="AH2556" t="str">
        <f t="shared" si="381"/>
        <v>k yet</v>
      </c>
    </row>
    <row r="2557" spans="1:39">
      <c r="A2557" s="42" t="s">
        <v>253</v>
      </c>
      <c r="B2557" s="40" t="str">
        <f t="shared" si="378"/>
        <v>No pick yet</v>
      </c>
      <c r="C2557" s="40" t="str">
        <f t="shared" si="377"/>
        <v>08-&gt;</v>
      </c>
      <c r="D2557" s="40" t="str">
        <f t="shared" si="379"/>
        <v xml:space="preserve">No pick yet                                                 </v>
      </c>
      <c r="E2557" s="52">
        <f t="shared" si="380"/>
        <v>0</v>
      </c>
      <c r="F2557" s="18"/>
      <c r="M2557" s="18"/>
      <c r="N2557" s="18"/>
      <c r="O2557" s="18"/>
      <c r="P2557" s="18"/>
      <c r="Q2557" s="22"/>
      <c r="R2557" s="21"/>
      <c r="S2557" s="21"/>
      <c r="T2557" s="21"/>
      <c r="AA2557"/>
      <c r="AH2557" t="str">
        <f t="shared" si="381"/>
        <v>k yet</v>
      </c>
    </row>
    <row r="2558" spans="1:39">
      <c r="A2558" s="42" t="s">
        <v>254</v>
      </c>
      <c r="B2558" s="40" t="str">
        <f t="shared" si="378"/>
        <v>No pick yet</v>
      </c>
      <c r="C2558" s="40" t="str">
        <f t="shared" si="377"/>
        <v>09-&gt;</v>
      </c>
      <c r="D2558" s="40" t="str">
        <f t="shared" si="379"/>
        <v xml:space="preserve">No pick yet                                                 </v>
      </c>
      <c r="E2558" s="52">
        <f t="shared" si="380"/>
        <v>0</v>
      </c>
      <c r="F2558" s="18"/>
      <c r="M2558" s="18"/>
      <c r="N2558" s="18"/>
      <c r="O2558" s="18"/>
      <c r="P2558" s="18"/>
      <c r="Q2558" s="22"/>
      <c r="R2558" s="21"/>
      <c r="S2558" s="21"/>
      <c r="T2558" s="21"/>
      <c r="AA2558"/>
      <c r="AH2558" t="str">
        <f t="shared" si="381"/>
        <v>k yet</v>
      </c>
    </row>
    <row r="2559" spans="1:39">
      <c r="A2559" s="42" t="s">
        <v>255</v>
      </c>
      <c r="B2559" s="40" t="str">
        <f t="shared" si="378"/>
        <v>No pick yet</v>
      </c>
      <c r="C2559" s="40" t="str">
        <f t="shared" si="377"/>
        <v>10-&gt;</v>
      </c>
      <c r="D2559" s="40" t="str">
        <f t="shared" si="379"/>
        <v xml:space="preserve">No pick yet                                                 </v>
      </c>
      <c r="E2559" s="52">
        <f t="shared" si="380"/>
        <v>0</v>
      </c>
      <c r="F2559" s="22"/>
      <c r="M2559" s="18"/>
      <c r="N2559" s="18"/>
      <c r="O2559" s="18"/>
      <c r="P2559" s="18"/>
      <c r="Q2559" s="22"/>
      <c r="R2559" s="21"/>
      <c r="S2559" s="21"/>
      <c r="T2559" s="21"/>
      <c r="AA2559"/>
      <c r="AH2559" t="str">
        <f t="shared" si="381"/>
        <v>k yet</v>
      </c>
    </row>
    <row r="2560" spans="1:39">
      <c r="A2560" s="42" t="s">
        <v>256</v>
      </c>
      <c r="B2560" s="40" t="str">
        <f t="shared" si="378"/>
        <v>No pick yet</v>
      </c>
      <c r="C2560" s="40" t="str">
        <f t="shared" si="377"/>
        <v>11-&gt;</v>
      </c>
      <c r="D2560" s="40" t="str">
        <f t="shared" si="379"/>
        <v xml:space="preserve">No pick yet                                                 </v>
      </c>
      <c r="E2560" s="52">
        <f t="shared" si="380"/>
        <v>0</v>
      </c>
      <c r="M2560" s="18"/>
      <c r="N2560" s="18"/>
      <c r="O2560" s="18"/>
      <c r="P2560" s="18"/>
      <c r="Q2560" s="22"/>
      <c r="R2560" s="21"/>
      <c r="S2560" s="21"/>
      <c r="T2560" s="21"/>
      <c r="AA2560"/>
      <c r="AH2560" t="str">
        <f t="shared" si="381"/>
        <v>k yet</v>
      </c>
    </row>
    <row r="2561" spans="1:39">
      <c r="A2561" s="42" t="s">
        <v>257</v>
      </c>
      <c r="B2561" s="40" t="str">
        <f t="shared" si="378"/>
        <v>No pick yet</v>
      </c>
      <c r="C2561" s="40" t="str">
        <f t="shared" si="377"/>
        <v>12-&gt;</v>
      </c>
      <c r="D2561" s="40" t="str">
        <f t="shared" si="379"/>
        <v xml:space="preserve">No pick yet                                                 </v>
      </c>
      <c r="E2561" s="52">
        <f t="shared" si="380"/>
        <v>0</v>
      </c>
      <c r="M2561" s="18"/>
      <c r="N2561" s="18"/>
      <c r="O2561" s="18"/>
      <c r="P2561" s="18"/>
      <c r="Q2561" s="22"/>
      <c r="R2561" s="21"/>
      <c r="S2561" s="21"/>
      <c r="T2561" s="21"/>
      <c r="AA2561"/>
      <c r="AH2561" t="str">
        <f t="shared" si="381"/>
        <v>k yet</v>
      </c>
    </row>
    <row r="2562" spans="1:39">
      <c r="A2562" s="42" t="s">
        <v>258</v>
      </c>
      <c r="B2562" s="40" t="str">
        <f t="shared" si="378"/>
        <v>No pick yet</v>
      </c>
      <c r="C2562" s="40" t="str">
        <f t="shared" si="377"/>
        <v>13-&gt;</v>
      </c>
      <c r="D2562" s="40" t="str">
        <f t="shared" si="379"/>
        <v xml:space="preserve">No pick yet                                                 </v>
      </c>
      <c r="E2562" s="52">
        <f t="shared" si="380"/>
        <v>0</v>
      </c>
      <c r="M2562" s="18"/>
      <c r="N2562" s="18"/>
      <c r="O2562" s="18"/>
      <c r="P2562" s="18"/>
      <c r="Q2562" s="22"/>
      <c r="R2562" s="21"/>
      <c r="S2562" s="21"/>
      <c r="T2562" s="21"/>
      <c r="AA2562"/>
      <c r="AH2562" t="str">
        <f t="shared" si="381"/>
        <v>k yet</v>
      </c>
    </row>
    <row r="2563" spans="1:39">
      <c r="A2563" s="42" t="s">
        <v>259</v>
      </c>
      <c r="B2563" s="40" t="str">
        <f t="shared" si="378"/>
        <v>No pick yet</v>
      </c>
      <c r="C2563" s="40" t="str">
        <f t="shared" si="377"/>
        <v>14-&gt;</v>
      </c>
      <c r="D2563" s="40" t="str">
        <f t="shared" si="379"/>
        <v xml:space="preserve">No pick yet                                                 </v>
      </c>
      <c r="E2563" s="52">
        <f t="shared" si="380"/>
        <v>0</v>
      </c>
      <c r="M2563" s="18"/>
      <c r="N2563" s="18"/>
      <c r="O2563" s="18"/>
      <c r="P2563" s="18"/>
      <c r="Q2563" s="22"/>
      <c r="R2563" s="21"/>
      <c r="S2563" s="21"/>
      <c r="T2563" s="21"/>
      <c r="AA2563"/>
      <c r="AH2563" t="str">
        <f t="shared" si="381"/>
        <v>k yet</v>
      </c>
    </row>
    <row r="2564" spans="1:39">
      <c r="A2564" s="42" t="s">
        <v>260</v>
      </c>
      <c r="B2564" s="40" t="str">
        <f t="shared" si="378"/>
        <v>No pick yet</v>
      </c>
      <c r="C2564" s="40" t="str">
        <f t="shared" si="377"/>
        <v>15-&gt;</v>
      </c>
      <c r="D2564" s="40" t="str">
        <f t="shared" si="379"/>
        <v xml:space="preserve">No pick yet                                                 </v>
      </c>
      <c r="E2564" s="52">
        <f t="shared" si="380"/>
        <v>0</v>
      </c>
      <c r="M2564" s="18"/>
      <c r="N2564" s="18"/>
      <c r="O2564" s="18"/>
      <c r="P2564" s="18"/>
      <c r="Q2564" s="22"/>
      <c r="R2564" s="21"/>
      <c r="S2564" s="21"/>
      <c r="T2564" s="21"/>
      <c r="AA2564"/>
      <c r="AH2564" t="str">
        <f t="shared" si="381"/>
        <v>k yet</v>
      </c>
    </row>
    <row r="2565" spans="1:39">
      <c r="A2565" s="42" t="s">
        <v>261</v>
      </c>
      <c r="B2565" s="40" t="str">
        <f t="shared" si="378"/>
        <v>No pick yet</v>
      </c>
      <c r="C2565" s="40" t="str">
        <f t="shared" si="377"/>
        <v>16-&gt;</v>
      </c>
      <c r="D2565" s="40" t="str">
        <f t="shared" si="379"/>
        <v xml:space="preserve">No pick yet                                                 </v>
      </c>
      <c r="E2565" s="52">
        <f t="shared" si="380"/>
        <v>0</v>
      </c>
      <c r="M2565" s="18"/>
      <c r="N2565" s="18"/>
      <c r="O2565" s="18"/>
      <c r="P2565" s="18"/>
      <c r="Q2565" s="22"/>
      <c r="R2565" s="21"/>
      <c r="S2565" s="21"/>
      <c r="T2565" s="21"/>
      <c r="AA2565"/>
      <c r="AH2565" t="str">
        <f t="shared" si="381"/>
        <v>k yet</v>
      </c>
    </row>
    <row r="2566" spans="1:39">
      <c r="A2566" s="42" t="s">
        <v>262</v>
      </c>
      <c r="B2566" s="40" t="str">
        <f t="shared" si="378"/>
        <v>No pick yet</v>
      </c>
      <c r="C2566" s="40" t="str">
        <f t="shared" si="377"/>
        <v>17-&gt;</v>
      </c>
      <c r="D2566" s="40" t="str">
        <f t="shared" si="379"/>
        <v xml:space="preserve">No pick yet                                                 </v>
      </c>
      <c r="E2566" s="52">
        <f t="shared" si="380"/>
        <v>0</v>
      </c>
      <c r="K2566" s="22"/>
      <c r="N2566" s="22"/>
      <c r="O2566" s="22"/>
      <c r="P2566" s="22"/>
      <c r="Q2566" s="22"/>
      <c r="R2566" s="22"/>
      <c r="S2566" s="22"/>
      <c r="Z2566" s="53"/>
      <c r="AA2566"/>
      <c r="AH2566" t="str">
        <f t="shared" si="381"/>
        <v>k yet</v>
      </c>
    </row>
    <row r="2567" spans="1:39">
      <c r="A2567" s="42" t="s">
        <v>263</v>
      </c>
      <c r="B2567" s="40" t="str">
        <f t="shared" si="378"/>
        <v>No pick yet</v>
      </c>
      <c r="C2567" s="40" t="str">
        <f t="shared" si="377"/>
        <v>18-&gt;</v>
      </c>
      <c r="D2567" s="40" t="str">
        <f t="shared" si="379"/>
        <v xml:space="preserve">No pick yet                                                 </v>
      </c>
      <c r="E2567" s="52">
        <f t="shared" si="380"/>
        <v>0</v>
      </c>
      <c r="F2567" s="18"/>
      <c r="L2567" s="21"/>
      <c r="N2567" s="22"/>
      <c r="O2567" s="22"/>
      <c r="P2567" s="18"/>
      <c r="Q2567" s="22"/>
      <c r="R2567" s="22"/>
      <c r="S2567" s="22"/>
      <c r="Z2567" s="53"/>
      <c r="AA2567"/>
      <c r="AH2567" t="str">
        <f t="shared" si="381"/>
        <v>k yet</v>
      </c>
    </row>
    <row r="2568" spans="1:39">
      <c r="A2568" s="42" t="s">
        <v>264</v>
      </c>
      <c r="B2568" s="40" t="str">
        <f t="shared" si="378"/>
        <v>No pick yet</v>
      </c>
      <c r="C2568" s="40" t="str">
        <f t="shared" si="377"/>
        <v>19-&gt;</v>
      </c>
      <c r="D2568" s="40" t="str">
        <f t="shared" si="379"/>
        <v xml:space="preserve">No pick yet                                                 </v>
      </c>
      <c r="E2568" s="52">
        <f t="shared" si="380"/>
        <v>0</v>
      </c>
      <c r="F2568" s="18"/>
      <c r="M2568" s="18"/>
      <c r="N2568" s="18"/>
      <c r="O2568" s="18"/>
      <c r="P2568" s="18"/>
      <c r="Q2568" s="22"/>
      <c r="R2568" s="21"/>
      <c r="S2568" s="21"/>
      <c r="T2568" s="21"/>
      <c r="AA2568"/>
      <c r="AH2568" t="str">
        <f t="shared" si="381"/>
        <v>k yet</v>
      </c>
    </row>
    <row r="2569" spans="1:39">
      <c r="A2569" s="42" t="s">
        <v>265</v>
      </c>
      <c r="B2569" s="40" t="str">
        <f t="shared" si="378"/>
        <v>No pick yet</v>
      </c>
      <c r="C2569" s="40" t="str">
        <f t="shared" si="377"/>
        <v>20-&gt;</v>
      </c>
      <c r="D2569" s="40" t="str">
        <f t="shared" si="379"/>
        <v xml:space="preserve">No pick yet                                                 </v>
      </c>
      <c r="E2569" s="52">
        <f t="shared" si="380"/>
        <v>0</v>
      </c>
      <c r="F2569" s="18"/>
      <c r="M2569" s="18"/>
      <c r="N2569" s="18"/>
      <c r="O2569" s="18"/>
      <c r="P2569" s="18"/>
      <c r="Q2569" s="22"/>
      <c r="R2569" s="21"/>
      <c r="S2569" s="21"/>
      <c r="T2569" s="21"/>
      <c r="AA2569"/>
      <c r="AH2569" t="str">
        <f t="shared" si="381"/>
        <v>k yet</v>
      </c>
    </row>
    <row r="2570" spans="1:39">
      <c r="A2570" s="42" t="s">
        <v>266</v>
      </c>
      <c r="B2570" s="40" t="str">
        <f t="shared" si="378"/>
        <v>No pick yet</v>
      </c>
      <c r="C2570" s="40" t="str">
        <f t="shared" si="377"/>
        <v>21-&gt;</v>
      </c>
      <c r="D2570" s="40" t="str">
        <f t="shared" si="379"/>
        <v xml:space="preserve">No pick yet                                                 </v>
      </c>
      <c r="E2570" s="52">
        <f t="shared" si="380"/>
        <v>0</v>
      </c>
      <c r="F2570" s="18"/>
      <c r="M2570" s="18"/>
      <c r="N2570" s="18"/>
      <c r="O2570" s="18"/>
      <c r="P2570" s="18"/>
      <c r="Q2570" s="22"/>
      <c r="R2570" s="21"/>
      <c r="S2570" s="21"/>
      <c r="T2570" s="21"/>
      <c r="AA2570"/>
      <c r="AH2570" t="str">
        <f t="shared" si="381"/>
        <v>k yet</v>
      </c>
    </row>
    <row r="2571" spans="1:39">
      <c r="A2571" s="42" t="s">
        <v>267</v>
      </c>
      <c r="B2571" s="40" t="str">
        <f t="shared" si="378"/>
        <v>No pick yet</v>
      </c>
      <c r="C2571" s="40" t="str">
        <f t="shared" si="377"/>
        <v>22-&gt;</v>
      </c>
      <c r="D2571" s="40" t="str">
        <f t="shared" si="379"/>
        <v xml:space="preserve">No pick yet                                                 </v>
      </c>
      <c r="E2571" s="52">
        <f t="shared" si="380"/>
        <v>0</v>
      </c>
      <c r="F2571" s="18"/>
      <c r="M2571" s="18"/>
      <c r="N2571" s="18"/>
      <c r="O2571" s="18"/>
      <c r="P2571" s="18"/>
      <c r="Q2571" s="22"/>
      <c r="R2571" s="21"/>
      <c r="S2571" s="21"/>
      <c r="T2571" s="21"/>
      <c r="AA2571"/>
      <c r="AH2571" t="str">
        <f t="shared" si="381"/>
        <v>k yet</v>
      </c>
    </row>
    <row r="2572" spans="1:39">
      <c r="A2572" s="42" t="s">
        <v>268</v>
      </c>
      <c r="B2572" s="40" t="str">
        <f t="shared" si="378"/>
        <v>No pick yet</v>
      </c>
      <c r="C2572" s="40" t="str">
        <f t="shared" si="377"/>
        <v>23-&gt;</v>
      </c>
      <c r="D2572" s="40" t="str">
        <f t="shared" si="379"/>
        <v xml:space="preserve">No pick yet                                                 </v>
      </c>
      <c r="E2572" s="52">
        <f t="shared" si="380"/>
        <v>0</v>
      </c>
      <c r="F2572" s="18"/>
      <c r="M2572" s="18"/>
      <c r="N2572" s="18"/>
      <c r="O2572" s="18"/>
      <c r="P2572" s="18"/>
      <c r="Q2572" s="22"/>
      <c r="R2572" s="21"/>
      <c r="S2572" s="21"/>
      <c r="T2572" s="21"/>
      <c r="AA2572"/>
      <c r="AH2572" t="str">
        <f t="shared" si="381"/>
        <v>k yet</v>
      </c>
    </row>
    <row r="2573" spans="1:39">
      <c r="A2573" s="42" t="s">
        <v>269</v>
      </c>
      <c r="B2573" s="40" t="str">
        <f t="shared" si="378"/>
        <v>No pick yet</v>
      </c>
      <c r="C2573" s="40" t="str">
        <f t="shared" si="377"/>
        <v>24-&gt;</v>
      </c>
      <c r="D2573" s="40" t="str">
        <f t="shared" si="379"/>
        <v xml:space="preserve">No pick yet                                                 </v>
      </c>
      <c r="E2573" s="52">
        <f t="shared" si="380"/>
        <v>0</v>
      </c>
      <c r="F2573" s="18"/>
      <c r="M2573" s="18"/>
      <c r="N2573" s="18"/>
      <c r="O2573" s="18"/>
      <c r="P2573" s="18"/>
      <c r="Q2573" s="22"/>
      <c r="R2573" s="21"/>
      <c r="S2573" s="21"/>
      <c r="T2573" s="21"/>
      <c r="AA2573"/>
      <c r="AH2573" t="str">
        <f t="shared" si="381"/>
        <v>k yet</v>
      </c>
    </row>
    <row r="2574" spans="1:39">
      <c r="A2574" s="42" t="s">
        <v>270</v>
      </c>
      <c r="B2574" s="40" t="str">
        <f t="shared" si="378"/>
        <v>No pick yet</v>
      </c>
      <c r="C2574" s="40" t="str">
        <f t="shared" si="377"/>
        <v>25-&gt;</v>
      </c>
      <c r="D2574" s="40" t="str">
        <f t="shared" si="379"/>
        <v xml:space="preserve">No pick yet                                                 </v>
      </c>
      <c r="E2574" s="52">
        <f t="shared" si="380"/>
        <v>0</v>
      </c>
      <c r="F2574" s="18"/>
      <c r="M2574" s="18"/>
      <c r="N2574" s="18"/>
      <c r="O2574" s="18"/>
      <c r="P2574" s="18"/>
      <c r="Q2574" s="22"/>
      <c r="R2574" s="21"/>
      <c r="S2574" s="21"/>
      <c r="T2574" s="21"/>
      <c r="AA2574"/>
      <c r="AH2574" t="str">
        <f t="shared" si="381"/>
        <v>k yet</v>
      </c>
    </row>
    <row r="2575" spans="1:39">
      <c r="A2575" s="42" t="s">
        <v>271</v>
      </c>
      <c r="B2575" s="40" t="str">
        <f t="shared" si="378"/>
        <v>No pick yet</v>
      </c>
      <c r="C2575" s="40" t="str">
        <f t="shared" si="377"/>
        <v>26-&gt;</v>
      </c>
      <c r="D2575" s="40" t="str">
        <f t="shared" si="379"/>
        <v xml:space="preserve">No pick yet                                                 </v>
      </c>
      <c r="E2575" s="52">
        <f t="shared" si="380"/>
        <v>0</v>
      </c>
      <c r="F2575" s="18"/>
      <c r="M2575" s="18"/>
      <c r="N2575" s="18"/>
      <c r="O2575" s="18"/>
      <c r="P2575" s="18"/>
      <c r="Q2575" s="22"/>
      <c r="R2575" s="21"/>
      <c r="S2575" s="21"/>
      <c r="T2575" s="21"/>
      <c r="AA2575"/>
      <c r="AH2575" t="str">
        <f t="shared" si="381"/>
        <v>k yet</v>
      </c>
    </row>
    <row r="2576" spans="1:39">
      <c r="A2576" s="38"/>
      <c r="B2576" s="40"/>
      <c r="C2576" s="40"/>
      <c r="D2576" s="49"/>
      <c r="E2576" s="41" t="s">
        <v>69</v>
      </c>
      <c r="F2576" s="18"/>
      <c r="K2576" s="22" t="s">
        <v>73</v>
      </c>
      <c r="L2576" s="18" t="s">
        <v>74</v>
      </c>
      <c r="M2576" s="22" t="s">
        <v>78</v>
      </c>
      <c r="N2576" s="22" t="s">
        <v>79</v>
      </c>
      <c r="O2576" s="22" t="s">
        <v>80</v>
      </c>
      <c r="P2576" s="22" t="s">
        <v>81</v>
      </c>
      <c r="Q2576" s="22" t="s">
        <v>82</v>
      </c>
      <c r="R2576" s="22" t="s">
        <v>83</v>
      </c>
      <c r="S2576" s="22" t="s">
        <v>84</v>
      </c>
      <c r="T2576" s="18" t="s">
        <v>85</v>
      </c>
      <c r="U2576" s="18" t="s">
        <v>86</v>
      </c>
      <c r="V2576" s="18" t="s">
        <v>87</v>
      </c>
      <c r="W2576" s="18" t="s">
        <v>88</v>
      </c>
      <c r="X2576" s="18" t="s">
        <v>89</v>
      </c>
      <c r="Y2576" s="18" t="s">
        <v>90</v>
      </c>
      <c r="Z2576" s="18" t="s">
        <v>91</v>
      </c>
      <c r="AA2576" s="18" t="s">
        <v>92</v>
      </c>
      <c r="AB2576" s="18" t="s">
        <v>93</v>
      </c>
      <c r="AC2576" s="18" t="s">
        <v>94</v>
      </c>
      <c r="AD2576" s="18" t="s">
        <v>235</v>
      </c>
      <c r="AE2576" s="18" t="s">
        <v>236</v>
      </c>
      <c r="AF2576" s="18" t="s">
        <v>237</v>
      </c>
      <c r="AG2576" s="18" t="s">
        <v>238</v>
      </c>
      <c r="AH2576" s="18" t="s">
        <v>239</v>
      </c>
      <c r="AI2576" s="18" t="s">
        <v>240</v>
      </c>
      <c r="AJ2576" s="18" t="s">
        <v>241</v>
      </c>
      <c r="AK2576" s="18" t="s">
        <v>242</v>
      </c>
      <c r="AL2576" s="18" t="s">
        <v>243</v>
      </c>
      <c r="AM2576" s="50" t="s">
        <v>244</v>
      </c>
    </row>
    <row r="2577" spans="1:39">
      <c r="A2577" s="40" t="s">
        <v>245</v>
      </c>
      <c r="B2577" s="51" t="str">
        <f>D91</f>
        <v/>
      </c>
      <c r="C2577" s="40" t="str">
        <f t="shared" ref="C2577:C2603" si="382">A2577</f>
        <v>#</v>
      </c>
      <c r="D2577" s="40" t="str">
        <f>"   "&amp;B2577&amp;REPT(" ",$AH$70-LEN(B2577)-3)</f>
        <v xml:space="preserve">                                                            </v>
      </c>
      <c r="E2577" s="38" t="str">
        <f>SUM(E2578:E2603)&amp;" pts[/b]"</f>
        <v>0 pts[/b]</v>
      </c>
      <c r="F2577" s="21">
        <f>SUM(E2578:E2603)</f>
        <v>0</v>
      </c>
      <c r="K2577" s="18">
        <f>COUNTIF(E2578:E2603,"&gt;0")</f>
        <v>0</v>
      </c>
      <c r="L2577" s="21">
        <f>AM2577-K2577</f>
        <v>0</v>
      </c>
      <c r="M2577" s="22">
        <f>MAX(E2578:E2603)</f>
        <v>0</v>
      </c>
      <c r="N2577" s="22">
        <f>LARGE(E2578:E2603,2)</f>
        <v>0</v>
      </c>
      <c r="O2577" s="22">
        <f>LARGE(E2578:E2603,3)</f>
        <v>0</v>
      </c>
      <c r="P2577" s="18">
        <f>LARGE(E2578:E2603,4)</f>
        <v>0</v>
      </c>
      <c r="Q2577" s="22">
        <f>LARGE(E2578:E2603,5)</f>
        <v>0</v>
      </c>
      <c r="R2577" s="22">
        <f>LARGE(E2578:E2603,6)</f>
        <v>0</v>
      </c>
      <c r="S2577" s="22">
        <f>LARGE(E2578:E2603,7)</f>
        <v>0</v>
      </c>
      <c r="T2577" s="18">
        <f>LARGE(E2578:E2603,8)</f>
        <v>0</v>
      </c>
      <c r="U2577" s="18">
        <f>LARGE(E2578:E2603,9)</f>
        <v>0</v>
      </c>
      <c r="V2577" s="18">
        <f>LARGE(E2578:E2603,10)</f>
        <v>0</v>
      </c>
      <c r="W2577" s="18">
        <f>LARGE(E2578:E2603,11)</f>
        <v>0</v>
      </c>
      <c r="X2577" s="18">
        <f>LARGE(E2578:E2603,12)</f>
        <v>0</v>
      </c>
      <c r="Y2577" s="18">
        <f>LARGE(E2578:E2603,13)</f>
        <v>0</v>
      </c>
      <c r="Z2577" s="18">
        <f>LARGE(E2578:E2603,14)</f>
        <v>0</v>
      </c>
      <c r="AA2577" s="18">
        <f>LARGE(E2578:E2603,15)</f>
        <v>0</v>
      </c>
      <c r="AB2577" s="18">
        <f>LARGE(E2578:E2603,16)</f>
        <v>0</v>
      </c>
      <c r="AC2577" s="18">
        <f>LARGE(E2578:E2603,17)</f>
        <v>0</v>
      </c>
      <c r="AD2577" s="18">
        <f>LARGE(E2578:E2604,13)</f>
        <v>0</v>
      </c>
      <c r="AE2577" s="18">
        <f>LARGE(E2578:E2603,19)</f>
        <v>0</v>
      </c>
      <c r="AF2577" s="18">
        <f>LARGE(E2578:E2603,20)</f>
        <v>0</v>
      </c>
      <c r="AG2577" s="18">
        <f>LARGE(E2578:E2603,21)</f>
        <v>0</v>
      </c>
      <c r="AH2577" s="18">
        <f>LARGE(E2578:E2603,22)</f>
        <v>0</v>
      </c>
      <c r="AI2577" s="18">
        <f>LARGE(E2578:E2603,23)</f>
        <v>0</v>
      </c>
      <c r="AJ2577" s="18">
        <f>LARGE(E2578:E2603,24)</f>
        <v>0</v>
      </c>
      <c r="AK2577" s="18">
        <f>LARGE(E2578:E2603,25)</f>
        <v>0</v>
      </c>
      <c r="AL2577" s="18">
        <f>LARGE(E2578:E2603,26)</f>
        <v>0</v>
      </c>
      <c r="AM2577" s="50">
        <f>COUNTIF(B2578:B2603,"&lt;&gt;"&amp;AH74)</f>
        <v>0</v>
      </c>
    </row>
    <row r="2578" spans="1:39">
      <c r="A2578" s="42" t="s">
        <v>246</v>
      </c>
      <c r="B2578" s="40" t="str">
        <f t="shared" ref="B2578:B2603" si="383">$AH$74</f>
        <v>No pick yet</v>
      </c>
      <c r="C2578" s="40" t="str">
        <f t="shared" si="382"/>
        <v>01-&gt;</v>
      </c>
      <c r="D2578" s="40" t="str">
        <f t="shared" ref="D2578:D2603" si="384">B2578&amp;REPT(" ",$AH$70-LEN(B2578))</f>
        <v xml:space="preserve">No pick yet                                                 </v>
      </c>
      <c r="E2578" s="52">
        <f t="shared" ref="E2578:E2603" si="385">VLOOKUP(RIGHT(B2578,LEN(B2578)-$AH$66),$H$138:$I$420,2,0)</f>
        <v>0</v>
      </c>
      <c r="F2578" s="18"/>
      <c r="M2578" s="18"/>
      <c r="N2578" s="18"/>
      <c r="O2578" s="18"/>
      <c r="P2578" s="18"/>
      <c r="Q2578" s="22"/>
      <c r="R2578" s="21"/>
      <c r="S2578" s="21"/>
      <c r="T2578" s="21"/>
      <c r="AA2578"/>
      <c r="AH2578" t="str">
        <f t="shared" ref="AH2578:AH2603" si="386">RIGHT(B2578,LEN(B2578)-$AH$66)</f>
        <v>k yet</v>
      </c>
    </row>
    <row r="2579" spans="1:39">
      <c r="A2579" s="42" t="s">
        <v>247</v>
      </c>
      <c r="B2579" s="40" t="str">
        <f t="shared" si="383"/>
        <v>No pick yet</v>
      </c>
      <c r="C2579" s="40" t="str">
        <f t="shared" si="382"/>
        <v>02-&gt;</v>
      </c>
      <c r="D2579" s="40" t="str">
        <f t="shared" si="384"/>
        <v xml:space="preserve">No pick yet                                                 </v>
      </c>
      <c r="E2579" s="52">
        <f t="shared" si="385"/>
        <v>0</v>
      </c>
      <c r="F2579" s="18"/>
      <c r="K2579" s="22"/>
      <c r="N2579" s="22"/>
      <c r="O2579" s="22"/>
      <c r="P2579" s="22"/>
      <c r="Q2579" s="22"/>
      <c r="R2579" s="22"/>
      <c r="S2579" s="22"/>
      <c r="Z2579" s="53"/>
      <c r="AA2579"/>
      <c r="AH2579" t="str">
        <f t="shared" si="386"/>
        <v>k yet</v>
      </c>
    </row>
    <row r="2580" spans="1:39">
      <c r="A2580" s="42" t="s">
        <v>248</v>
      </c>
      <c r="B2580" s="40" t="str">
        <f t="shared" si="383"/>
        <v>No pick yet</v>
      </c>
      <c r="C2580" s="40" t="str">
        <f t="shared" si="382"/>
        <v>03-&gt;</v>
      </c>
      <c r="D2580" s="40" t="str">
        <f t="shared" si="384"/>
        <v xml:space="preserve">No pick yet                                                 </v>
      </c>
      <c r="E2580" s="52">
        <f t="shared" si="385"/>
        <v>0</v>
      </c>
      <c r="F2580" s="18"/>
      <c r="L2580" s="21"/>
      <c r="N2580" s="22"/>
      <c r="O2580" s="22"/>
      <c r="P2580" s="18"/>
      <c r="Q2580" s="22"/>
      <c r="R2580" s="22"/>
      <c r="S2580" s="22"/>
      <c r="Z2580" s="53"/>
      <c r="AA2580"/>
      <c r="AH2580" t="str">
        <f t="shared" si="386"/>
        <v>k yet</v>
      </c>
    </row>
    <row r="2581" spans="1:39">
      <c r="A2581" s="42" t="s">
        <v>249</v>
      </c>
      <c r="B2581" s="40" t="str">
        <f t="shared" si="383"/>
        <v>No pick yet</v>
      </c>
      <c r="C2581" s="40" t="str">
        <f t="shared" si="382"/>
        <v>04-&gt;</v>
      </c>
      <c r="D2581" s="40" t="str">
        <f t="shared" si="384"/>
        <v xml:space="preserve">No pick yet                                                 </v>
      </c>
      <c r="E2581" s="52">
        <f t="shared" si="385"/>
        <v>0</v>
      </c>
      <c r="F2581" s="18"/>
      <c r="M2581" s="18"/>
      <c r="N2581" s="18"/>
      <c r="O2581" s="18"/>
      <c r="P2581" s="18"/>
      <c r="Q2581" s="22"/>
      <c r="R2581" s="21"/>
      <c r="S2581" s="21"/>
      <c r="T2581" s="21"/>
      <c r="AA2581"/>
      <c r="AH2581" t="str">
        <f t="shared" si="386"/>
        <v>k yet</v>
      </c>
    </row>
    <row r="2582" spans="1:39">
      <c r="A2582" s="42" t="s">
        <v>250</v>
      </c>
      <c r="B2582" s="40" t="str">
        <f t="shared" si="383"/>
        <v>No pick yet</v>
      </c>
      <c r="C2582" s="40" t="str">
        <f t="shared" si="382"/>
        <v>05-&gt;</v>
      </c>
      <c r="D2582" s="40" t="str">
        <f t="shared" si="384"/>
        <v xml:space="preserve">No pick yet                                                 </v>
      </c>
      <c r="E2582" s="52">
        <f t="shared" si="385"/>
        <v>0</v>
      </c>
      <c r="F2582" s="18"/>
      <c r="M2582" s="18"/>
      <c r="N2582" s="18"/>
      <c r="O2582" s="18"/>
      <c r="P2582" s="18"/>
      <c r="Q2582" s="22"/>
      <c r="R2582" s="21"/>
      <c r="S2582" s="21"/>
      <c r="T2582" s="21"/>
      <c r="AA2582"/>
      <c r="AH2582" t="str">
        <f t="shared" si="386"/>
        <v>k yet</v>
      </c>
    </row>
    <row r="2583" spans="1:39">
      <c r="A2583" s="42" t="s">
        <v>251</v>
      </c>
      <c r="B2583" s="40" t="str">
        <f t="shared" si="383"/>
        <v>No pick yet</v>
      </c>
      <c r="C2583" s="40" t="str">
        <f t="shared" si="382"/>
        <v>06-&gt;</v>
      </c>
      <c r="D2583" s="40" t="str">
        <f t="shared" si="384"/>
        <v xml:space="preserve">No pick yet                                                 </v>
      </c>
      <c r="E2583" s="52">
        <f t="shared" si="385"/>
        <v>0</v>
      </c>
      <c r="F2583" s="18"/>
      <c r="M2583" s="18"/>
      <c r="N2583" s="18"/>
      <c r="O2583" s="18"/>
      <c r="P2583" s="18"/>
      <c r="Q2583" s="22"/>
      <c r="R2583" s="21"/>
      <c r="S2583" s="21"/>
      <c r="T2583" s="21"/>
      <c r="AA2583"/>
      <c r="AH2583" t="str">
        <f t="shared" si="386"/>
        <v>k yet</v>
      </c>
    </row>
    <row r="2584" spans="1:39">
      <c r="A2584" s="42" t="s">
        <v>252</v>
      </c>
      <c r="B2584" s="40" t="str">
        <f t="shared" si="383"/>
        <v>No pick yet</v>
      </c>
      <c r="C2584" s="40" t="str">
        <f t="shared" si="382"/>
        <v>07-&gt;</v>
      </c>
      <c r="D2584" s="40" t="str">
        <f t="shared" si="384"/>
        <v xml:space="preserve">No pick yet                                                 </v>
      </c>
      <c r="E2584" s="52">
        <f t="shared" si="385"/>
        <v>0</v>
      </c>
      <c r="F2584" s="18"/>
      <c r="M2584" s="18"/>
      <c r="N2584" s="18"/>
      <c r="O2584" s="18"/>
      <c r="P2584" s="18"/>
      <c r="Q2584" s="22"/>
      <c r="R2584" s="21"/>
      <c r="S2584" s="21"/>
      <c r="T2584" s="21"/>
      <c r="AA2584"/>
      <c r="AH2584" t="str">
        <f t="shared" si="386"/>
        <v>k yet</v>
      </c>
    </row>
    <row r="2585" spans="1:39">
      <c r="A2585" s="42" t="s">
        <v>253</v>
      </c>
      <c r="B2585" s="40" t="str">
        <f t="shared" si="383"/>
        <v>No pick yet</v>
      </c>
      <c r="C2585" s="40" t="str">
        <f t="shared" si="382"/>
        <v>08-&gt;</v>
      </c>
      <c r="D2585" s="40" t="str">
        <f t="shared" si="384"/>
        <v xml:space="preserve">No pick yet                                                 </v>
      </c>
      <c r="E2585" s="52">
        <f t="shared" si="385"/>
        <v>0</v>
      </c>
      <c r="F2585" s="18"/>
      <c r="M2585" s="18"/>
      <c r="N2585" s="18"/>
      <c r="O2585" s="18"/>
      <c r="P2585" s="18"/>
      <c r="Q2585" s="22"/>
      <c r="R2585" s="21"/>
      <c r="S2585" s="21"/>
      <c r="T2585" s="21"/>
      <c r="AA2585"/>
      <c r="AH2585" t="str">
        <f t="shared" si="386"/>
        <v>k yet</v>
      </c>
    </row>
    <row r="2586" spans="1:39">
      <c r="A2586" s="42" t="s">
        <v>254</v>
      </c>
      <c r="B2586" s="40" t="str">
        <f t="shared" si="383"/>
        <v>No pick yet</v>
      </c>
      <c r="C2586" s="40" t="str">
        <f t="shared" si="382"/>
        <v>09-&gt;</v>
      </c>
      <c r="D2586" s="40" t="str">
        <f t="shared" si="384"/>
        <v xml:space="preserve">No pick yet                                                 </v>
      </c>
      <c r="E2586" s="52">
        <f t="shared" si="385"/>
        <v>0</v>
      </c>
      <c r="F2586" s="18"/>
      <c r="M2586" s="18"/>
      <c r="N2586" s="18"/>
      <c r="O2586" s="18"/>
      <c r="P2586" s="18"/>
      <c r="Q2586" s="22"/>
      <c r="R2586" s="21"/>
      <c r="S2586" s="21"/>
      <c r="T2586" s="21"/>
      <c r="AA2586"/>
      <c r="AH2586" t="str">
        <f t="shared" si="386"/>
        <v>k yet</v>
      </c>
    </row>
    <row r="2587" spans="1:39">
      <c r="A2587" s="42" t="s">
        <v>255</v>
      </c>
      <c r="B2587" s="40" t="str">
        <f t="shared" si="383"/>
        <v>No pick yet</v>
      </c>
      <c r="C2587" s="40" t="str">
        <f t="shared" si="382"/>
        <v>10-&gt;</v>
      </c>
      <c r="D2587" s="40" t="str">
        <f t="shared" si="384"/>
        <v xml:space="preserve">No pick yet                                                 </v>
      </c>
      <c r="E2587" s="52">
        <f t="shared" si="385"/>
        <v>0</v>
      </c>
      <c r="F2587" s="22"/>
      <c r="M2587" s="18"/>
      <c r="N2587" s="18"/>
      <c r="O2587" s="18"/>
      <c r="P2587" s="18"/>
      <c r="Q2587" s="22"/>
      <c r="R2587" s="21"/>
      <c r="S2587" s="21"/>
      <c r="T2587" s="21"/>
      <c r="AA2587"/>
      <c r="AH2587" t="str">
        <f t="shared" si="386"/>
        <v>k yet</v>
      </c>
    </row>
    <row r="2588" spans="1:39">
      <c r="A2588" s="42" t="s">
        <v>256</v>
      </c>
      <c r="B2588" s="40" t="str">
        <f t="shared" si="383"/>
        <v>No pick yet</v>
      </c>
      <c r="C2588" s="40" t="str">
        <f t="shared" si="382"/>
        <v>11-&gt;</v>
      </c>
      <c r="D2588" s="40" t="str">
        <f t="shared" si="384"/>
        <v xml:space="preserve">No pick yet                                                 </v>
      </c>
      <c r="E2588" s="52">
        <f t="shared" si="385"/>
        <v>0</v>
      </c>
      <c r="M2588" s="18"/>
      <c r="N2588" s="18"/>
      <c r="O2588" s="18"/>
      <c r="P2588" s="18"/>
      <c r="Q2588" s="22"/>
      <c r="R2588" s="21"/>
      <c r="S2588" s="21"/>
      <c r="T2588" s="21"/>
      <c r="AA2588"/>
      <c r="AH2588" t="str">
        <f t="shared" si="386"/>
        <v>k yet</v>
      </c>
    </row>
    <row r="2589" spans="1:39">
      <c r="A2589" s="42" t="s">
        <v>257</v>
      </c>
      <c r="B2589" s="40" t="str">
        <f t="shared" si="383"/>
        <v>No pick yet</v>
      </c>
      <c r="C2589" s="40" t="str">
        <f t="shared" si="382"/>
        <v>12-&gt;</v>
      </c>
      <c r="D2589" s="40" t="str">
        <f t="shared" si="384"/>
        <v xml:space="preserve">No pick yet                                                 </v>
      </c>
      <c r="E2589" s="52">
        <f t="shared" si="385"/>
        <v>0</v>
      </c>
      <c r="M2589" s="18"/>
      <c r="N2589" s="18"/>
      <c r="O2589" s="18"/>
      <c r="P2589" s="18"/>
      <c r="Q2589" s="22"/>
      <c r="R2589" s="21"/>
      <c r="S2589" s="21"/>
      <c r="T2589" s="21"/>
      <c r="AA2589"/>
      <c r="AH2589" t="str">
        <f t="shared" si="386"/>
        <v>k yet</v>
      </c>
    </row>
    <row r="2590" spans="1:39">
      <c r="A2590" s="42" t="s">
        <v>258</v>
      </c>
      <c r="B2590" s="40" t="str">
        <f t="shared" si="383"/>
        <v>No pick yet</v>
      </c>
      <c r="C2590" s="40" t="str">
        <f t="shared" si="382"/>
        <v>13-&gt;</v>
      </c>
      <c r="D2590" s="40" t="str">
        <f t="shared" si="384"/>
        <v xml:space="preserve">No pick yet                                                 </v>
      </c>
      <c r="E2590" s="52">
        <f t="shared" si="385"/>
        <v>0</v>
      </c>
      <c r="M2590" s="18"/>
      <c r="N2590" s="18"/>
      <c r="O2590" s="18"/>
      <c r="P2590" s="18"/>
      <c r="Q2590" s="22"/>
      <c r="R2590" s="21"/>
      <c r="S2590" s="21"/>
      <c r="T2590" s="21"/>
      <c r="AA2590"/>
      <c r="AH2590" t="str">
        <f t="shared" si="386"/>
        <v>k yet</v>
      </c>
    </row>
    <row r="2591" spans="1:39">
      <c r="A2591" s="42" t="s">
        <v>259</v>
      </c>
      <c r="B2591" s="40" t="str">
        <f t="shared" si="383"/>
        <v>No pick yet</v>
      </c>
      <c r="C2591" s="40" t="str">
        <f t="shared" si="382"/>
        <v>14-&gt;</v>
      </c>
      <c r="D2591" s="40" t="str">
        <f t="shared" si="384"/>
        <v xml:space="preserve">No pick yet                                                 </v>
      </c>
      <c r="E2591" s="52">
        <f t="shared" si="385"/>
        <v>0</v>
      </c>
      <c r="M2591" s="18"/>
      <c r="N2591" s="18"/>
      <c r="O2591" s="18"/>
      <c r="P2591" s="18"/>
      <c r="Q2591" s="22"/>
      <c r="R2591" s="21"/>
      <c r="S2591" s="21"/>
      <c r="T2591" s="21"/>
      <c r="AA2591"/>
      <c r="AH2591" t="str">
        <f t="shared" si="386"/>
        <v>k yet</v>
      </c>
    </row>
    <row r="2592" spans="1:39">
      <c r="A2592" s="42" t="s">
        <v>260</v>
      </c>
      <c r="B2592" s="40" t="str">
        <f t="shared" si="383"/>
        <v>No pick yet</v>
      </c>
      <c r="C2592" s="40" t="str">
        <f t="shared" si="382"/>
        <v>15-&gt;</v>
      </c>
      <c r="D2592" s="40" t="str">
        <f t="shared" si="384"/>
        <v xml:space="preserve">No pick yet                                                 </v>
      </c>
      <c r="E2592" s="52">
        <f t="shared" si="385"/>
        <v>0</v>
      </c>
      <c r="M2592" s="18"/>
      <c r="N2592" s="18"/>
      <c r="O2592" s="18"/>
      <c r="P2592" s="18"/>
      <c r="Q2592" s="22"/>
      <c r="R2592" s="21"/>
      <c r="S2592" s="21"/>
      <c r="T2592" s="21"/>
      <c r="AA2592"/>
      <c r="AH2592" t="str">
        <f t="shared" si="386"/>
        <v>k yet</v>
      </c>
    </row>
    <row r="2593" spans="1:39">
      <c r="A2593" s="42" t="s">
        <v>261</v>
      </c>
      <c r="B2593" s="40" t="str">
        <f t="shared" si="383"/>
        <v>No pick yet</v>
      </c>
      <c r="C2593" s="40" t="str">
        <f t="shared" si="382"/>
        <v>16-&gt;</v>
      </c>
      <c r="D2593" s="40" t="str">
        <f t="shared" si="384"/>
        <v xml:space="preserve">No pick yet                                                 </v>
      </c>
      <c r="E2593" s="52">
        <f t="shared" si="385"/>
        <v>0</v>
      </c>
      <c r="M2593" s="18"/>
      <c r="N2593" s="18"/>
      <c r="O2593" s="18"/>
      <c r="P2593" s="18"/>
      <c r="Q2593" s="22"/>
      <c r="R2593" s="21"/>
      <c r="S2593" s="21"/>
      <c r="T2593" s="21"/>
      <c r="AA2593"/>
      <c r="AH2593" t="str">
        <f t="shared" si="386"/>
        <v>k yet</v>
      </c>
    </row>
    <row r="2594" spans="1:39">
      <c r="A2594" s="42" t="s">
        <v>262</v>
      </c>
      <c r="B2594" s="40" t="str">
        <f t="shared" si="383"/>
        <v>No pick yet</v>
      </c>
      <c r="C2594" s="40" t="str">
        <f t="shared" si="382"/>
        <v>17-&gt;</v>
      </c>
      <c r="D2594" s="40" t="str">
        <f t="shared" si="384"/>
        <v xml:space="preserve">No pick yet                                                 </v>
      </c>
      <c r="E2594" s="52">
        <f t="shared" si="385"/>
        <v>0</v>
      </c>
      <c r="K2594" s="22"/>
      <c r="N2594" s="22"/>
      <c r="O2594" s="22"/>
      <c r="P2594" s="22"/>
      <c r="Q2594" s="22"/>
      <c r="R2594" s="22"/>
      <c r="S2594" s="22"/>
      <c r="Z2594" s="53"/>
      <c r="AA2594"/>
      <c r="AH2594" t="str">
        <f t="shared" si="386"/>
        <v>k yet</v>
      </c>
    </row>
    <row r="2595" spans="1:39">
      <c r="A2595" s="42" t="s">
        <v>263</v>
      </c>
      <c r="B2595" s="40" t="str">
        <f t="shared" si="383"/>
        <v>No pick yet</v>
      </c>
      <c r="C2595" s="40" t="str">
        <f t="shared" si="382"/>
        <v>18-&gt;</v>
      </c>
      <c r="D2595" s="40" t="str">
        <f t="shared" si="384"/>
        <v xml:space="preserve">No pick yet                                                 </v>
      </c>
      <c r="E2595" s="52">
        <f t="shared" si="385"/>
        <v>0</v>
      </c>
      <c r="F2595" s="18"/>
      <c r="L2595" s="21"/>
      <c r="N2595" s="22"/>
      <c r="O2595" s="22"/>
      <c r="P2595" s="18"/>
      <c r="Q2595" s="22"/>
      <c r="R2595" s="22"/>
      <c r="S2595" s="22"/>
      <c r="Z2595" s="53"/>
      <c r="AA2595"/>
      <c r="AH2595" t="str">
        <f t="shared" si="386"/>
        <v>k yet</v>
      </c>
    </row>
    <row r="2596" spans="1:39">
      <c r="A2596" s="42" t="s">
        <v>264</v>
      </c>
      <c r="B2596" s="40" t="str">
        <f t="shared" si="383"/>
        <v>No pick yet</v>
      </c>
      <c r="C2596" s="40" t="str">
        <f t="shared" si="382"/>
        <v>19-&gt;</v>
      </c>
      <c r="D2596" s="40" t="str">
        <f t="shared" si="384"/>
        <v xml:space="preserve">No pick yet                                                 </v>
      </c>
      <c r="E2596" s="52">
        <f t="shared" si="385"/>
        <v>0</v>
      </c>
      <c r="F2596" s="18"/>
      <c r="M2596" s="18"/>
      <c r="N2596" s="18"/>
      <c r="O2596" s="18"/>
      <c r="P2596" s="18"/>
      <c r="Q2596" s="22"/>
      <c r="R2596" s="21"/>
      <c r="S2596" s="21"/>
      <c r="T2596" s="21"/>
      <c r="AA2596"/>
      <c r="AH2596" t="str">
        <f t="shared" si="386"/>
        <v>k yet</v>
      </c>
    </row>
    <row r="2597" spans="1:39">
      <c r="A2597" s="42" t="s">
        <v>265</v>
      </c>
      <c r="B2597" s="40" t="str">
        <f t="shared" si="383"/>
        <v>No pick yet</v>
      </c>
      <c r="C2597" s="40" t="str">
        <f t="shared" si="382"/>
        <v>20-&gt;</v>
      </c>
      <c r="D2597" s="40" t="str">
        <f t="shared" si="384"/>
        <v xml:space="preserve">No pick yet                                                 </v>
      </c>
      <c r="E2597" s="52">
        <f t="shared" si="385"/>
        <v>0</v>
      </c>
      <c r="F2597" s="18"/>
      <c r="M2597" s="18"/>
      <c r="N2597" s="18"/>
      <c r="O2597" s="18"/>
      <c r="P2597" s="18"/>
      <c r="Q2597" s="22"/>
      <c r="R2597" s="21"/>
      <c r="S2597" s="21"/>
      <c r="T2597" s="21"/>
      <c r="AA2597"/>
      <c r="AH2597" t="str">
        <f t="shared" si="386"/>
        <v>k yet</v>
      </c>
    </row>
    <row r="2598" spans="1:39">
      <c r="A2598" s="42" t="s">
        <v>266</v>
      </c>
      <c r="B2598" s="40" t="str">
        <f t="shared" si="383"/>
        <v>No pick yet</v>
      </c>
      <c r="C2598" s="40" t="str">
        <f t="shared" si="382"/>
        <v>21-&gt;</v>
      </c>
      <c r="D2598" s="40" t="str">
        <f t="shared" si="384"/>
        <v xml:space="preserve">No pick yet                                                 </v>
      </c>
      <c r="E2598" s="52">
        <f t="shared" si="385"/>
        <v>0</v>
      </c>
      <c r="F2598" s="18"/>
      <c r="M2598" s="18"/>
      <c r="N2598" s="18"/>
      <c r="O2598" s="18"/>
      <c r="P2598" s="18"/>
      <c r="Q2598" s="22"/>
      <c r="R2598" s="21"/>
      <c r="S2598" s="21"/>
      <c r="T2598" s="21"/>
      <c r="AA2598"/>
      <c r="AH2598" t="str">
        <f t="shared" si="386"/>
        <v>k yet</v>
      </c>
    </row>
    <row r="2599" spans="1:39">
      <c r="A2599" s="42" t="s">
        <v>267</v>
      </c>
      <c r="B2599" s="40" t="str">
        <f t="shared" si="383"/>
        <v>No pick yet</v>
      </c>
      <c r="C2599" s="40" t="str">
        <f t="shared" si="382"/>
        <v>22-&gt;</v>
      </c>
      <c r="D2599" s="40" t="str">
        <f t="shared" si="384"/>
        <v xml:space="preserve">No pick yet                                                 </v>
      </c>
      <c r="E2599" s="52">
        <f t="shared" si="385"/>
        <v>0</v>
      </c>
      <c r="F2599" s="18"/>
      <c r="M2599" s="18"/>
      <c r="N2599" s="18"/>
      <c r="O2599" s="18"/>
      <c r="P2599" s="18"/>
      <c r="Q2599" s="22"/>
      <c r="R2599" s="21"/>
      <c r="S2599" s="21"/>
      <c r="T2599" s="21"/>
      <c r="AA2599"/>
      <c r="AH2599" t="str">
        <f t="shared" si="386"/>
        <v>k yet</v>
      </c>
    </row>
    <row r="2600" spans="1:39">
      <c r="A2600" s="42" t="s">
        <v>268</v>
      </c>
      <c r="B2600" s="40" t="str">
        <f t="shared" si="383"/>
        <v>No pick yet</v>
      </c>
      <c r="C2600" s="40" t="str">
        <f t="shared" si="382"/>
        <v>23-&gt;</v>
      </c>
      <c r="D2600" s="40" t="str">
        <f t="shared" si="384"/>
        <v xml:space="preserve">No pick yet                                                 </v>
      </c>
      <c r="E2600" s="52">
        <f t="shared" si="385"/>
        <v>0</v>
      </c>
      <c r="F2600" s="18"/>
      <c r="M2600" s="18"/>
      <c r="N2600" s="18"/>
      <c r="O2600" s="18"/>
      <c r="P2600" s="18"/>
      <c r="Q2600" s="22"/>
      <c r="R2600" s="21"/>
      <c r="S2600" s="21"/>
      <c r="T2600" s="21"/>
      <c r="AA2600"/>
      <c r="AH2600" t="str">
        <f t="shared" si="386"/>
        <v>k yet</v>
      </c>
    </row>
    <row r="2601" spans="1:39">
      <c r="A2601" s="42" t="s">
        <v>269</v>
      </c>
      <c r="B2601" s="40" t="str">
        <f t="shared" si="383"/>
        <v>No pick yet</v>
      </c>
      <c r="C2601" s="40" t="str">
        <f t="shared" si="382"/>
        <v>24-&gt;</v>
      </c>
      <c r="D2601" s="40" t="str">
        <f t="shared" si="384"/>
        <v xml:space="preserve">No pick yet                                                 </v>
      </c>
      <c r="E2601" s="52">
        <f t="shared" si="385"/>
        <v>0</v>
      </c>
      <c r="F2601" s="18"/>
      <c r="M2601" s="18"/>
      <c r="N2601" s="18"/>
      <c r="O2601" s="18"/>
      <c r="P2601" s="18"/>
      <c r="Q2601" s="22"/>
      <c r="R2601" s="21"/>
      <c r="S2601" s="21"/>
      <c r="T2601" s="21"/>
      <c r="AA2601"/>
      <c r="AH2601" t="str">
        <f t="shared" si="386"/>
        <v>k yet</v>
      </c>
    </row>
    <row r="2602" spans="1:39">
      <c r="A2602" s="42" t="s">
        <v>270</v>
      </c>
      <c r="B2602" s="40" t="str">
        <f t="shared" si="383"/>
        <v>No pick yet</v>
      </c>
      <c r="C2602" s="40" t="str">
        <f t="shared" si="382"/>
        <v>25-&gt;</v>
      </c>
      <c r="D2602" s="40" t="str">
        <f t="shared" si="384"/>
        <v xml:space="preserve">No pick yet                                                 </v>
      </c>
      <c r="E2602" s="52">
        <f t="shared" si="385"/>
        <v>0</v>
      </c>
      <c r="F2602" s="18"/>
      <c r="M2602" s="18"/>
      <c r="N2602" s="18"/>
      <c r="O2602" s="18"/>
      <c r="P2602" s="18"/>
      <c r="Q2602" s="22"/>
      <c r="R2602" s="21"/>
      <c r="S2602" s="21"/>
      <c r="T2602" s="21"/>
      <c r="AA2602"/>
      <c r="AH2602" t="str">
        <f t="shared" si="386"/>
        <v>k yet</v>
      </c>
    </row>
    <row r="2603" spans="1:39">
      <c r="A2603" s="42" t="s">
        <v>271</v>
      </c>
      <c r="B2603" s="40" t="str">
        <f t="shared" si="383"/>
        <v>No pick yet</v>
      </c>
      <c r="C2603" s="40" t="str">
        <f t="shared" si="382"/>
        <v>26-&gt;</v>
      </c>
      <c r="D2603" s="40" t="str">
        <f t="shared" si="384"/>
        <v xml:space="preserve">No pick yet                                                 </v>
      </c>
      <c r="E2603" s="52">
        <f t="shared" si="385"/>
        <v>0</v>
      </c>
      <c r="F2603" s="18"/>
      <c r="M2603" s="18"/>
      <c r="N2603" s="18"/>
      <c r="O2603" s="18"/>
      <c r="P2603" s="18"/>
      <c r="Q2603" s="22"/>
      <c r="R2603" s="21"/>
      <c r="S2603" s="21"/>
      <c r="T2603" s="21"/>
      <c r="AA2603"/>
      <c r="AH2603" t="str">
        <f t="shared" si="386"/>
        <v>k yet</v>
      </c>
    </row>
    <row r="2604" spans="1:39">
      <c r="A2604" s="38"/>
      <c r="B2604" s="40"/>
      <c r="C2604" s="40"/>
      <c r="D2604" s="49"/>
      <c r="E2604" s="41" t="s">
        <v>69</v>
      </c>
      <c r="F2604" s="18"/>
      <c r="K2604" s="22" t="s">
        <v>73</v>
      </c>
      <c r="L2604" s="18" t="s">
        <v>74</v>
      </c>
      <c r="M2604" s="22" t="s">
        <v>78</v>
      </c>
      <c r="N2604" s="22" t="s">
        <v>79</v>
      </c>
      <c r="O2604" s="22" t="s">
        <v>80</v>
      </c>
      <c r="P2604" s="22" t="s">
        <v>81</v>
      </c>
      <c r="Q2604" s="22" t="s">
        <v>82</v>
      </c>
      <c r="R2604" s="22" t="s">
        <v>83</v>
      </c>
      <c r="S2604" s="22" t="s">
        <v>84</v>
      </c>
      <c r="T2604" s="18" t="s">
        <v>85</v>
      </c>
      <c r="U2604" s="18" t="s">
        <v>86</v>
      </c>
      <c r="V2604" s="18" t="s">
        <v>87</v>
      </c>
      <c r="W2604" s="18" t="s">
        <v>88</v>
      </c>
      <c r="X2604" s="18" t="s">
        <v>89</v>
      </c>
      <c r="Y2604" s="18" t="s">
        <v>90</v>
      </c>
      <c r="Z2604" s="18" t="s">
        <v>91</v>
      </c>
      <c r="AA2604" s="18" t="s">
        <v>92</v>
      </c>
      <c r="AB2604" s="18" t="s">
        <v>93</v>
      </c>
      <c r="AC2604" s="18" t="s">
        <v>94</v>
      </c>
      <c r="AD2604" s="18" t="s">
        <v>235</v>
      </c>
      <c r="AE2604" s="18" t="s">
        <v>236</v>
      </c>
      <c r="AF2604" s="18" t="s">
        <v>237</v>
      </c>
      <c r="AG2604" s="18" t="s">
        <v>238</v>
      </c>
      <c r="AH2604" s="18" t="s">
        <v>239</v>
      </c>
      <c r="AI2604" s="18" t="s">
        <v>240</v>
      </c>
      <c r="AJ2604" s="18" t="s">
        <v>241</v>
      </c>
      <c r="AK2604" s="18" t="s">
        <v>242</v>
      </c>
      <c r="AL2604" s="18" t="s">
        <v>243</v>
      </c>
      <c r="AM2604" s="50" t="s">
        <v>244</v>
      </c>
    </row>
    <row r="2605" spans="1:39">
      <c r="A2605" s="40" t="s">
        <v>245</v>
      </c>
      <c r="B2605" s="51" t="str">
        <f>D92</f>
        <v/>
      </c>
      <c r="C2605" s="40" t="str">
        <f t="shared" ref="C2605:C2631" si="387">A2605</f>
        <v>#</v>
      </c>
      <c r="D2605" s="40" t="str">
        <f>"   "&amp;B2605&amp;REPT(" ",$AH$70-LEN(B2605)-3)</f>
        <v xml:space="preserve">                                                            </v>
      </c>
      <c r="E2605" s="38" t="str">
        <f>SUM(E2606:E2631)&amp;" pts[/b]"</f>
        <v>0 pts[/b]</v>
      </c>
      <c r="F2605" s="21">
        <f>SUM(E2606:E2631)</f>
        <v>0</v>
      </c>
      <c r="K2605" s="18">
        <f>COUNTIF(E2606:E2631,"&gt;0")</f>
        <v>0</v>
      </c>
      <c r="L2605" s="21">
        <f>AM2605-K2605</f>
        <v>0</v>
      </c>
      <c r="M2605" s="22">
        <f>MAX(E2606:E2631)</f>
        <v>0</v>
      </c>
      <c r="N2605" s="22">
        <f>LARGE(E2606:E2631,2)</f>
        <v>0</v>
      </c>
      <c r="O2605" s="22">
        <f>LARGE(E2606:E2631,3)</f>
        <v>0</v>
      </c>
      <c r="P2605" s="18">
        <f>LARGE(E2606:E2631,4)</f>
        <v>0</v>
      </c>
      <c r="Q2605" s="22">
        <f>LARGE(E2606:E2631,5)</f>
        <v>0</v>
      </c>
      <c r="R2605" s="22">
        <f>LARGE(E2606:E2631,6)</f>
        <v>0</v>
      </c>
      <c r="S2605" s="22">
        <f>LARGE(E2606:E2631,7)</f>
        <v>0</v>
      </c>
      <c r="T2605" s="18">
        <f>LARGE(E2606:E2631,8)</f>
        <v>0</v>
      </c>
      <c r="U2605" s="18">
        <f>LARGE(E2606:E2631,9)</f>
        <v>0</v>
      </c>
      <c r="V2605" s="18">
        <f>LARGE(E2606:E2631,10)</f>
        <v>0</v>
      </c>
      <c r="W2605" s="18">
        <f>LARGE(E2606:E2631,11)</f>
        <v>0</v>
      </c>
      <c r="X2605" s="18">
        <f>LARGE(E2606:E2631,12)</f>
        <v>0</v>
      </c>
      <c r="Y2605" s="18">
        <f>LARGE(E2606:E2631,13)</f>
        <v>0</v>
      </c>
      <c r="Z2605" s="18">
        <f>LARGE(E2606:E2631,14)</f>
        <v>0</v>
      </c>
      <c r="AA2605" s="18">
        <f>LARGE(E2606:E2631,15)</f>
        <v>0</v>
      </c>
      <c r="AB2605" s="18">
        <f>LARGE(E2606:E2631,16)</f>
        <v>0</v>
      </c>
      <c r="AC2605" s="18">
        <f>LARGE(E2606:E2631,17)</f>
        <v>0</v>
      </c>
      <c r="AD2605" s="18">
        <f>LARGE(E2606:E2632,13)</f>
        <v>0</v>
      </c>
      <c r="AE2605" s="18">
        <f>LARGE(E2606:E2631,19)</f>
        <v>0</v>
      </c>
      <c r="AF2605" s="18">
        <f>LARGE(E2606:E2631,20)</f>
        <v>0</v>
      </c>
      <c r="AG2605" s="18">
        <f>LARGE(E2606:E2631,21)</f>
        <v>0</v>
      </c>
      <c r="AH2605" s="18">
        <f>LARGE(E2606:E2631,22)</f>
        <v>0</v>
      </c>
      <c r="AI2605" s="18">
        <f>LARGE(E2606:E2631,23)</f>
        <v>0</v>
      </c>
      <c r="AJ2605" s="18">
        <f>LARGE(E2606:E2631,24)</f>
        <v>0</v>
      </c>
      <c r="AK2605" s="18">
        <f>LARGE(E2606:E2631,25)</f>
        <v>0</v>
      </c>
      <c r="AL2605" s="18">
        <f>LARGE(E2606:E2631,26)</f>
        <v>0</v>
      </c>
      <c r="AM2605" s="50">
        <f>COUNTIF(B2606:B2631,"&lt;&gt;"&amp;AH74)</f>
        <v>0</v>
      </c>
    </row>
    <row r="2606" spans="1:39">
      <c r="A2606" s="42" t="s">
        <v>246</v>
      </c>
      <c r="B2606" s="40" t="str">
        <f t="shared" ref="B2606:B2631" si="388">$AH$74</f>
        <v>No pick yet</v>
      </c>
      <c r="C2606" s="40" t="str">
        <f t="shared" si="387"/>
        <v>01-&gt;</v>
      </c>
      <c r="D2606" s="40" t="str">
        <f t="shared" ref="D2606:D2631" si="389">B2606&amp;REPT(" ",$AH$70-LEN(B2606))</f>
        <v xml:space="preserve">No pick yet                                                 </v>
      </c>
      <c r="E2606" s="52">
        <f t="shared" ref="E2606:E2631" si="390">VLOOKUP(RIGHT(B2606,LEN(B2606)-$AH$66),$H$138:$I$420,2,0)</f>
        <v>0</v>
      </c>
      <c r="F2606" s="18"/>
      <c r="M2606" s="18"/>
      <c r="N2606" s="18"/>
      <c r="O2606" s="18"/>
      <c r="P2606" s="18"/>
      <c r="Q2606" s="22"/>
      <c r="R2606" s="21"/>
      <c r="S2606" s="21"/>
      <c r="T2606" s="21"/>
      <c r="AA2606"/>
      <c r="AH2606" t="str">
        <f t="shared" ref="AH2606:AH2631" si="391">RIGHT(B2606,LEN(B2606)-$AH$66)</f>
        <v>k yet</v>
      </c>
    </row>
    <row r="2607" spans="1:39">
      <c r="A2607" s="42" t="s">
        <v>247</v>
      </c>
      <c r="B2607" s="40" t="str">
        <f t="shared" si="388"/>
        <v>No pick yet</v>
      </c>
      <c r="C2607" s="40" t="str">
        <f t="shared" si="387"/>
        <v>02-&gt;</v>
      </c>
      <c r="D2607" s="40" t="str">
        <f t="shared" si="389"/>
        <v xml:space="preserve">No pick yet                                                 </v>
      </c>
      <c r="E2607" s="52">
        <f t="shared" si="390"/>
        <v>0</v>
      </c>
      <c r="F2607" s="18"/>
      <c r="K2607" s="22"/>
      <c r="N2607" s="22"/>
      <c r="O2607" s="22"/>
      <c r="P2607" s="22"/>
      <c r="Q2607" s="22"/>
      <c r="R2607" s="22"/>
      <c r="S2607" s="22"/>
      <c r="Z2607" s="53"/>
      <c r="AA2607"/>
      <c r="AH2607" t="str">
        <f t="shared" si="391"/>
        <v>k yet</v>
      </c>
    </row>
    <row r="2608" spans="1:39">
      <c r="A2608" s="42" t="s">
        <v>248</v>
      </c>
      <c r="B2608" s="40" t="str">
        <f t="shared" si="388"/>
        <v>No pick yet</v>
      </c>
      <c r="C2608" s="40" t="str">
        <f t="shared" si="387"/>
        <v>03-&gt;</v>
      </c>
      <c r="D2608" s="40" t="str">
        <f t="shared" si="389"/>
        <v xml:space="preserve">No pick yet                                                 </v>
      </c>
      <c r="E2608" s="52">
        <f t="shared" si="390"/>
        <v>0</v>
      </c>
      <c r="F2608" s="18"/>
      <c r="L2608" s="21"/>
      <c r="N2608" s="22"/>
      <c r="O2608" s="22"/>
      <c r="P2608" s="18"/>
      <c r="Q2608" s="22"/>
      <c r="R2608" s="22"/>
      <c r="S2608" s="22"/>
      <c r="Z2608" s="53"/>
      <c r="AA2608"/>
      <c r="AH2608" t="str">
        <f t="shared" si="391"/>
        <v>k yet</v>
      </c>
    </row>
    <row r="2609" spans="1:34">
      <c r="A2609" s="42" t="s">
        <v>249</v>
      </c>
      <c r="B2609" s="40" t="str">
        <f t="shared" si="388"/>
        <v>No pick yet</v>
      </c>
      <c r="C2609" s="40" t="str">
        <f t="shared" si="387"/>
        <v>04-&gt;</v>
      </c>
      <c r="D2609" s="40" t="str">
        <f t="shared" si="389"/>
        <v xml:space="preserve">No pick yet                                                 </v>
      </c>
      <c r="E2609" s="52">
        <f t="shared" si="390"/>
        <v>0</v>
      </c>
      <c r="F2609" s="18"/>
      <c r="M2609" s="18"/>
      <c r="N2609" s="18"/>
      <c r="O2609" s="18"/>
      <c r="P2609" s="18"/>
      <c r="Q2609" s="22"/>
      <c r="R2609" s="21"/>
      <c r="S2609" s="21"/>
      <c r="T2609" s="21"/>
      <c r="AA2609"/>
      <c r="AH2609" t="str">
        <f t="shared" si="391"/>
        <v>k yet</v>
      </c>
    </row>
    <row r="2610" spans="1:34">
      <c r="A2610" s="42" t="s">
        <v>250</v>
      </c>
      <c r="B2610" s="40" t="str">
        <f t="shared" si="388"/>
        <v>No pick yet</v>
      </c>
      <c r="C2610" s="40" t="str">
        <f t="shared" si="387"/>
        <v>05-&gt;</v>
      </c>
      <c r="D2610" s="40" t="str">
        <f t="shared" si="389"/>
        <v xml:space="preserve">No pick yet                                                 </v>
      </c>
      <c r="E2610" s="52">
        <f t="shared" si="390"/>
        <v>0</v>
      </c>
      <c r="F2610" s="18"/>
      <c r="M2610" s="18"/>
      <c r="N2610" s="18"/>
      <c r="O2610" s="18"/>
      <c r="P2610" s="18"/>
      <c r="Q2610" s="22"/>
      <c r="R2610" s="21"/>
      <c r="S2610" s="21"/>
      <c r="T2610" s="21"/>
      <c r="AA2610"/>
      <c r="AH2610" t="str">
        <f t="shared" si="391"/>
        <v>k yet</v>
      </c>
    </row>
    <row r="2611" spans="1:34">
      <c r="A2611" s="42" t="s">
        <v>251</v>
      </c>
      <c r="B2611" s="40" t="str">
        <f t="shared" si="388"/>
        <v>No pick yet</v>
      </c>
      <c r="C2611" s="40" t="str">
        <f t="shared" si="387"/>
        <v>06-&gt;</v>
      </c>
      <c r="D2611" s="40" t="str">
        <f t="shared" si="389"/>
        <v xml:space="preserve">No pick yet                                                 </v>
      </c>
      <c r="E2611" s="52">
        <f t="shared" si="390"/>
        <v>0</v>
      </c>
      <c r="F2611" s="18"/>
      <c r="M2611" s="18"/>
      <c r="N2611" s="18"/>
      <c r="O2611" s="18"/>
      <c r="P2611" s="18"/>
      <c r="Q2611" s="22"/>
      <c r="R2611" s="21"/>
      <c r="S2611" s="21"/>
      <c r="T2611" s="21"/>
      <c r="AA2611"/>
      <c r="AH2611" t="str">
        <f t="shared" si="391"/>
        <v>k yet</v>
      </c>
    </row>
    <row r="2612" spans="1:34">
      <c r="A2612" s="42" t="s">
        <v>252</v>
      </c>
      <c r="B2612" s="40" t="str">
        <f t="shared" si="388"/>
        <v>No pick yet</v>
      </c>
      <c r="C2612" s="40" t="str">
        <f t="shared" si="387"/>
        <v>07-&gt;</v>
      </c>
      <c r="D2612" s="40" t="str">
        <f t="shared" si="389"/>
        <v xml:space="preserve">No pick yet                                                 </v>
      </c>
      <c r="E2612" s="52">
        <f t="shared" si="390"/>
        <v>0</v>
      </c>
      <c r="F2612" s="18"/>
      <c r="M2612" s="18"/>
      <c r="N2612" s="18"/>
      <c r="O2612" s="18"/>
      <c r="P2612" s="18"/>
      <c r="Q2612" s="22"/>
      <c r="R2612" s="21"/>
      <c r="S2612" s="21"/>
      <c r="T2612" s="21"/>
      <c r="AA2612"/>
      <c r="AH2612" t="str">
        <f t="shared" si="391"/>
        <v>k yet</v>
      </c>
    </row>
    <row r="2613" spans="1:34">
      <c r="A2613" s="42" t="s">
        <v>253</v>
      </c>
      <c r="B2613" s="40" t="str">
        <f t="shared" si="388"/>
        <v>No pick yet</v>
      </c>
      <c r="C2613" s="40" t="str">
        <f t="shared" si="387"/>
        <v>08-&gt;</v>
      </c>
      <c r="D2613" s="40" t="str">
        <f t="shared" si="389"/>
        <v xml:space="preserve">No pick yet                                                 </v>
      </c>
      <c r="E2613" s="52">
        <f t="shared" si="390"/>
        <v>0</v>
      </c>
      <c r="F2613" s="18"/>
      <c r="M2613" s="18"/>
      <c r="N2613" s="18"/>
      <c r="O2613" s="18"/>
      <c r="P2613" s="18"/>
      <c r="Q2613" s="22"/>
      <c r="R2613" s="21"/>
      <c r="S2613" s="21"/>
      <c r="T2613" s="21"/>
      <c r="AA2613"/>
      <c r="AH2613" t="str">
        <f t="shared" si="391"/>
        <v>k yet</v>
      </c>
    </row>
    <row r="2614" spans="1:34">
      <c r="A2614" s="42" t="s">
        <v>254</v>
      </c>
      <c r="B2614" s="40" t="str">
        <f t="shared" si="388"/>
        <v>No pick yet</v>
      </c>
      <c r="C2614" s="40" t="str">
        <f t="shared" si="387"/>
        <v>09-&gt;</v>
      </c>
      <c r="D2614" s="40" t="str">
        <f t="shared" si="389"/>
        <v xml:space="preserve">No pick yet                                                 </v>
      </c>
      <c r="E2614" s="52">
        <f t="shared" si="390"/>
        <v>0</v>
      </c>
      <c r="F2614" s="18"/>
      <c r="M2614" s="18"/>
      <c r="N2614" s="18"/>
      <c r="O2614" s="18"/>
      <c r="P2614" s="18"/>
      <c r="Q2614" s="22"/>
      <c r="R2614" s="21"/>
      <c r="S2614" s="21"/>
      <c r="T2614" s="21"/>
      <c r="AA2614"/>
      <c r="AH2614" t="str">
        <f t="shared" si="391"/>
        <v>k yet</v>
      </c>
    </row>
    <row r="2615" spans="1:34">
      <c r="A2615" s="42" t="s">
        <v>255</v>
      </c>
      <c r="B2615" s="40" t="str">
        <f t="shared" si="388"/>
        <v>No pick yet</v>
      </c>
      <c r="C2615" s="40" t="str">
        <f t="shared" si="387"/>
        <v>10-&gt;</v>
      </c>
      <c r="D2615" s="40" t="str">
        <f t="shared" si="389"/>
        <v xml:space="preserve">No pick yet                                                 </v>
      </c>
      <c r="E2615" s="52">
        <f t="shared" si="390"/>
        <v>0</v>
      </c>
      <c r="F2615" s="22"/>
      <c r="M2615" s="18"/>
      <c r="N2615" s="18"/>
      <c r="O2615" s="18"/>
      <c r="P2615" s="18"/>
      <c r="Q2615" s="22"/>
      <c r="R2615" s="21"/>
      <c r="S2615" s="21"/>
      <c r="T2615" s="21"/>
      <c r="AA2615"/>
      <c r="AH2615" t="str">
        <f t="shared" si="391"/>
        <v>k yet</v>
      </c>
    </row>
    <row r="2616" spans="1:34">
      <c r="A2616" s="42" t="s">
        <v>256</v>
      </c>
      <c r="B2616" s="40" t="str">
        <f t="shared" si="388"/>
        <v>No pick yet</v>
      </c>
      <c r="C2616" s="40" t="str">
        <f t="shared" si="387"/>
        <v>11-&gt;</v>
      </c>
      <c r="D2616" s="40" t="str">
        <f t="shared" si="389"/>
        <v xml:space="preserve">No pick yet                                                 </v>
      </c>
      <c r="E2616" s="52">
        <f t="shared" si="390"/>
        <v>0</v>
      </c>
      <c r="M2616" s="18"/>
      <c r="N2616" s="18"/>
      <c r="O2616" s="18"/>
      <c r="P2616" s="18"/>
      <c r="Q2616" s="22"/>
      <c r="R2616" s="21"/>
      <c r="S2616" s="21"/>
      <c r="T2616" s="21"/>
      <c r="AA2616"/>
      <c r="AH2616" t="str">
        <f t="shared" si="391"/>
        <v>k yet</v>
      </c>
    </row>
    <row r="2617" spans="1:34">
      <c r="A2617" s="42" t="s">
        <v>257</v>
      </c>
      <c r="B2617" s="40" t="str">
        <f t="shared" si="388"/>
        <v>No pick yet</v>
      </c>
      <c r="C2617" s="40" t="str">
        <f t="shared" si="387"/>
        <v>12-&gt;</v>
      </c>
      <c r="D2617" s="40" t="str">
        <f t="shared" si="389"/>
        <v xml:space="preserve">No pick yet                                                 </v>
      </c>
      <c r="E2617" s="52">
        <f t="shared" si="390"/>
        <v>0</v>
      </c>
      <c r="M2617" s="18"/>
      <c r="N2617" s="18"/>
      <c r="O2617" s="18"/>
      <c r="P2617" s="18"/>
      <c r="Q2617" s="22"/>
      <c r="R2617" s="21"/>
      <c r="S2617" s="21"/>
      <c r="T2617" s="21"/>
      <c r="AA2617"/>
      <c r="AH2617" t="str">
        <f t="shared" si="391"/>
        <v>k yet</v>
      </c>
    </row>
    <row r="2618" spans="1:34">
      <c r="A2618" s="42" t="s">
        <v>258</v>
      </c>
      <c r="B2618" s="40" t="str">
        <f t="shared" si="388"/>
        <v>No pick yet</v>
      </c>
      <c r="C2618" s="40" t="str">
        <f t="shared" si="387"/>
        <v>13-&gt;</v>
      </c>
      <c r="D2618" s="40" t="str">
        <f t="shared" si="389"/>
        <v xml:space="preserve">No pick yet                                                 </v>
      </c>
      <c r="E2618" s="52">
        <f t="shared" si="390"/>
        <v>0</v>
      </c>
      <c r="M2618" s="18"/>
      <c r="N2618" s="18"/>
      <c r="O2618" s="18"/>
      <c r="P2618" s="18"/>
      <c r="Q2618" s="22"/>
      <c r="R2618" s="21"/>
      <c r="S2618" s="21"/>
      <c r="T2618" s="21"/>
      <c r="AA2618"/>
      <c r="AH2618" t="str">
        <f t="shared" si="391"/>
        <v>k yet</v>
      </c>
    </row>
    <row r="2619" spans="1:34">
      <c r="A2619" s="42" t="s">
        <v>259</v>
      </c>
      <c r="B2619" s="40" t="str">
        <f t="shared" si="388"/>
        <v>No pick yet</v>
      </c>
      <c r="C2619" s="40" t="str">
        <f t="shared" si="387"/>
        <v>14-&gt;</v>
      </c>
      <c r="D2619" s="40" t="str">
        <f t="shared" si="389"/>
        <v xml:space="preserve">No pick yet                                                 </v>
      </c>
      <c r="E2619" s="52">
        <f t="shared" si="390"/>
        <v>0</v>
      </c>
      <c r="M2619" s="18"/>
      <c r="N2619" s="18"/>
      <c r="O2619" s="18"/>
      <c r="P2619" s="18"/>
      <c r="Q2619" s="22"/>
      <c r="R2619" s="21"/>
      <c r="S2619" s="21"/>
      <c r="T2619" s="21"/>
      <c r="AA2619"/>
      <c r="AH2619" t="str">
        <f t="shared" si="391"/>
        <v>k yet</v>
      </c>
    </row>
    <row r="2620" spans="1:34">
      <c r="A2620" s="42" t="s">
        <v>260</v>
      </c>
      <c r="B2620" s="40" t="str">
        <f t="shared" si="388"/>
        <v>No pick yet</v>
      </c>
      <c r="C2620" s="40" t="str">
        <f t="shared" si="387"/>
        <v>15-&gt;</v>
      </c>
      <c r="D2620" s="40" t="str">
        <f t="shared" si="389"/>
        <v xml:space="preserve">No pick yet                                                 </v>
      </c>
      <c r="E2620" s="52">
        <f t="shared" si="390"/>
        <v>0</v>
      </c>
      <c r="M2620" s="18"/>
      <c r="N2620" s="18"/>
      <c r="O2620" s="18"/>
      <c r="P2620" s="18"/>
      <c r="Q2620" s="22"/>
      <c r="R2620" s="21"/>
      <c r="S2620" s="21"/>
      <c r="T2620" s="21"/>
      <c r="AA2620"/>
      <c r="AH2620" t="str">
        <f t="shared" si="391"/>
        <v>k yet</v>
      </c>
    </row>
    <row r="2621" spans="1:34">
      <c r="A2621" s="42" t="s">
        <v>261</v>
      </c>
      <c r="B2621" s="40" t="str">
        <f t="shared" si="388"/>
        <v>No pick yet</v>
      </c>
      <c r="C2621" s="40" t="str">
        <f t="shared" si="387"/>
        <v>16-&gt;</v>
      </c>
      <c r="D2621" s="40" t="str">
        <f t="shared" si="389"/>
        <v xml:space="preserve">No pick yet                                                 </v>
      </c>
      <c r="E2621" s="52">
        <f t="shared" si="390"/>
        <v>0</v>
      </c>
      <c r="M2621" s="18"/>
      <c r="N2621" s="18"/>
      <c r="O2621" s="18"/>
      <c r="P2621" s="18"/>
      <c r="Q2621" s="22"/>
      <c r="R2621" s="21"/>
      <c r="S2621" s="21"/>
      <c r="T2621" s="21"/>
      <c r="AA2621"/>
      <c r="AH2621" t="str">
        <f t="shared" si="391"/>
        <v>k yet</v>
      </c>
    </row>
    <row r="2622" spans="1:34">
      <c r="A2622" s="42" t="s">
        <v>262</v>
      </c>
      <c r="B2622" s="40" t="str">
        <f t="shared" si="388"/>
        <v>No pick yet</v>
      </c>
      <c r="C2622" s="40" t="str">
        <f t="shared" si="387"/>
        <v>17-&gt;</v>
      </c>
      <c r="D2622" s="40" t="str">
        <f t="shared" si="389"/>
        <v xml:space="preserve">No pick yet                                                 </v>
      </c>
      <c r="E2622" s="52">
        <f t="shared" si="390"/>
        <v>0</v>
      </c>
      <c r="K2622" s="22"/>
      <c r="N2622" s="22"/>
      <c r="O2622" s="22"/>
      <c r="P2622" s="22"/>
      <c r="Q2622" s="22"/>
      <c r="R2622" s="22"/>
      <c r="S2622" s="22"/>
      <c r="Z2622" s="53"/>
      <c r="AA2622"/>
      <c r="AH2622" t="str">
        <f t="shared" si="391"/>
        <v>k yet</v>
      </c>
    </row>
    <row r="2623" spans="1:34">
      <c r="A2623" s="42" t="s">
        <v>263</v>
      </c>
      <c r="B2623" s="40" t="str">
        <f t="shared" si="388"/>
        <v>No pick yet</v>
      </c>
      <c r="C2623" s="40" t="str">
        <f t="shared" si="387"/>
        <v>18-&gt;</v>
      </c>
      <c r="D2623" s="40" t="str">
        <f t="shared" si="389"/>
        <v xml:space="preserve">No pick yet                                                 </v>
      </c>
      <c r="E2623" s="52">
        <f t="shared" si="390"/>
        <v>0</v>
      </c>
      <c r="F2623" s="18"/>
      <c r="L2623" s="21"/>
      <c r="N2623" s="22"/>
      <c r="O2623" s="22"/>
      <c r="P2623" s="18"/>
      <c r="Q2623" s="22"/>
      <c r="R2623" s="22"/>
      <c r="S2623" s="22"/>
      <c r="Z2623" s="53"/>
      <c r="AA2623"/>
      <c r="AH2623" t="str">
        <f t="shared" si="391"/>
        <v>k yet</v>
      </c>
    </row>
    <row r="2624" spans="1:34">
      <c r="A2624" s="42" t="s">
        <v>264</v>
      </c>
      <c r="B2624" s="40" t="str">
        <f t="shared" si="388"/>
        <v>No pick yet</v>
      </c>
      <c r="C2624" s="40" t="str">
        <f t="shared" si="387"/>
        <v>19-&gt;</v>
      </c>
      <c r="D2624" s="40" t="str">
        <f t="shared" si="389"/>
        <v xml:space="preserve">No pick yet                                                 </v>
      </c>
      <c r="E2624" s="52">
        <f t="shared" si="390"/>
        <v>0</v>
      </c>
      <c r="F2624" s="18"/>
      <c r="M2624" s="18"/>
      <c r="N2624" s="18"/>
      <c r="O2624" s="18"/>
      <c r="P2624" s="18"/>
      <c r="Q2624" s="22"/>
      <c r="R2624" s="21"/>
      <c r="S2624" s="21"/>
      <c r="T2624" s="21"/>
      <c r="AA2624"/>
      <c r="AH2624" t="str">
        <f t="shared" si="391"/>
        <v>k yet</v>
      </c>
    </row>
    <row r="2625" spans="1:39">
      <c r="A2625" s="42" t="s">
        <v>265</v>
      </c>
      <c r="B2625" s="40" t="str">
        <f t="shared" si="388"/>
        <v>No pick yet</v>
      </c>
      <c r="C2625" s="40" t="str">
        <f t="shared" si="387"/>
        <v>20-&gt;</v>
      </c>
      <c r="D2625" s="40" t="str">
        <f t="shared" si="389"/>
        <v xml:space="preserve">No pick yet                                                 </v>
      </c>
      <c r="E2625" s="52">
        <f t="shared" si="390"/>
        <v>0</v>
      </c>
      <c r="F2625" s="18"/>
      <c r="M2625" s="18"/>
      <c r="N2625" s="18"/>
      <c r="O2625" s="18"/>
      <c r="P2625" s="18"/>
      <c r="Q2625" s="22"/>
      <c r="R2625" s="21"/>
      <c r="S2625" s="21"/>
      <c r="T2625" s="21"/>
      <c r="AA2625"/>
      <c r="AH2625" t="str">
        <f t="shared" si="391"/>
        <v>k yet</v>
      </c>
    </row>
    <row r="2626" spans="1:39">
      <c r="A2626" s="42" t="s">
        <v>266</v>
      </c>
      <c r="B2626" s="40" t="str">
        <f t="shared" si="388"/>
        <v>No pick yet</v>
      </c>
      <c r="C2626" s="40" t="str">
        <f t="shared" si="387"/>
        <v>21-&gt;</v>
      </c>
      <c r="D2626" s="40" t="str">
        <f t="shared" si="389"/>
        <v xml:space="preserve">No pick yet                                                 </v>
      </c>
      <c r="E2626" s="52">
        <f t="shared" si="390"/>
        <v>0</v>
      </c>
      <c r="F2626" s="18"/>
      <c r="M2626" s="18"/>
      <c r="N2626" s="18"/>
      <c r="O2626" s="18"/>
      <c r="P2626" s="18"/>
      <c r="Q2626" s="22"/>
      <c r="R2626" s="21"/>
      <c r="S2626" s="21"/>
      <c r="T2626" s="21"/>
      <c r="AA2626"/>
      <c r="AH2626" t="str">
        <f t="shared" si="391"/>
        <v>k yet</v>
      </c>
    </row>
    <row r="2627" spans="1:39">
      <c r="A2627" s="42" t="s">
        <v>267</v>
      </c>
      <c r="B2627" s="40" t="str">
        <f t="shared" si="388"/>
        <v>No pick yet</v>
      </c>
      <c r="C2627" s="40" t="str">
        <f t="shared" si="387"/>
        <v>22-&gt;</v>
      </c>
      <c r="D2627" s="40" t="str">
        <f t="shared" si="389"/>
        <v xml:space="preserve">No pick yet                                                 </v>
      </c>
      <c r="E2627" s="52">
        <f t="shared" si="390"/>
        <v>0</v>
      </c>
      <c r="F2627" s="18"/>
      <c r="M2627" s="18"/>
      <c r="N2627" s="18"/>
      <c r="O2627" s="18"/>
      <c r="P2627" s="18"/>
      <c r="Q2627" s="22"/>
      <c r="R2627" s="21"/>
      <c r="S2627" s="21"/>
      <c r="T2627" s="21"/>
      <c r="AA2627"/>
      <c r="AH2627" t="str">
        <f t="shared" si="391"/>
        <v>k yet</v>
      </c>
    </row>
    <row r="2628" spans="1:39">
      <c r="A2628" s="42" t="s">
        <v>268</v>
      </c>
      <c r="B2628" s="40" t="str">
        <f t="shared" si="388"/>
        <v>No pick yet</v>
      </c>
      <c r="C2628" s="40" t="str">
        <f t="shared" si="387"/>
        <v>23-&gt;</v>
      </c>
      <c r="D2628" s="40" t="str">
        <f t="shared" si="389"/>
        <v xml:space="preserve">No pick yet                                                 </v>
      </c>
      <c r="E2628" s="52">
        <f t="shared" si="390"/>
        <v>0</v>
      </c>
      <c r="F2628" s="18"/>
      <c r="M2628" s="18"/>
      <c r="N2628" s="18"/>
      <c r="O2628" s="18"/>
      <c r="P2628" s="18"/>
      <c r="Q2628" s="22"/>
      <c r="R2628" s="21"/>
      <c r="S2628" s="21"/>
      <c r="T2628" s="21"/>
      <c r="AA2628"/>
      <c r="AH2628" t="str">
        <f t="shared" si="391"/>
        <v>k yet</v>
      </c>
    </row>
    <row r="2629" spans="1:39">
      <c r="A2629" s="42" t="s">
        <v>269</v>
      </c>
      <c r="B2629" s="40" t="str">
        <f t="shared" si="388"/>
        <v>No pick yet</v>
      </c>
      <c r="C2629" s="40" t="str">
        <f t="shared" si="387"/>
        <v>24-&gt;</v>
      </c>
      <c r="D2629" s="40" t="str">
        <f t="shared" si="389"/>
        <v xml:space="preserve">No pick yet                                                 </v>
      </c>
      <c r="E2629" s="52">
        <f t="shared" si="390"/>
        <v>0</v>
      </c>
      <c r="F2629" s="18"/>
      <c r="M2629" s="18"/>
      <c r="N2629" s="18"/>
      <c r="O2629" s="18"/>
      <c r="P2629" s="18"/>
      <c r="Q2629" s="22"/>
      <c r="R2629" s="21"/>
      <c r="S2629" s="21"/>
      <c r="T2629" s="21"/>
      <c r="AA2629"/>
      <c r="AH2629" t="str">
        <f t="shared" si="391"/>
        <v>k yet</v>
      </c>
    </row>
    <row r="2630" spans="1:39">
      <c r="A2630" s="42" t="s">
        <v>270</v>
      </c>
      <c r="B2630" s="40" t="str">
        <f t="shared" si="388"/>
        <v>No pick yet</v>
      </c>
      <c r="C2630" s="40" t="str">
        <f t="shared" si="387"/>
        <v>25-&gt;</v>
      </c>
      <c r="D2630" s="40" t="str">
        <f t="shared" si="389"/>
        <v xml:space="preserve">No pick yet                                                 </v>
      </c>
      <c r="E2630" s="52">
        <f t="shared" si="390"/>
        <v>0</v>
      </c>
      <c r="F2630" s="18"/>
      <c r="M2630" s="18"/>
      <c r="N2630" s="18"/>
      <c r="O2630" s="18"/>
      <c r="P2630" s="18"/>
      <c r="Q2630" s="22"/>
      <c r="R2630" s="21"/>
      <c r="S2630" s="21"/>
      <c r="T2630" s="21"/>
      <c r="AA2630"/>
      <c r="AH2630" t="str">
        <f t="shared" si="391"/>
        <v>k yet</v>
      </c>
    </row>
    <row r="2631" spans="1:39">
      <c r="A2631" s="42" t="s">
        <v>271</v>
      </c>
      <c r="B2631" s="40" t="str">
        <f t="shared" si="388"/>
        <v>No pick yet</v>
      </c>
      <c r="C2631" s="40" t="str">
        <f t="shared" si="387"/>
        <v>26-&gt;</v>
      </c>
      <c r="D2631" s="40" t="str">
        <f t="shared" si="389"/>
        <v xml:space="preserve">No pick yet                                                 </v>
      </c>
      <c r="E2631" s="52">
        <f t="shared" si="390"/>
        <v>0</v>
      </c>
      <c r="F2631" s="18"/>
      <c r="M2631" s="18"/>
      <c r="N2631" s="18"/>
      <c r="O2631" s="18"/>
      <c r="P2631" s="18"/>
      <c r="Q2631" s="22"/>
      <c r="R2631" s="21"/>
      <c r="S2631" s="21"/>
      <c r="T2631" s="21"/>
      <c r="AA2631"/>
      <c r="AH2631" t="str">
        <f t="shared" si="391"/>
        <v>k yet</v>
      </c>
    </row>
    <row r="2632" spans="1:39">
      <c r="A2632" s="38"/>
      <c r="B2632" s="40"/>
      <c r="C2632" s="40"/>
      <c r="D2632" s="49"/>
      <c r="E2632" s="41" t="s">
        <v>69</v>
      </c>
      <c r="F2632" s="18"/>
      <c r="K2632" s="22" t="s">
        <v>73</v>
      </c>
      <c r="L2632" s="18" t="s">
        <v>74</v>
      </c>
      <c r="M2632" s="22" t="s">
        <v>78</v>
      </c>
      <c r="N2632" s="22" t="s">
        <v>79</v>
      </c>
      <c r="O2632" s="22" t="s">
        <v>80</v>
      </c>
      <c r="P2632" s="22" t="s">
        <v>81</v>
      </c>
      <c r="Q2632" s="22" t="s">
        <v>82</v>
      </c>
      <c r="R2632" s="22" t="s">
        <v>83</v>
      </c>
      <c r="S2632" s="22" t="s">
        <v>84</v>
      </c>
      <c r="T2632" s="18" t="s">
        <v>85</v>
      </c>
      <c r="U2632" s="18" t="s">
        <v>86</v>
      </c>
      <c r="V2632" s="18" t="s">
        <v>87</v>
      </c>
      <c r="W2632" s="18" t="s">
        <v>88</v>
      </c>
      <c r="X2632" s="18" t="s">
        <v>89</v>
      </c>
      <c r="Y2632" s="18" t="s">
        <v>90</v>
      </c>
      <c r="Z2632" s="18" t="s">
        <v>91</v>
      </c>
      <c r="AA2632" s="18" t="s">
        <v>92</v>
      </c>
      <c r="AB2632" s="18" t="s">
        <v>93</v>
      </c>
      <c r="AC2632" s="18" t="s">
        <v>94</v>
      </c>
      <c r="AD2632" s="18" t="s">
        <v>235</v>
      </c>
      <c r="AE2632" s="18" t="s">
        <v>236</v>
      </c>
      <c r="AF2632" s="18" t="s">
        <v>237</v>
      </c>
      <c r="AG2632" s="18" t="s">
        <v>238</v>
      </c>
      <c r="AH2632" s="18" t="s">
        <v>239</v>
      </c>
      <c r="AI2632" s="18" t="s">
        <v>240</v>
      </c>
      <c r="AJ2632" s="18" t="s">
        <v>241</v>
      </c>
      <c r="AK2632" s="18" t="s">
        <v>242</v>
      </c>
      <c r="AL2632" s="18" t="s">
        <v>243</v>
      </c>
      <c r="AM2632" s="50" t="s">
        <v>244</v>
      </c>
    </row>
    <row r="2633" spans="1:39">
      <c r="A2633" s="40" t="s">
        <v>245</v>
      </c>
      <c r="B2633" s="51" t="str">
        <f>D93</f>
        <v/>
      </c>
      <c r="C2633" s="40" t="str">
        <f t="shared" ref="C2633:C2659" si="392">A2633</f>
        <v>#</v>
      </c>
      <c r="D2633" s="40" t="str">
        <f>"   "&amp;B2633&amp;REPT(" ",$AH$70-LEN(B2633)-3)</f>
        <v xml:space="preserve">                                                            </v>
      </c>
      <c r="E2633" s="38" t="str">
        <f>SUM(E2634:E2659)&amp;" pts[/b]"</f>
        <v>0 pts[/b]</v>
      </c>
      <c r="F2633" s="21">
        <f>SUM(E2634:E2659)</f>
        <v>0</v>
      </c>
      <c r="K2633" s="18">
        <f>COUNTIF(E2634:E2659,"&gt;0")</f>
        <v>0</v>
      </c>
      <c r="L2633" s="21">
        <f>AM2633-K2633</f>
        <v>0</v>
      </c>
      <c r="M2633" s="22">
        <f>MAX(E2634:E2659)</f>
        <v>0</v>
      </c>
      <c r="N2633" s="22">
        <f>LARGE(E2634:E2659,2)</f>
        <v>0</v>
      </c>
      <c r="O2633" s="22">
        <f>LARGE(E2634:E2659,3)</f>
        <v>0</v>
      </c>
      <c r="P2633" s="18">
        <f>LARGE(E2634:E2659,4)</f>
        <v>0</v>
      </c>
      <c r="Q2633" s="22">
        <f>LARGE(E2634:E2659,5)</f>
        <v>0</v>
      </c>
      <c r="R2633" s="22">
        <f>LARGE(E2634:E2659,6)</f>
        <v>0</v>
      </c>
      <c r="S2633" s="22">
        <f>LARGE(E2634:E2659,7)</f>
        <v>0</v>
      </c>
      <c r="T2633" s="18">
        <f>LARGE(E2634:E2659,8)</f>
        <v>0</v>
      </c>
      <c r="U2633" s="18">
        <f>LARGE(E2634:E2659,9)</f>
        <v>0</v>
      </c>
      <c r="V2633" s="18">
        <f>LARGE(E2634:E2659,10)</f>
        <v>0</v>
      </c>
      <c r="W2633" s="18">
        <f>LARGE(E2634:E2659,11)</f>
        <v>0</v>
      </c>
      <c r="X2633" s="18">
        <f>LARGE(E2634:E2659,12)</f>
        <v>0</v>
      </c>
      <c r="Y2633" s="18">
        <f>LARGE(E2634:E2659,13)</f>
        <v>0</v>
      </c>
      <c r="Z2633" s="18">
        <f>LARGE(E2634:E2659,14)</f>
        <v>0</v>
      </c>
      <c r="AA2633" s="18">
        <f>LARGE(E2634:E2659,15)</f>
        <v>0</v>
      </c>
      <c r="AB2633" s="18">
        <f>LARGE(E2634:E2659,16)</f>
        <v>0</v>
      </c>
      <c r="AC2633" s="18">
        <f>LARGE(E2634:E2659,17)</f>
        <v>0</v>
      </c>
      <c r="AD2633" s="18">
        <f>LARGE(E2634:E2660,13)</f>
        <v>0</v>
      </c>
      <c r="AE2633" s="18">
        <f>LARGE(E2634:E2659,19)</f>
        <v>0</v>
      </c>
      <c r="AF2633" s="18">
        <f>LARGE(E2634:E2659,20)</f>
        <v>0</v>
      </c>
      <c r="AG2633" s="18">
        <f>LARGE(E2634:E2659,21)</f>
        <v>0</v>
      </c>
      <c r="AH2633" s="18">
        <f>LARGE(E2634:E2659,22)</f>
        <v>0</v>
      </c>
      <c r="AI2633" s="18">
        <f>LARGE(E2634:E2659,23)</f>
        <v>0</v>
      </c>
      <c r="AJ2633" s="18">
        <f>LARGE(E2634:E2659,24)</f>
        <v>0</v>
      </c>
      <c r="AK2633" s="18">
        <f>LARGE(E2634:E2659,25)</f>
        <v>0</v>
      </c>
      <c r="AL2633" s="18">
        <f>LARGE(E2634:E2659,26)</f>
        <v>0</v>
      </c>
      <c r="AM2633" s="50">
        <f>COUNTIF(B2634:B2659,"&lt;&gt;"&amp;AH74)</f>
        <v>0</v>
      </c>
    </row>
    <row r="2634" spans="1:39">
      <c r="A2634" s="42" t="s">
        <v>246</v>
      </c>
      <c r="B2634" s="40" t="str">
        <f t="shared" ref="B2634:B2659" si="393">$AH$74</f>
        <v>No pick yet</v>
      </c>
      <c r="C2634" s="40" t="str">
        <f t="shared" si="392"/>
        <v>01-&gt;</v>
      </c>
      <c r="D2634" s="40" t="str">
        <f t="shared" ref="D2634:D2659" si="394">B2634&amp;REPT(" ",$AH$70-LEN(B2634))</f>
        <v xml:space="preserve">No pick yet                                                 </v>
      </c>
      <c r="E2634" s="52">
        <f t="shared" ref="E2634:E2659" si="395">VLOOKUP(RIGHT(B2634,LEN(B2634)-$AH$66),$H$138:$I$420,2,0)</f>
        <v>0</v>
      </c>
      <c r="F2634" s="18"/>
      <c r="M2634" s="18"/>
      <c r="N2634" s="18"/>
      <c r="O2634" s="18"/>
      <c r="P2634" s="18"/>
      <c r="Q2634" s="22"/>
      <c r="R2634" s="21"/>
      <c r="S2634" s="21"/>
      <c r="T2634" s="21"/>
      <c r="AA2634"/>
      <c r="AH2634" t="str">
        <f t="shared" ref="AH2634:AH2659" si="396">RIGHT(B2634,LEN(B2634)-$AH$66)</f>
        <v>k yet</v>
      </c>
    </row>
    <row r="2635" spans="1:39">
      <c r="A2635" s="42" t="s">
        <v>247</v>
      </c>
      <c r="B2635" s="40" t="str">
        <f t="shared" si="393"/>
        <v>No pick yet</v>
      </c>
      <c r="C2635" s="40" t="str">
        <f t="shared" si="392"/>
        <v>02-&gt;</v>
      </c>
      <c r="D2635" s="40" t="str">
        <f t="shared" si="394"/>
        <v xml:space="preserve">No pick yet                                                 </v>
      </c>
      <c r="E2635" s="52">
        <f t="shared" si="395"/>
        <v>0</v>
      </c>
      <c r="F2635" s="18"/>
      <c r="K2635" s="22"/>
      <c r="N2635" s="22"/>
      <c r="O2635" s="22"/>
      <c r="P2635" s="22"/>
      <c r="Q2635" s="22"/>
      <c r="R2635" s="22"/>
      <c r="S2635" s="22"/>
      <c r="Z2635" s="53"/>
      <c r="AA2635"/>
      <c r="AH2635" t="str">
        <f t="shared" si="396"/>
        <v>k yet</v>
      </c>
    </row>
    <row r="2636" spans="1:39">
      <c r="A2636" s="42" t="s">
        <v>248</v>
      </c>
      <c r="B2636" s="40" t="str">
        <f t="shared" si="393"/>
        <v>No pick yet</v>
      </c>
      <c r="C2636" s="40" t="str">
        <f t="shared" si="392"/>
        <v>03-&gt;</v>
      </c>
      <c r="D2636" s="40" t="str">
        <f t="shared" si="394"/>
        <v xml:space="preserve">No pick yet                                                 </v>
      </c>
      <c r="E2636" s="52">
        <f t="shared" si="395"/>
        <v>0</v>
      </c>
      <c r="F2636" s="18"/>
      <c r="L2636" s="21"/>
      <c r="N2636" s="22"/>
      <c r="O2636" s="22"/>
      <c r="P2636" s="18"/>
      <c r="Q2636" s="22"/>
      <c r="R2636" s="22"/>
      <c r="S2636" s="22"/>
      <c r="Z2636" s="53"/>
      <c r="AA2636"/>
      <c r="AH2636" t="str">
        <f t="shared" si="396"/>
        <v>k yet</v>
      </c>
    </row>
    <row r="2637" spans="1:39">
      <c r="A2637" s="42" t="s">
        <v>249</v>
      </c>
      <c r="B2637" s="40" t="str">
        <f t="shared" si="393"/>
        <v>No pick yet</v>
      </c>
      <c r="C2637" s="40" t="str">
        <f t="shared" si="392"/>
        <v>04-&gt;</v>
      </c>
      <c r="D2637" s="40" t="str">
        <f t="shared" si="394"/>
        <v xml:space="preserve">No pick yet                                                 </v>
      </c>
      <c r="E2637" s="52">
        <f t="shared" si="395"/>
        <v>0</v>
      </c>
      <c r="F2637" s="18"/>
      <c r="M2637" s="18"/>
      <c r="N2637" s="18"/>
      <c r="O2637" s="18"/>
      <c r="P2637" s="18"/>
      <c r="Q2637" s="22"/>
      <c r="R2637" s="21"/>
      <c r="S2637" s="21"/>
      <c r="T2637" s="21"/>
      <c r="AA2637"/>
      <c r="AH2637" t="str">
        <f t="shared" si="396"/>
        <v>k yet</v>
      </c>
    </row>
    <row r="2638" spans="1:39">
      <c r="A2638" s="42" t="s">
        <v>250</v>
      </c>
      <c r="B2638" s="40" t="str">
        <f t="shared" si="393"/>
        <v>No pick yet</v>
      </c>
      <c r="C2638" s="40" t="str">
        <f t="shared" si="392"/>
        <v>05-&gt;</v>
      </c>
      <c r="D2638" s="40" t="str">
        <f t="shared" si="394"/>
        <v xml:space="preserve">No pick yet                                                 </v>
      </c>
      <c r="E2638" s="52">
        <f t="shared" si="395"/>
        <v>0</v>
      </c>
      <c r="F2638" s="18"/>
      <c r="M2638" s="18"/>
      <c r="N2638" s="18"/>
      <c r="O2638" s="18"/>
      <c r="P2638" s="18"/>
      <c r="Q2638" s="22"/>
      <c r="R2638" s="21"/>
      <c r="S2638" s="21"/>
      <c r="T2638" s="21"/>
      <c r="AA2638"/>
      <c r="AH2638" t="str">
        <f t="shared" si="396"/>
        <v>k yet</v>
      </c>
    </row>
    <row r="2639" spans="1:39">
      <c r="A2639" s="42" t="s">
        <v>251</v>
      </c>
      <c r="B2639" s="40" t="str">
        <f t="shared" si="393"/>
        <v>No pick yet</v>
      </c>
      <c r="C2639" s="40" t="str">
        <f t="shared" si="392"/>
        <v>06-&gt;</v>
      </c>
      <c r="D2639" s="40" t="str">
        <f t="shared" si="394"/>
        <v xml:space="preserve">No pick yet                                                 </v>
      </c>
      <c r="E2639" s="52">
        <f t="shared" si="395"/>
        <v>0</v>
      </c>
      <c r="F2639" s="18"/>
      <c r="M2639" s="18"/>
      <c r="N2639" s="18"/>
      <c r="O2639" s="18"/>
      <c r="P2639" s="18"/>
      <c r="Q2639" s="22"/>
      <c r="R2639" s="21"/>
      <c r="S2639" s="21"/>
      <c r="T2639" s="21"/>
      <c r="AA2639"/>
      <c r="AH2639" t="str">
        <f t="shared" si="396"/>
        <v>k yet</v>
      </c>
    </row>
    <row r="2640" spans="1:39">
      <c r="A2640" s="42" t="s">
        <v>252</v>
      </c>
      <c r="B2640" s="40" t="str">
        <f t="shared" si="393"/>
        <v>No pick yet</v>
      </c>
      <c r="C2640" s="40" t="str">
        <f t="shared" si="392"/>
        <v>07-&gt;</v>
      </c>
      <c r="D2640" s="40" t="str">
        <f t="shared" si="394"/>
        <v xml:space="preserve">No pick yet                                                 </v>
      </c>
      <c r="E2640" s="52">
        <f t="shared" si="395"/>
        <v>0</v>
      </c>
      <c r="F2640" s="18"/>
      <c r="M2640" s="18"/>
      <c r="N2640" s="18"/>
      <c r="O2640" s="18"/>
      <c r="P2640" s="18"/>
      <c r="Q2640" s="22"/>
      <c r="R2640" s="21"/>
      <c r="S2640" s="21"/>
      <c r="T2640" s="21"/>
      <c r="AA2640"/>
      <c r="AH2640" t="str">
        <f t="shared" si="396"/>
        <v>k yet</v>
      </c>
    </row>
    <row r="2641" spans="1:34">
      <c r="A2641" s="42" t="s">
        <v>253</v>
      </c>
      <c r="B2641" s="40" t="str">
        <f t="shared" si="393"/>
        <v>No pick yet</v>
      </c>
      <c r="C2641" s="40" t="str">
        <f t="shared" si="392"/>
        <v>08-&gt;</v>
      </c>
      <c r="D2641" s="40" t="str">
        <f t="shared" si="394"/>
        <v xml:space="preserve">No pick yet                                                 </v>
      </c>
      <c r="E2641" s="52">
        <f t="shared" si="395"/>
        <v>0</v>
      </c>
      <c r="F2641" s="18"/>
      <c r="M2641" s="18"/>
      <c r="N2641" s="18"/>
      <c r="O2641" s="18"/>
      <c r="P2641" s="18"/>
      <c r="Q2641" s="22"/>
      <c r="R2641" s="21"/>
      <c r="S2641" s="21"/>
      <c r="T2641" s="21"/>
      <c r="AA2641"/>
      <c r="AH2641" t="str">
        <f t="shared" si="396"/>
        <v>k yet</v>
      </c>
    </row>
    <row r="2642" spans="1:34">
      <c r="A2642" s="42" t="s">
        <v>254</v>
      </c>
      <c r="B2642" s="40" t="str">
        <f t="shared" si="393"/>
        <v>No pick yet</v>
      </c>
      <c r="C2642" s="40" t="str">
        <f t="shared" si="392"/>
        <v>09-&gt;</v>
      </c>
      <c r="D2642" s="40" t="str">
        <f t="shared" si="394"/>
        <v xml:space="preserve">No pick yet                                                 </v>
      </c>
      <c r="E2642" s="52">
        <f t="shared" si="395"/>
        <v>0</v>
      </c>
      <c r="F2642" s="18"/>
      <c r="M2642" s="18"/>
      <c r="N2642" s="18"/>
      <c r="O2642" s="18"/>
      <c r="P2642" s="18"/>
      <c r="Q2642" s="22"/>
      <c r="R2642" s="21"/>
      <c r="S2642" s="21"/>
      <c r="T2642" s="21"/>
      <c r="AA2642"/>
      <c r="AH2642" t="str">
        <f t="shared" si="396"/>
        <v>k yet</v>
      </c>
    </row>
    <row r="2643" spans="1:34">
      <c r="A2643" s="42" t="s">
        <v>255</v>
      </c>
      <c r="B2643" s="40" t="str">
        <f t="shared" si="393"/>
        <v>No pick yet</v>
      </c>
      <c r="C2643" s="40" t="str">
        <f t="shared" si="392"/>
        <v>10-&gt;</v>
      </c>
      <c r="D2643" s="40" t="str">
        <f t="shared" si="394"/>
        <v xml:space="preserve">No pick yet                                                 </v>
      </c>
      <c r="E2643" s="52">
        <f t="shared" si="395"/>
        <v>0</v>
      </c>
      <c r="F2643" s="22"/>
      <c r="M2643" s="18"/>
      <c r="N2643" s="18"/>
      <c r="O2643" s="18"/>
      <c r="P2643" s="18"/>
      <c r="Q2643" s="22"/>
      <c r="R2643" s="21"/>
      <c r="S2643" s="21"/>
      <c r="T2643" s="21"/>
      <c r="AA2643"/>
      <c r="AH2643" t="str">
        <f t="shared" si="396"/>
        <v>k yet</v>
      </c>
    </row>
    <row r="2644" spans="1:34">
      <c r="A2644" s="42" t="s">
        <v>256</v>
      </c>
      <c r="B2644" s="40" t="str">
        <f t="shared" si="393"/>
        <v>No pick yet</v>
      </c>
      <c r="C2644" s="40" t="str">
        <f t="shared" si="392"/>
        <v>11-&gt;</v>
      </c>
      <c r="D2644" s="40" t="str">
        <f t="shared" si="394"/>
        <v xml:space="preserve">No pick yet                                                 </v>
      </c>
      <c r="E2644" s="52">
        <f t="shared" si="395"/>
        <v>0</v>
      </c>
      <c r="M2644" s="18"/>
      <c r="N2644" s="18"/>
      <c r="O2644" s="18"/>
      <c r="P2644" s="18"/>
      <c r="Q2644" s="22"/>
      <c r="R2644" s="21"/>
      <c r="S2644" s="21"/>
      <c r="T2644" s="21"/>
      <c r="AA2644"/>
      <c r="AH2644" t="str">
        <f t="shared" si="396"/>
        <v>k yet</v>
      </c>
    </row>
    <row r="2645" spans="1:34">
      <c r="A2645" s="42" t="s">
        <v>257</v>
      </c>
      <c r="B2645" s="40" t="str">
        <f t="shared" si="393"/>
        <v>No pick yet</v>
      </c>
      <c r="C2645" s="40" t="str">
        <f t="shared" si="392"/>
        <v>12-&gt;</v>
      </c>
      <c r="D2645" s="40" t="str">
        <f t="shared" si="394"/>
        <v xml:space="preserve">No pick yet                                                 </v>
      </c>
      <c r="E2645" s="52">
        <f t="shared" si="395"/>
        <v>0</v>
      </c>
      <c r="M2645" s="18"/>
      <c r="N2645" s="18"/>
      <c r="O2645" s="18"/>
      <c r="P2645" s="18"/>
      <c r="Q2645" s="22"/>
      <c r="R2645" s="21"/>
      <c r="S2645" s="21"/>
      <c r="T2645" s="21"/>
      <c r="AA2645"/>
      <c r="AH2645" t="str">
        <f t="shared" si="396"/>
        <v>k yet</v>
      </c>
    </row>
    <row r="2646" spans="1:34">
      <c r="A2646" s="42" t="s">
        <v>258</v>
      </c>
      <c r="B2646" s="40" t="str">
        <f t="shared" si="393"/>
        <v>No pick yet</v>
      </c>
      <c r="C2646" s="40" t="str">
        <f t="shared" si="392"/>
        <v>13-&gt;</v>
      </c>
      <c r="D2646" s="40" t="str">
        <f t="shared" si="394"/>
        <v xml:space="preserve">No pick yet                                                 </v>
      </c>
      <c r="E2646" s="52">
        <f t="shared" si="395"/>
        <v>0</v>
      </c>
      <c r="M2646" s="18"/>
      <c r="N2646" s="18"/>
      <c r="O2646" s="18"/>
      <c r="P2646" s="18"/>
      <c r="Q2646" s="22"/>
      <c r="R2646" s="21"/>
      <c r="S2646" s="21"/>
      <c r="T2646" s="21"/>
      <c r="AA2646"/>
      <c r="AH2646" t="str">
        <f t="shared" si="396"/>
        <v>k yet</v>
      </c>
    </row>
    <row r="2647" spans="1:34">
      <c r="A2647" s="42" t="s">
        <v>259</v>
      </c>
      <c r="B2647" s="40" t="str">
        <f t="shared" si="393"/>
        <v>No pick yet</v>
      </c>
      <c r="C2647" s="40" t="str">
        <f t="shared" si="392"/>
        <v>14-&gt;</v>
      </c>
      <c r="D2647" s="40" t="str">
        <f t="shared" si="394"/>
        <v xml:space="preserve">No pick yet                                                 </v>
      </c>
      <c r="E2647" s="52">
        <f t="shared" si="395"/>
        <v>0</v>
      </c>
      <c r="M2647" s="18"/>
      <c r="N2647" s="18"/>
      <c r="O2647" s="18"/>
      <c r="P2647" s="18"/>
      <c r="Q2647" s="22"/>
      <c r="R2647" s="21"/>
      <c r="S2647" s="21"/>
      <c r="T2647" s="21"/>
      <c r="AA2647"/>
      <c r="AH2647" t="str">
        <f t="shared" si="396"/>
        <v>k yet</v>
      </c>
    </row>
    <row r="2648" spans="1:34">
      <c r="A2648" s="42" t="s">
        <v>260</v>
      </c>
      <c r="B2648" s="40" t="str">
        <f t="shared" si="393"/>
        <v>No pick yet</v>
      </c>
      <c r="C2648" s="40" t="str">
        <f t="shared" si="392"/>
        <v>15-&gt;</v>
      </c>
      <c r="D2648" s="40" t="str">
        <f t="shared" si="394"/>
        <v xml:space="preserve">No pick yet                                                 </v>
      </c>
      <c r="E2648" s="52">
        <f t="shared" si="395"/>
        <v>0</v>
      </c>
      <c r="M2648" s="18"/>
      <c r="N2648" s="18"/>
      <c r="O2648" s="18"/>
      <c r="P2648" s="18"/>
      <c r="Q2648" s="22"/>
      <c r="R2648" s="21"/>
      <c r="S2648" s="21"/>
      <c r="T2648" s="21"/>
      <c r="AA2648"/>
      <c r="AH2648" t="str">
        <f t="shared" si="396"/>
        <v>k yet</v>
      </c>
    </row>
    <row r="2649" spans="1:34">
      <c r="A2649" s="42" t="s">
        <v>261</v>
      </c>
      <c r="B2649" s="40" t="str">
        <f t="shared" si="393"/>
        <v>No pick yet</v>
      </c>
      <c r="C2649" s="40" t="str">
        <f t="shared" si="392"/>
        <v>16-&gt;</v>
      </c>
      <c r="D2649" s="40" t="str">
        <f t="shared" si="394"/>
        <v xml:space="preserve">No pick yet                                                 </v>
      </c>
      <c r="E2649" s="52">
        <f t="shared" si="395"/>
        <v>0</v>
      </c>
      <c r="M2649" s="18"/>
      <c r="N2649" s="18"/>
      <c r="O2649" s="18"/>
      <c r="P2649" s="18"/>
      <c r="Q2649" s="22"/>
      <c r="R2649" s="21"/>
      <c r="S2649" s="21"/>
      <c r="T2649" s="21"/>
      <c r="AA2649"/>
      <c r="AH2649" t="str">
        <f t="shared" si="396"/>
        <v>k yet</v>
      </c>
    </row>
    <row r="2650" spans="1:34">
      <c r="A2650" s="42" t="s">
        <v>262</v>
      </c>
      <c r="B2650" s="40" t="str">
        <f t="shared" si="393"/>
        <v>No pick yet</v>
      </c>
      <c r="C2650" s="40" t="str">
        <f t="shared" si="392"/>
        <v>17-&gt;</v>
      </c>
      <c r="D2650" s="40" t="str">
        <f t="shared" si="394"/>
        <v xml:space="preserve">No pick yet                                                 </v>
      </c>
      <c r="E2650" s="52">
        <f t="shared" si="395"/>
        <v>0</v>
      </c>
      <c r="K2650" s="22"/>
      <c r="N2650" s="22"/>
      <c r="O2650" s="22"/>
      <c r="P2650" s="22"/>
      <c r="Q2650" s="22"/>
      <c r="R2650" s="22"/>
      <c r="S2650" s="22"/>
      <c r="Z2650" s="53"/>
      <c r="AA2650"/>
      <c r="AH2650" t="str">
        <f t="shared" si="396"/>
        <v>k yet</v>
      </c>
    </row>
    <row r="2651" spans="1:34">
      <c r="A2651" s="42" t="s">
        <v>263</v>
      </c>
      <c r="B2651" s="40" t="str">
        <f t="shared" si="393"/>
        <v>No pick yet</v>
      </c>
      <c r="C2651" s="40" t="str">
        <f t="shared" si="392"/>
        <v>18-&gt;</v>
      </c>
      <c r="D2651" s="40" t="str">
        <f t="shared" si="394"/>
        <v xml:space="preserve">No pick yet                                                 </v>
      </c>
      <c r="E2651" s="52">
        <f t="shared" si="395"/>
        <v>0</v>
      </c>
      <c r="F2651" s="18"/>
      <c r="L2651" s="21"/>
      <c r="N2651" s="22"/>
      <c r="O2651" s="22"/>
      <c r="P2651" s="18"/>
      <c r="Q2651" s="22"/>
      <c r="R2651" s="22"/>
      <c r="S2651" s="22"/>
      <c r="Z2651" s="53"/>
      <c r="AA2651"/>
      <c r="AH2651" t="str">
        <f t="shared" si="396"/>
        <v>k yet</v>
      </c>
    </row>
    <row r="2652" spans="1:34">
      <c r="A2652" s="42" t="s">
        <v>264</v>
      </c>
      <c r="B2652" s="40" t="str">
        <f t="shared" si="393"/>
        <v>No pick yet</v>
      </c>
      <c r="C2652" s="40" t="str">
        <f t="shared" si="392"/>
        <v>19-&gt;</v>
      </c>
      <c r="D2652" s="40" t="str">
        <f t="shared" si="394"/>
        <v xml:space="preserve">No pick yet                                                 </v>
      </c>
      <c r="E2652" s="52">
        <f t="shared" si="395"/>
        <v>0</v>
      </c>
      <c r="F2652" s="18"/>
      <c r="M2652" s="18"/>
      <c r="N2652" s="18"/>
      <c r="O2652" s="18"/>
      <c r="P2652" s="18"/>
      <c r="Q2652" s="22"/>
      <c r="R2652" s="21"/>
      <c r="S2652" s="21"/>
      <c r="T2652" s="21"/>
      <c r="AA2652"/>
      <c r="AH2652" t="str">
        <f t="shared" si="396"/>
        <v>k yet</v>
      </c>
    </row>
    <row r="2653" spans="1:34">
      <c r="A2653" s="42" t="s">
        <v>265</v>
      </c>
      <c r="B2653" s="40" t="str">
        <f t="shared" si="393"/>
        <v>No pick yet</v>
      </c>
      <c r="C2653" s="40" t="str">
        <f t="shared" si="392"/>
        <v>20-&gt;</v>
      </c>
      <c r="D2653" s="40" t="str">
        <f t="shared" si="394"/>
        <v xml:space="preserve">No pick yet                                                 </v>
      </c>
      <c r="E2653" s="52">
        <f t="shared" si="395"/>
        <v>0</v>
      </c>
      <c r="F2653" s="18"/>
      <c r="M2653" s="18"/>
      <c r="N2653" s="18"/>
      <c r="O2653" s="18"/>
      <c r="P2653" s="18"/>
      <c r="Q2653" s="22"/>
      <c r="R2653" s="21"/>
      <c r="S2653" s="21"/>
      <c r="T2653" s="21"/>
      <c r="AA2653"/>
      <c r="AH2653" t="str">
        <f t="shared" si="396"/>
        <v>k yet</v>
      </c>
    </row>
    <row r="2654" spans="1:34">
      <c r="A2654" s="42" t="s">
        <v>266</v>
      </c>
      <c r="B2654" s="40" t="str">
        <f t="shared" si="393"/>
        <v>No pick yet</v>
      </c>
      <c r="C2654" s="40" t="str">
        <f t="shared" si="392"/>
        <v>21-&gt;</v>
      </c>
      <c r="D2654" s="40" t="str">
        <f t="shared" si="394"/>
        <v xml:space="preserve">No pick yet                                                 </v>
      </c>
      <c r="E2654" s="52">
        <f t="shared" si="395"/>
        <v>0</v>
      </c>
      <c r="F2654" s="18"/>
      <c r="M2654" s="18"/>
      <c r="N2654" s="18"/>
      <c r="O2654" s="18"/>
      <c r="P2654" s="18"/>
      <c r="Q2654" s="22"/>
      <c r="R2654" s="21"/>
      <c r="S2654" s="21"/>
      <c r="T2654" s="21"/>
      <c r="AA2654"/>
      <c r="AH2654" t="str">
        <f t="shared" si="396"/>
        <v>k yet</v>
      </c>
    </row>
    <row r="2655" spans="1:34">
      <c r="A2655" s="42" t="s">
        <v>267</v>
      </c>
      <c r="B2655" s="40" t="str">
        <f t="shared" si="393"/>
        <v>No pick yet</v>
      </c>
      <c r="C2655" s="40" t="str">
        <f t="shared" si="392"/>
        <v>22-&gt;</v>
      </c>
      <c r="D2655" s="40" t="str">
        <f t="shared" si="394"/>
        <v xml:space="preserve">No pick yet                                                 </v>
      </c>
      <c r="E2655" s="52">
        <f t="shared" si="395"/>
        <v>0</v>
      </c>
      <c r="F2655" s="18"/>
      <c r="M2655" s="18"/>
      <c r="N2655" s="18"/>
      <c r="O2655" s="18"/>
      <c r="P2655" s="18"/>
      <c r="Q2655" s="22"/>
      <c r="R2655" s="21"/>
      <c r="S2655" s="21"/>
      <c r="T2655" s="21"/>
      <c r="AA2655"/>
      <c r="AH2655" t="str">
        <f t="shared" si="396"/>
        <v>k yet</v>
      </c>
    </row>
    <row r="2656" spans="1:34">
      <c r="A2656" s="42" t="s">
        <v>268</v>
      </c>
      <c r="B2656" s="40" t="str">
        <f t="shared" si="393"/>
        <v>No pick yet</v>
      </c>
      <c r="C2656" s="40" t="str">
        <f t="shared" si="392"/>
        <v>23-&gt;</v>
      </c>
      <c r="D2656" s="40" t="str">
        <f t="shared" si="394"/>
        <v xml:space="preserve">No pick yet                                                 </v>
      </c>
      <c r="E2656" s="52">
        <f t="shared" si="395"/>
        <v>0</v>
      </c>
      <c r="F2656" s="18"/>
      <c r="M2656" s="18"/>
      <c r="N2656" s="18"/>
      <c r="O2656" s="18"/>
      <c r="P2656" s="18"/>
      <c r="Q2656" s="22"/>
      <c r="R2656" s="21"/>
      <c r="S2656" s="21"/>
      <c r="T2656" s="21"/>
      <c r="AA2656"/>
      <c r="AH2656" t="str">
        <f t="shared" si="396"/>
        <v>k yet</v>
      </c>
    </row>
    <row r="2657" spans="1:39">
      <c r="A2657" s="42" t="s">
        <v>269</v>
      </c>
      <c r="B2657" s="40" t="str">
        <f t="shared" si="393"/>
        <v>No pick yet</v>
      </c>
      <c r="C2657" s="40" t="str">
        <f t="shared" si="392"/>
        <v>24-&gt;</v>
      </c>
      <c r="D2657" s="40" t="str">
        <f t="shared" si="394"/>
        <v xml:space="preserve">No pick yet                                                 </v>
      </c>
      <c r="E2657" s="52">
        <f t="shared" si="395"/>
        <v>0</v>
      </c>
      <c r="F2657" s="18"/>
      <c r="M2657" s="18"/>
      <c r="N2657" s="18"/>
      <c r="O2657" s="18"/>
      <c r="P2657" s="18"/>
      <c r="Q2657" s="22"/>
      <c r="R2657" s="21"/>
      <c r="S2657" s="21"/>
      <c r="T2657" s="21"/>
      <c r="AA2657"/>
      <c r="AH2657" t="str">
        <f t="shared" si="396"/>
        <v>k yet</v>
      </c>
    </row>
    <row r="2658" spans="1:39">
      <c r="A2658" s="42" t="s">
        <v>270</v>
      </c>
      <c r="B2658" s="40" t="str">
        <f t="shared" si="393"/>
        <v>No pick yet</v>
      </c>
      <c r="C2658" s="40" t="str">
        <f t="shared" si="392"/>
        <v>25-&gt;</v>
      </c>
      <c r="D2658" s="40" t="str">
        <f t="shared" si="394"/>
        <v xml:space="preserve">No pick yet                                                 </v>
      </c>
      <c r="E2658" s="52">
        <f t="shared" si="395"/>
        <v>0</v>
      </c>
      <c r="F2658" s="18"/>
      <c r="M2658" s="18"/>
      <c r="N2658" s="18"/>
      <c r="O2658" s="18"/>
      <c r="P2658" s="18"/>
      <c r="Q2658" s="22"/>
      <c r="R2658" s="21"/>
      <c r="S2658" s="21"/>
      <c r="T2658" s="21"/>
      <c r="AA2658"/>
      <c r="AH2658" t="str">
        <f t="shared" si="396"/>
        <v>k yet</v>
      </c>
    </row>
    <row r="2659" spans="1:39">
      <c r="A2659" s="42" t="s">
        <v>271</v>
      </c>
      <c r="B2659" s="40" t="str">
        <f t="shared" si="393"/>
        <v>No pick yet</v>
      </c>
      <c r="C2659" s="40" t="str">
        <f t="shared" si="392"/>
        <v>26-&gt;</v>
      </c>
      <c r="D2659" s="40" t="str">
        <f t="shared" si="394"/>
        <v xml:space="preserve">No pick yet                                                 </v>
      </c>
      <c r="E2659" s="52">
        <f t="shared" si="395"/>
        <v>0</v>
      </c>
      <c r="F2659" s="18"/>
      <c r="M2659" s="18"/>
      <c r="N2659" s="18"/>
      <c r="O2659" s="18"/>
      <c r="P2659" s="18"/>
      <c r="Q2659" s="22"/>
      <c r="R2659" s="21"/>
      <c r="S2659" s="21"/>
      <c r="T2659" s="21"/>
      <c r="AA2659"/>
      <c r="AH2659" t="str">
        <f t="shared" si="396"/>
        <v>k yet</v>
      </c>
    </row>
    <row r="2660" spans="1:39">
      <c r="A2660" s="38"/>
      <c r="B2660" s="40"/>
      <c r="C2660" s="40"/>
      <c r="D2660" s="49"/>
      <c r="E2660" s="41" t="s">
        <v>69</v>
      </c>
      <c r="F2660" s="18"/>
      <c r="K2660" s="22" t="s">
        <v>73</v>
      </c>
      <c r="L2660" s="18" t="s">
        <v>74</v>
      </c>
      <c r="M2660" s="22" t="s">
        <v>78</v>
      </c>
      <c r="N2660" s="22" t="s">
        <v>79</v>
      </c>
      <c r="O2660" s="22" t="s">
        <v>80</v>
      </c>
      <c r="P2660" s="22" t="s">
        <v>81</v>
      </c>
      <c r="Q2660" s="22" t="s">
        <v>82</v>
      </c>
      <c r="R2660" s="22" t="s">
        <v>83</v>
      </c>
      <c r="S2660" s="22" t="s">
        <v>84</v>
      </c>
      <c r="T2660" s="18" t="s">
        <v>85</v>
      </c>
      <c r="U2660" s="18" t="s">
        <v>86</v>
      </c>
      <c r="V2660" s="18" t="s">
        <v>87</v>
      </c>
      <c r="W2660" s="18" t="s">
        <v>88</v>
      </c>
      <c r="X2660" s="18" t="s">
        <v>89</v>
      </c>
      <c r="Y2660" s="18" t="s">
        <v>90</v>
      </c>
      <c r="Z2660" s="18" t="s">
        <v>91</v>
      </c>
      <c r="AA2660" s="18" t="s">
        <v>92</v>
      </c>
      <c r="AB2660" s="18" t="s">
        <v>93</v>
      </c>
      <c r="AC2660" s="18" t="s">
        <v>94</v>
      </c>
      <c r="AD2660" s="18" t="s">
        <v>235</v>
      </c>
      <c r="AE2660" s="18" t="s">
        <v>236</v>
      </c>
      <c r="AF2660" s="18" t="s">
        <v>237</v>
      </c>
      <c r="AG2660" s="18" t="s">
        <v>238</v>
      </c>
      <c r="AH2660" s="18" t="s">
        <v>239</v>
      </c>
      <c r="AI2660" s="18" t="s">
        <v>240</v>
      </c>
      <c r="AJ2660" s="18" t="s">
        <v>241</v>
      </c>
      <c r="AK2660" s="18" t="s">
        <v>242</v>
      </c>
      <c r="AL2660" s="18" t="s">
        <v>243</v>
      </c>
      <c r="AM2660" s="50" t="s">
        <v>244</v>
      </c>
    </row>
    <row r="2661" spans="1:39">
      <c r="A2661" s="40" t="s">
        <v>245</v>
      </c>
      <c r="B2661" s="51" t="str">
        <f>D94</f>
        <v/>
      </c>
      <c r="C2661" s="40" t="str">
        <f t="shared" ref="C2661:C2687" si="397">A2661</f>
        <v>#</v>
      </c>
      <c r="D2661" s="40" t="str">
        <f>"   "&amp;B2661&amp;REPT(" ",$AH$70-LEN(B2661)-3)</f>
        <v xml:space="preserve">                                                            </v>
      </c>
      <c r="E2661" s="38" t="str">
        <f>SUM(E2662:E2687)&amp;" pts[/b]"</f>
        <v>0 pts[/b]</v>
      </c>
      <c r="F2661" s="21">
        <f>SUM(E2662:E2687)</f>
        <v>0</v>
      </c>
      <c r="K2661" s="18">
        <f>COUNTIF(E2662:E2687,"&gt;0")</f>
        <v>0</v>
      </c>
      <c r="L2661" s="21">
        <f>AM2661-K2661</f>
        <v>0</v>
      </c>
      <c r="M2661" s="22">
        <f>MAX(E2662:E2687)</f>
        <v>0</v>
      </c>
      <c r="N2661" s="22">
        <f>LARGE(E2662:E2687,2)</f>
        <v>0</v>
      </c>
      <c r="O2661" s="22">
        <f>LARGE(E2662:E2687,3)</f>
        <v>0</v>
      </c>
      <c r="P2661" s="18">
        <f>LARGE(E2662:E2687,4)</f>
        <v>0</v>
      </c>
      <c r="Q2661" s="22">
        <f>LARGE(E2662:E2687,5)</f>
        <v>0</v>
      </c>
      <c r="R2661" s="22">
        <f>LARGE(E2662:E2687,6)</f>
        <v>0</v>
      </c>
      <c r="S2661" s="22">
        <f>LARGE(E2662:E2687,7)</f>
        <v>0</v>
      </c>
      <c r="T2661" s="18">
        <f>LARGE(E2662:E2687,8)</f>
        <v>0</v>
      </c>
      <c r="U2661" s="18">
        <f>LARGE(E2662:E2687,9)</f>
        <v>0</v>
      </c>
      <c r="V2661" s="18">
        <f>LARGE(E2662:E2687,10)</f>
        <v>0</v>
      </c>
      <c r="W2661" s="18">
        <f>LARGE(E2662:E2687,11)</f>
        <v>0</v>
      </c>
      <c r="X2661" s="18">
        <f>LARGE(E2662:E2687,12)</f>
        <v>0</v>
      </c>
      <c r="Y2661" s="18">
        <f>LARGE(E2662:E2687,13)</f>
        <v>0</v>
      </c>
      <c r="Z2661" s="18">
        <f>LARGE(E2662:E2687,14)</f>
        <v>0</v>
      </c>
      <c r="AA2661" s="18">
        <f>LARGE(E2662:E2687,15)</f>
        <v>0</v>
      </c>
      <c r="AB2661" s="18">
        <f>LARGE(E2662:E2687,16)</f>
        <v>0</v>
      </c>
      <c r="AC2661" s="18">
        <f>LARGE(E2662:E2687,17)</f>
        <v>0</v>
      </c>
      <c r="AD2661" s="18">
        <f>LARGE(E2662:E2688,13)</f>
        <v>0</v>
      </c>
      <c r="AE2661" s="18">
        <f>LARGE(E2662:E2687,19)</f>
        <v>0</v>
      </c>
      <c r="AF2661" s="18">
        <f>LARGE(E2662:E2687,20)</f>
        <v>0</v>
      </c>
      <c r="AG2661" s="18">
        <f>LARGE(E2662:E2687,21)</f>
        <v>0</v>
      </c>
      <c r="AH2661" s="18">
        <f>LARGE(E2662:E2687,22)</f>
        <v>0</v>
      </c>
      <c r="AI2661" s="18">
        <f>LARGE(E2662:E2687,23)</f>
        <v>0</v>
      </c>
      <c r="AJ2661" s="18">
        <f>LARGE(E2662:E2687,24)</f>
        <v>0</v>
      </c>
      <c r="AK2661" s="18">
        <f>LARGE(E2662:E2687,25)</f>
        <v>0</v>
      </c>
      <c r="AL2661" s="18">
        <f>LARGE(E2662:E2687,26)</f>
        <v>0</v>
      </c>
      <c r="AM2661" s="50">
        <f>COUNTIF(B2662:B2687,"&lt;&gt;"&amp;AH74)</f>
        <v>0</v>
      </c>
    </row>
    <row r="2662" spans="1:39">
      <c r="A2662" s="42" t="s">
        <v>246</v>
      </c>
      <c r="B2662" s="40" t="str">
        <f t="shared" ref="B2662:B2687" si="398">$AH$74</f>
        <v>No pick yet</v>
      </c>
      <c r="C2662" s="40" t="str">
        <f t="shared" si="397"/>
        <v>01-&gt;</v>
      </c>
      <c r="D2662" s="40" t="str">
        <f t="shared" ref="D2662:D2687" si="399">B2662&amp;REPT(" ",$AH$70-LEN(B2662))</f>
        <v xml:space="preserve">No pick yet                                                 </v>
      </c>
      <c r="E2662" s="52">
        <f t="shared" ref="E2662:E2687" si="400">VLOOKUP(RIGHT(B2662,LEN(B2662)-$AH$66),$H$138:$I$420,2,0)</f>
        <v>0</v>
      </c>
      <c r="F2662" s="18"/>
      <c r="M2662" s="18"/>
      <c r="N2662" s="18"/>
      <c r="O2662" s="18"/>
      <c r="P2662" s="18"/>
      <c r="Q2662" s="22"/>
      <c r="R2662" s="21"/>
      <c r="S2662" s="21"/>
      <c r="T2662" s="21"/>
      <c r="AA2662"/>
      <c r="AH2662" t="str">
        <f t="shared" ref="AH2662:AH2687" si="401">RIGHT(B2662,LEN(B2662)-$AH$66)</f>
        <v>k yet</v>
      </c>
    </row>
    <row r="2663" spans="1:39">
      <c r="A2663" s="42" t="s">
        <v>247</v>
      </c>
      <c r="B2663" s="40" t="str">
        <f t="shared" si="398"/>
        <v>No pick yet</v>
      </c>
      <c r="C2663" s="40" t="str">
        <f t="shared" si="397"/>
        <v>02-&gt;</v>
      </c>
      <c r="D2663" s="40" t="str">
        <f t="shared" si="399"/>
        <v xml:space="preserve">No pick yet                                                 </v>
      </c>
      <c r="E2663" s="52">
        <f t="shared" si="400"/>
        <v>0</v>
      </c>
      <c r="F2663" s="18"/>
      <c r="K2663" s="22"/>
      <c r="N2663" s="22"/>
      <c r="O2663" s="22"/>
      <c r="P2663" s="22"/>
      <c r="Q2663" s="22"/>
      <c r="R2663" s="22"/>
      <c r="S2663" s="22"/>
      <c r="Z2663" s="53"/>
      <c r="AA2663"/>
      <c r="AH2663" t="str">
        <f t="shared" si="401"/>
        <v>k yet</v>
      </c>
    </row>
    <row r="2664" spans="1:39">
      <c r="A2664" s="42" t="s">
        <v>248</v>
      </c>
      <c r="B2664" s="40" t="str">
        <f t="shared" si="398"/>
        <v>No pick yet</v>
      </c>
      <c r="C2664" s="40" t="str">
        <f t="shared" si="397"/>
        <v>03-&gt;</v>
      </c>
      <c r="D2664" s="40" t="str">
        <f t="shared" si="399"/>
        <v xml:space="preserve">No pick yet                                                 </v>
      </c>
      <c r="E2664" s="52">
        <f t="shared" si="400"/>
        <v>0</v>
      </c>
      <c r="F2664" s="18"/>
      <c r="L2664" s="21"/>
      <c r="N2664" s="22"/>
      <c r="O2664" s="22"/>
      <c r="P2664" s="18"/>
      <c r="Q2664" s="22"/>
      <c r="R2664" s="22"/>
      <c r="S2664" s="22"/>
      <c r="Z2664" s="53"/>
      <c r="AA2664"/>
      <c r="AH2664" t="str">
        <f t="shared" si="401"/>
        <v>k yet</v>
      </c>
    </row>
    <row r="2665" spans="1:39">
      <c r="A2665" s="42" t="s">
        <v>249</v>
      </c>
      <c r="B2665" s="40" t="str">
        <f t="shared" si="398"/>
        <v>No pick yet</v>
      </c>
      <c r="C2665" s="40" t="str">
        <f t="shared" si="397"/>
        <v>04-&gt;</v>
      </c>
      <c r="D2665" s="40" t="str">
        <f t="shared" si="399"/>
        <v xml:space="preserve">No pick yet                                                 </v>
      </c>
      <c r="E2665" s="52">
        <f t="shared" si="400"/>
        <v>0</v>
      </c>
      <c r="F2665" s="18"/>
      <c r="M2665" s="18"/>
      <c r="N2665" s="18"/>
      <c r="O2665" s="18"/>
      <c r="P2665" s="18"/>
      <c r="Q2665" s="22"/>
      <c r="R2665" s="21"/>
      <c r="S2665" s="21"/>
      <c r="T2665" s="21"/>
      <c r="AA2665"/>
      <c r="AH2665" t="str">
        <f t="shared" si="401"/>
        <v>k yet</v>
      </c>
    </row>
    <row r="2666" spans="1:39">
      <c r="A2666" s="42" t="s">
        <v>250</v>
      </c>
      <c r="B2666" s="40" t="str">
        <f t="shared" si="398"/>
        <v>No pick yet</v>
      </c>
      <c r="C2666" s="40" t="str">
        <f t="shared" si="397"/>
        <v>05-&gt;</v>
      </c>
      <c r="D2666" s="40" t="str">
        <f t="shared" si="399"/>
        <v xml:space="preserve">No pick yet                                                 </v>
      </c>
      <c r="E2666" s="52">
        <f t="shared" si="400"/>
        <v>0</v>
      </c>
      <c r="F2666" s="18"/>
      <c r="M2666" s="18"/>
      <c r="N2666" s="18"/>
      <c r="O2666" s="18"/>
      <c r="P2666" s="18"/>
      <c r="Q2666" s="22"/>
      <c r="R2666" s="21"/>
      <c r="S2666" s="21"/>
      <c r="T2666" s="21"/>
      <c r="AA2666"/>
      <c r="AH2666" t="str">
        <f t="shared" si="401"/>
        <v>k yet</v>
      </c>
    </row>
    <row r="2667" spans="1:39">
      <c r="A2667" s="42" t="s">
        <v>251</v>
      </c>
      <c r="B2667" s="40" t="str">
        <f t="shared" si="398"/>
        <v>No pick yet</v>
      </c>
      <c r="C2667" s="40" t="str">
        <f t="shared" si="397"/>
        <v>06-&gt;</v>
      </c>
      <c r="D2667" s="40" t="str">
        <f t="shared" si="399"/>
        <v xml:space="preserve">No pick yet                                                 </v>
      </c>
      <c r="E2667" s="52">
        <f t="shared" si="400"/>
        <v>0</v>
      </c>
      <c r="F2667" s="18"/>
      <c r="M2667" s="18"/>
      <c r="N2667" s="18"/>
      <c r="O2667" s="18"/>
      <c r="P2667" s="18"/>
      <c r="Q2667" s="22"/>
      <c r="R2667" s="21"/>
      <c r="S2667" s="21"/>
      <c r="T2667" s="21"/>
      <c r="AA2667"/>
      <c r="AH2667" t="str">
        <f t="shared" si="401"/>
        <v>k yet</v>
      </c>
    </row>
    <row r="2668" spans="1:39">
      <c r="A2668" s="42" t="s">
        <v>252</v>
      </c>
      <c r="B2668" s="40" t="str">
        <f t="shared" si="398"/>
        <v>No pick yet</v>
      </c>
      <c r="C2668" s="40" t="str">
        <f t="shared" si="397"/>
        <v>07-&gt;</v>
      </c>
      <c r="D2668" s="40" t="str">
        <f t="shared" si="399"/>
        <v xml:space="preserve">No pick yet                                                 </v>
      </c>
      <c r="E2668" s="52">
        <f t="shared" si="400"/>
        <v>0</v>
      </c>
      <c r="F2668" s="18"/>
      <c r="M2668" s="18"/>
      <c r="N2668" s="18"/>
      <c r="O2668" s="18"/>
      <c r="P2668" s="18"/>
      <c r="Q2668" s="22"/>
      <c r="R2668" s="21"/>
      <c r="S2668" s="21"/>
      <c r="T2668" s="21"/>
      <c r="AA2668"/>
      <c r="AH2668" t="str">
        <f t="shared" si="401"/>
        <v>k yet</v>
      </c>
    </row>
    <row r="2669" spans="1:39">
      <c r="A2669" s="42" t="s">
        <v>253</v>
      </c>
      <c r="B2669" s="40" t="str">
        <f t="shared" si="398"/>
        <v>No pick yet</v>
      </c>
      <c r="C2669" s="40" t="str">
        <f t="shared" si="397"/>
        <v>08-&gt;</v>
      </c>
      <c r="D2669" s="40" t="str">
        <f t="shared" si="399"/>
        <v xml:space="preserve">No pick yet                                                 </v>
      </c>
      <c r="E2669" s="52">
        <f t="shared" si="400"/>
        <v>0</v>
      </c>
      <c r="F2669" s="18"/>
      <c r="M2669" s="18"/>
      <c r="N2669" s="18"/>
      <c r="O2669" s="18"/>
      <c r="P2669" s="18"/>
      <c r="Q2669" s="22"/>
      <c r="R2669" s="21"/>
      <c r="S2669" s="21"/>
      <c r="T2669" s="21"/>
      <c r="AA2669"/>
      <c r="AH2669" t="str">
        <f t="shared" si="401"/>
        <v>k yet</v>
      </c>
    </row>
    <row r="2670" spans="1:39">
      <c r="A2670" s="42" t="s">
        <v>254</v>
      </c>
      <c r="B2670" s="40" t="str">
        <f t="shared" si="398"/>
        <v>No pick yet</v>
      </c>
      <c r="C2670" s="40" t="str">
        <f t="shared" si="397"/>
        <v>09-&gt;</v>
      </c>
      <c r="D2670" s="40" t="str">
        <f t="shared" si="399"/>
        <v xml:space="preserve">No pick yet                                                 </v>
      </c>
      <c r="E2670" s="52">
        <f t="shared" si="400"/>
        <v>0</v>
      </c>
      <c r="F2670" s="18"/>
      <c r="M2670" s="18"/>
      <c r="N2670" s="18"/>
      <c r="O2670" s="18"/>
      <c r="P2670" s="18"/>
      <c r="Q2670" s="22"/>
      <c r="R2670" s="21"/>
      <c r="S2670" s="21"/>
      <c r="T2670" s="21"/>
      <c r="AA2670"/>
      <c r="AH2670" t="str">
        <f t="shared" si="401"/>
        <v>k yet</v>
      </c>
    </row>
    <row r="2671" spans="1:39">
      <c r="A2671" s="42" t="s">
        <v>255</v>
      </c>
      <c r="B2671" s="40" t="str">
        <f t="shared" si="398"/>
        <v>No pick yet</v>
      </c>
      <c r="C2671" s="40" t="str">
        <f t="shared" si="397"/>
        <v>10-&gt;</v>
      </c>
      <c r="D2671" s="40" t="str">
        <f t="shared" si="399"/>
        <v xml:space="preserve">No pick yet                                                 </v>
      </c>
      <c r="E2671" s="52">
        <f t="shared" si="400"/>
        <v>0</v>
      </c>
      <c r="F2671" s="22"/>
      <c r="M2671" s="18"/>
      <c r="N2671" s="18"/>
      <c r="O2671" s="18"/>
      <c r="P2671" s="18"/>
      <c r="Q2671" s="22"/>
      <c r="R2671" s="21"/>
      <c r="S2671" s="21"/>
      <c r="T2671" s="21"/>
      <c r="AA2671"/>
      <c r="AH2671" t="str">
        <f t="shared" si="401"/>
        <v>k yet</v>
      </c>
    </row>
    <row r="2672" spans="1:39">
      <c r="A2672" s="42" t="s">
        <v>256</v>
      </c>
      <c r="B2672" s="40" t="str">
        <f t="shared" si="398"/>
        <v>No pick yet</v>
      </c>
      <c r="C2672" s="40" t="str">
        <f t="shared" si="397"/>
        <v>11-&gt;</v>
      </c>
      <c r="D2672" s="40" t="str">
        <f t="shared" si="399"/>
        <v xml:space="preserve">No pick yet                                                 </v>
      </c>
      <c r="E2672" s="52">
        <f t="shared" si="400"/>
        <v>0</v>
      </c>
      <c r="M2672" s="18"/>
      <c r="N2672" s="18"/>
      <c r="O2672" s="18"/>
      <c r="P2672" s="18"/>
      <c r="Q2672" s="22"/>
      <c r="R2672" s="21"/>
      <c r="S2672" s="21"/>
      <c r="T2672" s="21"/>
      <c r="AA2672"/>
      <c r="AH2672" t="str">
        <f t="shared" si="401"/>
        <v>k yet</v>
      </c>
    </row>
    <row r="2673" spans="1:39">
      <c r="A2673" s="42" t="s">
        <v>257</v>
      </c>
      <c r="B2673" s="40" t="str">
        <f t="shared" si="398"/>
        <v>No pick yet</v>
      </c>
      <c r="C2673" s="40" t="str">
        <f t="shared" si="397"/>
        <v>12-&gt;</v>
      </c>
      <c r="D2673" s="40" t="str">
        <f t="shared" si="399"/>
        <v xml:space="preserve">No pick yet                                                 </v>
      </c>
      <c r="E2673" s="52">
        <f t="shared" si="400"/>
        <v>0</v>
      </c>
      <c r="M2673" s="18"/>
      <c r="N2673" s="18"/>
      <c r="O2673" s="18"/>
      <c r="P2673" s="18"/>
      <c r="Q2673" s="22"/>
      <c r="R2673" s="21"/>
      <c r="S2673" s="21"/>
      <c r="T2673" s="21"/>
      <c r="AA2673"/>
      <c r="AH2673" t="str">
        <f t="shared" si="401"/>
        <v>k yet</v>
      </c>
    </row>
    <row r="2674" spans="1:39">
      <c r="A2674" s="42" t="s">
        <v>258</v>
      </c>
      <c r="B2674" s="40" t="str">
        <f t="shared" si="398"/>
        <v>No pick yet</v>
      </c>
      <c r="C2674" s="40" t="str">
        <f t="shared" si="397"/>
        <v>13-&gt;</v>
      </c>
      <c r="D2674" s="40" t="str">
        <f t="shared" si="399"/>
        <v xml:space="preserve">No pick yet                                                 </v>
      </c>
      <c r="E2674" s="52">
        <f t="shared" si="400"/>
        <v>0</v>
      </c>
      <c r="M2674" s="18"/>
      <c r="N2674" s="18"/>
      <c r="O2674" s="18"/>
      <c r="P2674" s="18"/>
      <c r="Q2674" s="22"/>
      <c r="R2674" s="21"/>
      <c r="S2674" s="21"/>
      <c r="T2674" s="21"/>
      <c r="AA2674"/>
      <c r="AH2674" t="str">
        <f t="shared" si="401"/>
        <v>k yet</v>
      </c>
    </row>
    <row r="2675" spans="1:39">
      <c r="A2675" s="42" t="s">
        <v>259</v>
      </c>
      <c r="B2675" s="40" t="str">
        <f t="shared" si="398"/>
        <v>No pick yet</v>
      </c>
      <c r="C2675" s="40" t="str">
        <f t="shared" si="397"/>
        <v>14-&gt;</v>
      </c>
      <c r="D2675" s="40" t="str">
        <f t="shared" si="399"/>
        <v xml:space="preserve">No pick yet                                                 </v>
      </c>
      <c r="E2675" s="52">
        <f t="shared" si="400"/>
        <v>0</v>
      </c>
      <c r="M2675" s="18"/>
      <c r="N2675" s="18"/>
      <c r="O2675" s="18"/>
      <c r="P2675" s="18"/>
      <c r="Q2675" s="22"/>
      <c r="R2675" s="21"/>
      <c r="S2675" s="21"/>
      <c r="T2675" s="21"/>
      <c r="AA2675"/>
      <c r="AH2675" t="str">
        <f t="shared" si="401"/>
        <v>k yet</v>
      </c>
    </row>
    <row r="2676" spans="1:39">
      <c r="A2676" s="42" t="s">
        <v>260</v>
      </c>
      <c r="B2676" s="40" t="str">
        <f t="shared" si="398"/>
        <v>No pick yet</v>
      </c>
      <c r="C2676" s="40" t="str">
        <f t="shared" si="397"/>
        <v>15-&gt;</v>
      </c>
      <c r="D2676" s="40" t="str">
        <f t="shared" si="399"/>
        <v xml:space="preserve">No pick yet                                                 </v>
      </c>
      <c r="E2676" s="52">
        <f t="shared" si="400"/>
        <v>0</v>
      </c>
      <c r="M2676" s="18"/>
      <c r="N2676" s="18"/>
      <c r="O2676" s="18"/>
      <c r="P2676" s="18"/>
      <c r="Q2676" s="22"/>
      <c r="R2676" s="21"/>
      <c r="S2676" s="21"/>
      <c r="T2676" s="21"/>
      <c r="AA2676"/>
      <c r="AH2676" t="str">
        <f t="shared" si="401"/>
        <v>k yet</v>
      </c>
    </row>
    <row r="2677" spans="1:39">
      <c r="A2677" s="42" t="s">
        <v>261</v>
      </c>
      <c r="B2677" s="40" t="str">
        <f t="shared" si="398"/>
        <v>No pick yet</v>
      </c>
      <c r="C2677" s="40" t="str">
        <f t="shared" si="397"/>
        <v>16-&gt;</v>
      </c>
      <c r="D2677" s="40" t="str">
        <f t="shared" si="399"/>
        <v xml:space="preserve">No pick yet                                                 </v>
      </c>
      <c r="E2677" s="52">
        <f t="shared" si="400"/>
        <v>0</v>
      </c>
      <c r="M2677" s="18"/>
      <c r="N2677" s="18"/>
      <c r="O2677" s="18"/>
      <c r="P2677" s="18"/>
      <c r="Q2677" s="22"/>
      <c r="R2677" s="21"/>
      <c r="S2677" s="21"/>
      <c r="T2677" s="21"/>
      <c r="AA2677"/>
      <c r="AH2677" t="str">
        <f t="shared" si="401"/>
        <v>k yet</v>
      </c>
    </row>
    <row r="2678" spans="1:39">
      <c r="A2678" s="42" t="s">
        <v>262</v>
      </c>
      <c r="B2678" s="40" t="str">
        <f t="shared" si="398"/>
        <v>No pick yet</v>
      </c>
      <c r="C2678" s="40" t="str">
        <f t="shared" si="397"/>
        <v>17-&gt;</v>
      </c>
      <c r="D2678" s="40" t="str">
        <f t="shared" si="399"/>
        <v xml:space="preserve">No pick yet                                                 </v>
      </c>
      <c r="E2678" s="52">
        <f t="shared" si="400"/>
        <v>0</v>
      </c>
      <c r="K2678" s="22"/>
      <c r="N2678" s="22"/>
      <c r="O2678" s="22"/>
      <c r="P2678" s="22"/>
      <c r="Q2678" s="22"/>
      <c r="R2678" s="22"/>
      <c r="S2678" s="22"/>
      <c r="Z2678" s="53"/>
      <c r="AA2678"/>
      <c r="AH2678" t="str">
        <f t="shared" si="401"/>
        <v>k yet</v>
      </c>
    </row>
    <row r="2679" spans="1:39">
      <c r="A2679" s="42" t="s">
        <v>263</v>
      </c>
      <c r="B2679" s="40" t="str">
        <f t="shared" si="398"/>
        <v>No pick yet</v>
      </c>
      <c r="C2679" s="40" t="str">
        <f t="shared" si="397"/>
        <v>18-&gt;</v>
      </c>
      <c r="D2679" s="40" t="str">
        <f t="shared" si="399"/>
        <v xml:space="preserve">No pick yet                                                 </v>
      </c>
      <c r="E2679" s="52">
        <f t="shared" si="400"/>
        <v>0</v>
      </c>
      <c r="F2679" s="18"/>
      <c r="L2679" s="21"/>
      <c r="N2679" s="22"/>
      <c r="O2679" s="22"/>
      <c r="P2679" s="18"/>
      <c r="Q2679" s="22"/>
      <c r="R2679" s="22"/>
      <c r="S2679" s="22"/>
      <c r="Z2679" s="53"/>
      <c r="AA2679"/>
      <c r="AH2679" t="str">
        <f t="shared" si="401"/>
        <v>k yet</v>
      </c>
    </row>
    <row r="2680" spans="1:39">
      <c r="A2680" s="42" t="s">
        <v>264</v>
      </c>
      <c r="B2680" s="40" t="str">
        <f t="shared" si="398"/>
        <v>No pick yet</v>
      </c>
      <c r="C2680" s="40" t="str">
        <f t="shared" si="397"/>
        <v>19-&gt;</v>
      </c>
      <c r="D2680" s="40" t="str">
        <f t="shared" si="399"/>
        <v xml:space="preserve">No pick yet                                                 </v>
      </c>
      <c r="E2680" s="52">
        <f t="shared" si="400"/>
        <v>0</v>
      </c>
      <c r="F2680" s="18"/>
      <c r="M2680" s="18"/>
      <c r="N2680" s="18"/>
      <c r="O2680" s="18"/>
      <c r="P2680" s="18"/>
      <c r="Q2680" s="22"/>
      <c r="R2680" s="21"/>
      <c r="S2680" s="21"/>
      <c r="T2680" s="21"/>
      <c r="AA2680"/>
      <c r="AH2680" t="str">
        <f t="shared" si="401"/>
        <v>k yet</v>
      </c>
    </row>
    <row r="2681" spans="1:39">
      <c r="A2681" s="42" t="s">
        <v>265</v>
      </c>
      <c r="B2681" s="40" t="str">
        <f t="shared" si="398"/>
        <v>No pick yet</v>
      </c>
      <c r="C2681" s="40" t="str">
        <f t="shared" si="397"/>
        <v>20-&gt;</v>
      </c>
      <c r="D2681" s="40" t="str">
        <f t="shared" si="399"/>
        <v xml:space="preserve">No pick yet                                                 </v>
      </c>
      <c r="E2681" s="52">
        <f t="shared" si="400"/>
        <v>0</v>
      </c>
      <c r="F2681" s="18"/>
      <c r="M2681" s="18"/>
      <c r="N2681" s="18"/>
      <c r="O2681" s="18"/>
      <c r="P2681" s="18"/>
      <c r="Q2681" s="22"/>
      <c r="R2681" s="21"/>
      <c r="S2681" s="21"/>
      <c r="T2681" s="21"/>
      <c r="AA2681"/>
      <c r="AH2681" t="str">
        <f t="shared" si="401"/>
        <v>k yet</v>
      </c>
    </row>
    <row r="2682" spans="1:39">
      <c r="A2682" s="42" t="s">
        <v>266</v>
      </c>
      <c r="B2682" s="40" t="str">
        <f t="shared" si="398"/>
        <v>No pick yet</v>
      </c>
      <c r="C2682" s="40" t="str">
        <f t="shared" si="397"/>
        <v>21-&gt;</v>
      </c>
      <c r="D2682" s="40" t="str">
        <f t="shared" si="399"/>
        <v xml:space="preserve">No pick yet                                                 </v>
      </c>
      <c r="E2682" s="52">
        <f t="shared" si="400"/>
        <v>0</v>
      </c>
      <c r="F2682" s="18"/>
      <c r="M2682" s="18"/>
      <c r="N2682" s="18"/>
      <c r="O2682" s="18"/>
      <c r="P2682" s="18"/>
      <c r="Q2682" s="22"/>
      <c r="R2682" s="21"/>
      <c r="S2682" s="21"/>
      <c r="T2682" s="21"/>
      <c r="AA2682"/>
      <c r="AH2682" t="str">
        <f t="shared" si="401"/>
        <v>k yet</v>
      </c>
    </row>
    <row r="2683" spans="1:39">
      <c r="A2683" s="42" t="s">
        <v>267</v>
      </c>
      <c r="B2683" s="40" t="str">
        <f t="shared" si="398"/>
        <v>No pick yet</v>
      </c>
      <c r="C2683" s="40" t="str">
        <f t="shared" si="397"/>
        <v>22-&gt;</v>
      </c>
      <c r="D2683" s="40" t="str">
        <f t="shared" si="399"/>
        <v xml:space="preserve">No pick yet                                                 </v>
      </c>
      <c r="E2683" s="52">
        <f t="shared" si="400"/>
        <v>0</v>
      </c>
      <c r="F2683" s="18"/>
      <c r="M2683" s="18"/>
      <c r="N2683" s="18"/>
      <c r="O2683" s="18"/>
      <c r="P2683" s="18"/>
      <c r="Q2683" s="22"/>
      <c r="R2683" s="21"/>
      <c r="S2683" s="21"/>
      <c r="T2683" s="21"/>
      <c r="AA2683"/>
      <c r="AH2683" t="str">
        <f t="shared" si="401"/>
        <v>k yet</v>
      </c>
    </row>
    <row r="2684" spans="1:39">
      <c r="A2684" s="42" t="s">
        <v>268</v>
      </c>
      <c r="B2684" s="40" t="str">
        <f t="shared" si="398"/>
        <v>No pick yet</v>
      </c>
      <c r="C2684" s="40" t="str">
        <f t="shared" si="397"/>
        <v>23-&gt;</v>
      </c>
      <c r="D2684" s="40" t="str">
        <f t="shared" si="399"/>
        <v xml:space="preserve">No pick yet                                                 </v>
      </c>
      <c r="E2684" s="52">
        <f t="shared" si="400"/>
        <v>0</v>
      </c>
      <c r="F2684" s="18"/>
      <c r="M2684" s="18"/>
      <c r="N2684" s="18"/>
      <c r="O2684" s="18"/>
      <c r="P2684" s="18"/>
      <c r="Q2684" s="22"/>
      <c r="R2684" s="21"/>
      <c r="S2684" s="21"/>
      <c r="T2684" s="21"/>
      <c r="AA2684"/>
      <c r="AH2684" t="str">
        <f t="shared" si="401"/>
        <v>k yet</v>
      </c>
    </row>
    <row r="2685" spans="1:39">
      <c r="A2685" s="42" t="s">
        <v>269</v>
      </c>
      <c r="B2685" s="40" t="str">
        <f t="shared" si="398"/>
        <v>No pick yet</v>
      </c>
      <c r="C2685" s="40" t="str">
        <f t="shared" si="397"/>
        <v>24-&gt;</v>
      </c>
      <c r="D2685" s="40" t="str">
        <f t="shared" si="399"/>
        <v xml:space="preserve">No pick yet                                                 </v>
      </c>
      <c r="E2685" s="52">
        <f t="shared" si="400"/>
        <v>0</v>
      </c>
      <c r="F2685" s="18"/>
      <c r="M2685" s="18"/>
      <c r="N2685" s="18"/>
      <c r="O2685" s="18"/>
      <c r="P2685" s="18"/>
      <c r="Q2685" s="22"/>
      <c r="R2685" s="21"/>
      <c r="S2685" s="21"/>
      <c r="T2685" s="21"/>
      <c r="AA2685"/>
      <c r="AH2685" t="str">
        <f t="shared" si="401"/>
        <v>k yet</v>
      </c>
    </row>
    <row r="2686" spans="1:39">
      <c r="A2686" s="42" t="s">
        <v>270</v>
      </c>
      <c r="B2686" s="40" t="str">
        <f t="shared" si="398"/>
        <v>No pick yet</v>
      </c>
      <c r="C2686" s="40" t="str">
        <f t="shared" si="397"/>
        <v>25-&gt;</v>
      </c>
      <c r="D2686" s="40" t="str">
        <f t="shared" si="399"/>
        <v xml:space="preserve">No pick yet                                                 </v>
      </c>
      <c r="E2686" s="52">
        <f t="shared" si="400"/>
        <v>0</v>
      </c>
      <c r="F2686" s="18"/>
      <c r="M2686" s="18"/>
      <c r="N2686" s="18"/>
      <c r="O2686" s="18"/>
      <c r="P2686" s="18"/>
      <c r="Q2686" s="22"/>
      <c r="R2686" s="21"/>
      <c r="S2686" s="21"/>
      <c r="T2686" s="21"/>
      <c r="AA2686"/>
      <c r="AH2686" t="str">
        <f t="shared" si="401"/>
        <v>k yet</v>
      </c>
    </row>
    <row r="2687" spans="1:39">
      <c r="A2687" s="42" t="s">
        <v>271</v>
      </c>
      <c r="B2687" s="40" t="str">
        <f t="shared" si="398"/>
        <v>No pick yet</v>
      </c>
      <c r="C2687" s="40" t="str">
        <f t="shared" si="397"/>
        <v>26-&gt;</v>
      </c>
      <c r="D2687" s="40" t="str">
        <f t="shared" si="399"/>
        <v xml:space="preserve">No pick yet                                                 </v>
      </c>
      <c r="E2687" s="52">
        <f t="shared" si="400"/>
        <v>0</v>
      </c>
      <c r="F2687" s="18"/>
      <c r="M2687" s="18"/>
      <c r="N2687" s="18"/>
      <c r="O2687" s="18"/>
      <c r="P2687" s="18"/>
      <c r="Q2687" s="22"/>
      <c r="R2687" s="21"/>
      <c r="S2687" s="21"/>
      <c r="T2687" s="21"/>
      <c r="AA2687"/>
      <c r="AH2687" t="str">
        <f t="shared" si="401"/>
        <v>k yet</v>
      </c>
    </row>
    <row r="2688" spans="1:39">
      <c r="A2688" s="38"/>
      <c r="B2688" s="40"/>
      <c r="C2688" s="40"/>
      <c r="D2688" s="49"/>
      <c r="E2688" s="41" t="s">
        <v>69</v>
      </c>
      <c r="F2688" s="18"/>
      <c r="K2688" s="22" t="s">
        <v>73</v>
      </c>
      <c r="L2688" s="18" t="s">
        <v>74</v>
      </c>
      <c r="M2688" s="22" t="s">
        <v>78</v>
      </c>
      <c r="N2688" s="22" t="s">
        <v>79</v>
      </c>
      <c r="O2688" s="22" t="s">
        <v>80</v>
      </c>
      <c r="P2688" s="22" t="s">
        <v>81</v>
      </c>
      <c r="Q2688" s="22" t="s">
        <v>82</v>
      </c>
      <c r="R2688" s="22" t="s">
        <v>83</v>
      </c>
      <c r="S2688" s="22" t="s">
        <v>84</v>
      </c>
      <c r="T2688" s="18" t="s">
        <v>85</v>
      </c>
      <c r="U2688" s="18" t="s">
        <v>86</v>
      </c>
      <c r="V2688" s="18" t="s">
        <v>87</v>
      </c>
      <c r="W2688" s="18" t="s">
        <v>88</v>
      </c>
      <c r="X2688" s="18" t="s">
        <v>89</v>
      </c>
      <c r="Y2688" s="18" t="s">
        <v>90</v>
      </c>
      <c r="Z2688" s="18" t="s">
        <v>91</v>
      </c>
      <c r="AA2688" s="18" t="s">
        <v>92</v>
      </c>
      <c r="AB2688" s="18" t="s">
        <v>93</v>
      </c>
      <c r="AC2688" s="18" t="s">
        <v>94</v>
      </c>
      <c r="AD2688" s="18" t="s">
        <v>235</v>
      </c>
      <c r="AE2688" s="18" t="s">
        <v>236</v>
      </c>
      <c r="AF2688" s="18" t="s">
        <v>237</v>
      </c>
      <c r="AG2688" s="18" t="s">
        <v>238</v>
      </c>
      <c r="AH2688" s="18" t="s">
        <v>239</v>
      </c>
      <c r="AI2688" s="18" t="s">
        <v>240</v>
      </c>
      <c r="AJ2688" s="18" t="s">
        <v>241</v>
      </c>
      <c r="AK2688" s="18" t="s">
        <v>242</v>
      </c>
      <c r="AL2688" s="18" t="s">
        <v>243</v>
      </c>
      <c r="AM2688" s="50" t="s">
        <v>244</v>
      </c>
    </row>
    <row r="2689" spans="1:39">
      <c r="A2689" s="40" t="s">
        <v>245</v>
      </c>
      <c r="B2689" s="51" t="str">
        <f>D95</f>
        <v/>
      </c>
      <c r="C2689" s="40" t="str">
        <f t="shared" ref="C2689:C2715" si="402">A2689</f>
        <v>#</v>
      </c>
      <c r="D2689" s="40" t="str">
        <f>"   "&amp;B2689&amp;REPT(" ",$AH$70-LEN(B2689)-3)</f>
        <v xml:space="preserve">                                                            </v>
      </c>
      <c r="E2689" s="38" t="str">
        <f>SUM(E2690:E2715)&amp;" pts[/b]"</f>
        <v>0 pts[/b]</v>
      </c>
      <c r="F2689" s="21">
        <f>SUM(E2690:E2715)</f>
        <v>0</v>
      </c>
      <c r="K2689" s="18">
        <f>COUNTIF(E2690:E2715,"&gt;0")</f>
        <v>0</v>
      </c>
      <c r="L2689" s="21">
        <f>AM2689-K2689</f>
        <v>0</v>
      </c>
      <c r="M2689" s="22">
        <f>MAX(E2690:E2715)</f>
        <v>0</v>
      </c>
      <c r="N2689" s="22">
        <f>LARGE(E2690:E2715,2)</f>
        <v>0</v>
      </c>
      <c r="O2689" s="22">
        <f>LARGE(E2690:E2715,3)</f>
        <v>0</v>
      </c>
      <c r="P2689" s="18">
        <f>LARGE(E2690:E2715,4)</f>
        <v>0</v>
      </c>
      <c r="Q2689" s="22">
        <f>LARGE(E2690:E2715,5)</f>
        <v>0</v>
      </c>
      <c r="R2689" s="22">
        <f>LARGE(E2690:E2715,6)</f>
        <v>0</v>
      </c>
      <c r="S2689" s="22">
        <f>LARGE(E2690:E2715,7)</f>
        <v>0</v>
      </c>
      <c r="T2689" s="18">
        <f>LARGE(E2690:E2715,8)</f>
        <v>0</v>
      </c>
      <c r="U2689" s="18">
        <f>LARGE(E2690:E2715,9)</f>
        <v>0</v>
      </c>
      <c r="V2689" s="18">
        <f>LARGE(E2690:E2715,10)</f>
        <v>0</v>
      </c>
      <c r="W2689" s="18">
        <f>LARGE(E2690:E2715,11)</f>
        <v>0</v>
      </c>
      <c r="X2689" s="18">
        <f>LARGE(E2690:E2715,12)</f>
        <v>0</v>
      </c>
      <c r="Y2689" s="18">
        <f>LARGE(E2690:E2715,13)</f>
        <v>0</v>
      </c>
      <c r="Z2689" s="18">
        <f>LARGE(E2690:E2715,14)</f>
        <v>0</v>
      </c>
      <c r="AA2689" s="18">
        <f>LARGE(E2690:E2715,15)</f>
        <v>0</v>
      </c>
      <c r="AB2689" s="18">
        <f>LARGE(E2690:E2715,16)</f>
        <v>0</v>
      </c>
      <c r="AC2689" s="18">
        <f>LARGE(E2690:E2715,17)</f>
        <v>0</v>
      </c>
      <c r="AD2689" s="18">
        <f>LARGE(E2690:E2716,13)</f>
        <v>0</v>
      </c>
      <c r="AE2689" s="18">
        <f>LARGE(E2690:E2715,19)</f>
        <v>0</v>
      </c>
      <c r="AF2689" s="18">
        <f>LARGE(E2690:E2715,20)</f>
        <v>0</v>
      </c>
      <c r="AG2689" s="18">
        <f>LARGE(E2690:E2715,21)</f>
        <v>0</v>
      </c>
      <c r="AH2689" s="18">
        <f>LARGE(E2690:E2715,22)</f>
        <v>0</v>
      </c>
      <c r="AI2689" s="18">
        <f>LARGE(E2690:E2715,23)</f>
        <v>0</v>
      </c>
      <c r="AJ2689" s="18">
        <f>LARGE(E2690:E2715,24)</f>
        <v>0</v>
      </c>
      <c r="AK2689" s="18">
        <f>LARGE(E2690:E2715,25)</f>
        <v>0</v>
      </c>
      <c r="AL2689" s="18">
        <f>LARGE(E2690:E2715,26)</f>
        <v>0</v>
      </c>
      <c r="AM2689" s="50">
        <f>COUNTIF(B2690:B2715,"&lt;&gt;"&amp;AH74)</f>
        <v>0</v>
      </c>
    </row>
    <row r="2690" spans="1:39">
      <c r="A2690" s="42" t="s">
        <v>246</v>
      </c>
      <c r="B2690" s="40" t="str">
        <f t="shared" ref="B2690:B2715" si="403">$AH$74</f>
        <v>No pick yet</v>
      </c>
      <c r="C2690" s="40" t="str">
        <f t="shared" si="402"/>
        <v>01-&gt;</v>
      </c>
      <c r="D2690" s="40" t="str">
        <f t="shared" ref="D2690:D2715" si="404">B2690&amp;REPT(" ",$AH$70-LEN(B2690))</f>
        <v xml:space="preserve">No pick yet                                                 </v>
      </c>
      <c r="E2690" s="52">
        <f t="shared" ref="E2690:E2715" si="405">VLOOKUP(RIGHT(B2690,LEN(B2690)-$AH$66),$H$138:$I$420,2,0)</f>
        <v>0</v>
      </c>
      <c r="F2690" s="18"/>
      <c r="M2690" s="18"/>
      <c r="N2690" s="18"/>
      <c r="O2690" s="18"/>
      <c r="P2690" s="18"/>
      <c r="Q2690" s="22"/>
      <c r="R2690" s="21"/>
      <c r="S2690" s="21"/>
      <c r="T2690" s="21"/>
      <c r="AA2690"/>
      <c r="AH2690" t="str">
        <f t="shared" ref="AH2690:AH2715" si="406">RIGHT(B2690,LEN(B2690)-$AH$66)</f>
        <v>k yet</v>
      </c>
    </row>
    <row r="2691" spans="1:39">
      <c r="A2691" s="42" t="s">
        <v>247</v>
      </c>
      <c r="B2691" s="40" t="str">
        <f t="shared" si="403"/>
        <v>No pick yet</v>
      </c>
      <c r="C2691" s="40" t="str">
        <f t="shared" si="402"/>
        <v>02-&gt;</v>
      </c>
      <c r="D2691" s="40" t="str">
        <f t="shared" si="404"/>
        <v xml:space="preserve">No pick yet                                                 </v>
      </c>
      <c r="E2691" s="52">
        <f t="shared" si="405"/>
        <v>0</v>
      </c>
      <c r="F2691" s="18"/>
      <c r="K2691" s="22"/>
      <c r="N2691" s="22"/>
      <c r="O2691" s="22"/>
      <c r="P2691" s="22"/>
      <c r="Q2691" s="22"/>
      <c r="R2691" s="22"/>
      <c r="S2691" s="22"/>
      <c r="Z2691" s="53"/>
      <c r="AA2691"/>
      <c r="AH2691" t="str">
        <f t="shared" si="406"/>
        <v>k yet</v>
      </c>
    </row>
    <row r="2692" spans="1:39">
      <c r="A2692" s="42" t="s">
        <v>248</v>
      </c>
      <c r="B2692" s="40" t="str">
        <f t="shared" si="403"/>
        <v>No pick yet</v>
      </c>
      <c r="C2692" s="40" t="str">
        <f t="shared" si="402"/>
        <v>03-&gt;</v>
      </c>
      <c r="D2692" s="40" t="str">
        <f t="shared" si="404"/>
        <v xml:space="preserve">No pick yet                                                 </v>
      </c>
      <c r="E2692" s="52">
        <f t="shared" si="405"/>
        <v>0</v>
      </c>
      <c r="F2692" s="18"/>
      <c r="L2692" s="21"/>
      <c r="N2692" s="22"/>
      <c r="O2692" s="22"/>
      <c r="P2692" s="18"/>
      <c r="Q2692" s="22"/>
      <c r="R2692" s="22"/>
      <c r="S2692" s="22"/>
      <c r="Z2692" s="53"/>
      <c r="AA2692"/>
      <c r="AH2692" t="str">
        <f t="shared" si="406"/>
        <v>k yet</v>
      </c>
    </row>
    <row r="2693" spans="1:39">
      <c r="A2693" s="42" t="s">
        <v>249</v>
      </c>
      <c r="B2693" s="40" t="str">
        <f t="shared" si="403"/>
        <v>No pick yet</v>
      </c>
      <c r="C2693" s="40" t="str">
        <f t="shared" si="402"/>
        <v>04-&gt;</v>
      </c>
      <c r="D2693" s="40" t="str">
        <f t="shared" si="404"/>
        <v xml:space="preserve">No pick yet                                                 </v>
      </c>
      <c r="E2693" s="52">
        <f t="shared" si="405"/>
        <v>0</v>
      </c>
      <c r="F2693" s="18"/>
      <c r="M2693" s="18"/>
      <c r="N2693" s="18"/>
      <c r="O2693" s="18"/>
      <c r="P2693" s="18"/>
      <c r="Q2693" s="22"/>
      <c r="R2693" s="21"/>
      <c r="S2693" s="21"/>
      <c r="T2693" s="21"/>
      <c r="AA2693"/>
      <c r="AH2693" t="str">
        <f t="shared" si="406"/>
        <v>k yet</v>
      </c>
    </row>
    <row r="2694" spans="1:39">
      <c r="A2694" s="42" t="s">
        <v>250</v>
      </c>
      <c r="B2694" s="40" t="str">
        <f t="shared" si="403"/>
        <v>No pick yet</v>
      </c>
      <c r="C2694" s="40" t="str">
        <f t="shared" si="402"/>
        <v>05-&gt;</v>
      </c>
      <c r="D2694" s="40" t="str">
        <f t="shared" si="404"/>
        <v xml:space="preserve">No pick yet                                                 </v>
      </c>
      <c r="E2694" s="52">
        <f t="shared" si="405"/>
        <v>0</v>
      </c>
      <c r="F2694" s="18"/>
      <c r="M2694" s="18"/>
      <c r="N2694" s="18"/>
      <c r="O2694" s="18"/>
      <c r="P2694" s="18"/>
      <c r="Q2694" s="22"/>
      <c r="R2694" s="21"/>
      <c r="S2694" s="21"/>
      <c r="T2694" s="21"/>
      <c r="AA2694"/>
      <c r="AH2694" t="str">
        <f t="shared" si="406"/>
        <v>k yet</v>
      </c>
    </row>
    <row r="2695" spans="1:39">
      <c r="A2695" s="42" t="s">
        <v>251</v>
      </c>
      <c r="B2695" s="40" t="str">
        <f t="shared" si="403"/>
        <v>No pick yet</v>
      </c>
      <c r="C2695" s="40" t="str">
        <f t="shared" si="402"/>
        <v>06-&gt;</v>
      </c>
      <c r="D2695" s="40" t="str">
        <f t="shared" si="404"/>
        <v xml:space="preserve">No pick yet                                                 </v>
      </c>
      <c r="E2695" s="52">
        <f t="shared" si="405"/>
        <v>0</v>
      </c>
      <c r="F2695" s="18"/>
      <c r="M2695" s="18"/>
      <c r="N2695" s="18"/>
      <c r="O2695" s="18"/>
      <c r="P2695" s="18"/>
      <c r="Q2695" s="22"/>
      <c r="R2695" s="21"/>
      <c r="S2695" s="21"/>
      <c r="T2695" s="21"/>
      <c r="AA2695"/>
      <c r="AH2695" t="str">
        <f t="shared" si="406"/>
        <v>k yet</v>
      </c>
    </row>
    <row r="2696" spans="1:39">
      <c r="A2696" s="42" t="s">
        <v>252</v>
      </c>
      <c r="B2696" s="40" t="str">
        <f t="shared" si="403"/>
        <v>No pick yet</v>
      </c>
      <c r="C2696" s="40" t="str">
        <f t="shared" si="402"/>
        <v>07-&gt;</v>
      </c>
      <c r="D2696" s="40" t="str">
        <f t="shared" si="404"/>
        <v xml:space="preserve">No pick yet                                                 </v>
      </c>
      <c r="E2696" s="52">
        <f t="shared" si="405"/>
        <v>0</v>
      </c>
      <c r="F2696" s="18"/>
      <c r="M2696" s="18"/>
      <c r="N2696" s="18"/>
      <c r="O2696" s="18"/>
      <c r="P2696" s="18"/>
      <c r="Q2696" s="22"/>
      <c r="R2696" s="21"/>
      <c r="S2696" s="21"/>
      <c r="T2696" s="21"/>
      <c r="AA2696"/>
      <c r="AH2696" t="str">
        <f t="shared" si="406"/>
        <v>k yet</v>
      </c>
    </row>
    <row r="2697" spans="1:39">
      <c r="A2697" s="42" t="s">
        <v>253</v>
      </c>
      <c r="B2697" s="40" t="str">
        <f t="shared" si="403"/>
        <v>No pick yet</v>
      </c>
      <c r="C2697" s="40" t="str">
        <f t="shared" si="402"/>
        <v>08-&gt;</v>
      </c>
      <c r="D2697" s="40" t="str">
        <f t="shared" si="404"/>
        <v xml:space="preserve">No pick yet                                                 </v>
      </c>
      <c r="E2697" s="52">
        <f t="shared" si="405"/>
        <v>0</v>
      </c>
      <c r="F2697" s="18"/>
      <c r="M2697" s="18"/>
      <c r="N2697" s="18"/>
      <c r="O2697" s="18"/>
      <c r="P2697" s="18"/>
      <c r="Q2697" s="22"/>
      <c r="R2697" s="21"/>
      <c r="S2697" s="21"/>
      <c r="T2697" s="21"/>
      <c r="AA2697"/>
      <c r="AH2697" t="str">
        <f t="shared" si="406"/>
        <v>k yet</v>
      </c>
    </row>
    <row r="2698" spans="1:39">
      <c r="A2698" s="42" t="s">
        <v>254</v>
      </c>
      <c r="B2698" s="40" t="str">
        <f t="shared" si="403"/>
        <v>No pick yet</v>
      </c>
      <c r="C2698" s="40" t="str">
        <f t="shared" si="402"/>
        <v>09-&gt;</v>
      </c>
      <c r="D2698" s="40" t="str">
        <f t="shared" si="404"/>
        <v xml:space="preserve">No pick yet                                                 </v>
      </c>
      <c r="E2698" s="52">
        <f t="shared" si="405"/>
        <v>0</v>
      </c>
      <c r="F2698" s="18"/>
      <c r="M2698" s="18"/>
      <c r="N2698" s="18"/>
      <c r="O2698" s="18"/>
      <c r="P2698" s="18"/>
      <c r="Q2698" s="22"/>
      <c r="R2698" s="21"/>
      <c r="S2698" s="21"/>
      <c r="T2698" s="21"/>
      <c r="AA2698"/>
      <c r="AH2698" t="str">
        <f t="shared" si="406"/>
        <v>k yet</v>
      </c>
    </row>
    <row r="2699" spans="1:39">
      <c r="A2699" s="42" t="s">
        <v>255</v>
      </c>
      <c r="B2699" s="40" t="str">
        <f t="shared" si="403"/>
        <v>No pick yet</v>
      </c>
      <c r="C2699" s="40" t="str">
        <f t="shared" si="402"/>
        <v>10-&gt;</v>
      </c>
      <c r="D2699" s="40" t="str">
        <f t="shared" si="404"/>
        <v xml:space="preserve">No pick yet                                                 </v>
      </c>
      <c r="E2699" s="52">
        <f t="shared" si="405"/>
        <v>0</v>
      </c>
      <c r="F2699" s="22"/>
      <c r="M2699" s="18"/>
      <c r="N2699" s="18"/>
      <c r="O2699" s="18"/>
      <c r="P2699" s="18"/>
      <c r="Q2699" s="22"/>
      <c r="R2699" s="21"/>
      <c r="S2699" s="21"/>
      <c r="T2699" s="21"/>
      <c r="AA2699"/>
      <c r="AH2699" t="str">
        <f t="shared" si="406"/>
        <v>k yet</v>
      </c>
    </row>
    <row r="2700" spans="1:39">
      <c r="A2700" s="42" t="s">
        <v>256</v>
      </c>
      <c r="B2700" s="40" t="str">
        <f t="shared" si="403"/>
        <v>No pick yet</v>
      </c>
      <c r="C2700" s="40" t="str">
        <f t="shared" si="402"/>
        <v>11-&gt;</v>
      </c>
      <c r="D2700" s="40" t="str">
        <f t="shared" si="404"/>
        <v xml:space="preserve">No pick yet                                                 </v>
      </c>
      <c r="E2700" s="52">
        <f t="shared" si="405"/>
        <v>0</v>
      </c>
      <c r="M2700" s="18"/>
      <c r="N2700" s="18"/>
      <c r="O2700" s="18"/>
      <c r="P2700" s="18"/>
      <c r="Q2700" s="22"/>
      <c r="R2700" s="21"/>
      <c r="S2700" s="21"/>
      <c r="T2700" s="21"/>
      <c r="AA2700"/>
      <c r="AH2700" t="str">
        <f t="shared" si="406"/>
        <v>k yet</v>
      </c>
    </row>
    <row r="2701" spans="1:39">
      <c r="A2701" s="42" t="s">
        <v>257</v>
      </c>
      <c r="B2701" s="40" t="str">
        <f t="shared" si="403"/>
        <v>No pick yet</v>
      </c>
      <c r="C2701" s="40" t="str">
        <f t="shared" si="402"/>
        <v>12-&gt;</v>
      </c>
      <c r="D2701" s="40" t="str">
        <f t="shared" si="404"/>
        <v xml:space="preserve">No pick yet                                                 </v>
      </c>
      <c r="E2701" s="52">
        <f t="shared" si="405"/>
        <v>0</v>
      </c>
      <c r="M2701" s="18"/>
      <c r="N2701" s="18"/>
      <c r="O2701" s="18"/>
      <c r="P2701" s="18"/>
      <c r="Q2701" s="22"/>
      <c r="R2701" s="21"/>
      <c r="S2701" s="21"/>
      <c r="T2701" s="21"/>
      <c r="AA2701"/>
      <c r="AH2701" t="str">
        <f t="shared" si="406"/>
        <v>k yet</v>
      </c>
    </row>
    <row r="2702" spans="1:39">
      <c r="A2702" s="42" t="s">
        <v>258</v>
      </c>
      <c r="B2702" s="40" t="str">
        <f t="shared" si="403"/>
        <v>No pick yet</v>
      </c>
      <c r="C2702" s="40" t="str">
        <f t="shared" si="402"/>
        <v>13-&gt;</v>
      </c>
      <c r="D2702" s="40" t="str">
        <f t="shared" si="404"/>
        <v xml:space="preserve">No pick yet                                                 </v>
      </c>
      <c r="E2702" s="52">
        <f t="shared" si="405"/>
        <v>0</v>
      </c>
      <c r="M2702" s="18"/>
      <c r="N2702" s="18"/>
      <c r="O2702" s="18"/>
      <c r="P2702" s="18"/>
      <c r="Q2702" s="22"/>
      <c r="R2702" s="21"/>
      <c r="S2702" s="21"/>
      <c r="T2702" s="21"/>
      <c r="AA2702"/>
      <c r="AH2702" t="str">
        <f t="shared" si="406"/>
        <v>k yet</v>
      </c>
    </row>
    <row r="2703" spans="1:39">
      <c r="A2703" s="42" t="s">
        <v>259</v>
      </c>
      <c r="B2703" s="40" t="str">
        <f t="shared" si="403"/>
        <v>No pick yet</v>
      </c>
      <c r="C2703" s="40" t="str">
        <f t="shared" si="402"/>
        <v>14-&gt;</v>
      </c>
      <c r="D2703" s="40" t="str">
        <f t="shared" si="404"/>
        <v xml:space="preserve">No pick yet                                                 </v>
      </c>
      <c r="E2703" s="52">
        <f t="shared" si="405"/>
        <v>0</v>
      </c>
      <c r="M2703" s="18"/>
      <c r="N2703" s="18"/>
      <c r="O2703" s="18"/>
      <c r="P2703" s="18"/>
      <c r="Q2703" s="22"/>
      <c r="R2703" s="21"/>
      <c r="S2703" s="21"/>
      <c r="T2703" s="21"/>
      <c r="AA2703"/>
      <c r="AH2703" t="str">
        <f t="shared" si="406"/>
        <v>k yet</v>
      </c>
    </row>
    <row r="2704" spans="1:39">
      <c r="A2704" s="42" t="s">
        <v>260</v>
      </c>
      <c r="B2704" s="40" t="str">
        <f t="shared" si="403"/>
        <v>No pick yet</v>
      </c>
      <c r="C2704" s="40" t="str">
        <f t="shared" si="402"/>
        <v>15-&gt;</v>
      </c>
      <c r="D2704" s="40" t="str">
        <f t="shared" si="404"/>
        <v xml:space="preserve">No pick yet                                                 </v>
      </c>
      <c r="E2704" s="52">
        <f t="shared" si="405"/>
        <v>0</v>
      </c>
      <c r="M2704" s="18"/>
      <c r="N2704" s="18"/>
      <c r="O2704" s="18"/>
      <c r="P2704" s="18"/>
      <c r="Q2704" s="22"/>
      <c r="R2704" s="21"/>
      <c r="S2704" s="21"/>
      <c r="T2704" s="21"/>
      <c r="AA2704"/>
      <c r="AH2704" t="str">
        <f t="shared" si="406"/>
        <v>k yet</v>
      </c>
    </row>
    <row r="2705" spans="1:39">
      <c r="A2705" s="42" t="s">
        <v>261</v>
      </c>
      <c r="B2705" s="40" t="str">
        <f t="shared" si="403"/>
        <v>No pick yet</v>
      </c>
      <c r="C2705" s="40" t="str">
        <f t="shared" si="402"/>
        <v>16-&gt;</v>
      </c>
      <c r="D2705" s="40" t="str">
        <f t="shared" si="404"/>
        <v xml:space="preserve">No pick yet                                                 </v>
      </c>
      <c r="E2705" s="52">
        <f t="shared" si="405"/>
        <v>0</v>
      </c>
      <c r="M2705" s="18"/>
      <c r="N2705" s="18"/>
      <c r="O2705" s="18"/>
      <c r="P2705" s="18"/>
      <c r="Q2705" s="22"/>
      <c r="R2705" s="21"/>
      <c r="S2705" s="21"/>
      <c r="T2705" s="21"/>
      <c r="AA2705"/>
      <c r="AH2705" t="str">
        <f t="shared" si="406"/>
        <v>k yet</v>
      </c>
    </row>
    <row r="2706" spans="1:39">
      <c r="A2706" s="42" t="s">
        <v>262</v>
      </c>
      <c r="B2706" s="40" t="str">
        <f t="shared" si="403"/>
        <v>No pick yet</v>
      </c>
      <c r="C2706" s="40" t="str">
        <f t="shared" si="402"/>
        <v>17-&gt;</v>
      </c>
      <c r="D2706" s="40" t="str">
        <f t="shared" si="404"/>
        <v xml:space="preserve">No pick yet                                                 </v>
      </c>
      <c r="E2706" s="52">
        <f t="shared" si="405"/>
        <v>0</v>
      </c>
      <c r="K2706" s="22"/>
      <c r="N2706" s="22"/>
      <c r="O2706" s="22"/>
      <c r="P2706" s="22"/>
      <c r="Q2706" s="22"/>
      <c r="R2706" s="22"/>
      <c r="S2706" s="22"/>
      <c r="Z2706" s="53"/>
      <c r="AA2706"/>
      <c r="AH2706" t="str">
        <f t="shared" si="406"/>
        <v>k yet</v>
      </c>
    </row>
    <row r="2707" spans="1:39">
      <c r="A2707" s="42" t="s">
        <v>263</v>
      </c>
      <c r="B2707" s="40" t="str">
        <f t="shared" si="403"/>
        <v>No pick yet</v>
      </c>
      <c r="C2707" s="40" t="str">
        <f t="shared" si="402"/>
        <v>18-&gt;</v>
      </c>
      <c r="D2707" s="40" t="str">
        <f t="shared" si="404"/>
        <v xml:space="preserve">No pick yet                                                 </v>
      </c>
      <c r="E2707" s="52">
        <f t="shared" si="405"/>
        <v>0</v>
      </c>
      <c r="F2707" s="18"/>
      <c r="L2707" s="21"/>
      <c r="N2707" s="22"/>
      <c r="O2707" s="22"/>
      <c r="P2707" s="18"/>
      <c r="Q2707" s="22"/>
      <c r="R2707" s="22"/>
      <c r="S2707" s="22"/>
      <c r="Z2707" s="53"/>
      <c r="AA2707"/>
      <c r="AH2707" t="str">
        <f t="shared" si="406"/>
        <v>k yet</v>
      </c>
    </row>
    <row r="2708" spans="1:39">
      <c r="A2708" s="42" t="s">
        <v>264</v>
      </c>
      <c r="B2708" s="40" t="str">
        <f t="shared" si="403"/>
        <v>No pick yet</v>
      </c>
      <c r="C2708" s="40" t="str">
        <f t="shared" si="402"/>
        <v>19-&gt;</v>
      </c>
      <c r="D2708" s="40" t="str">
        <f t="shared" si="404"/>
        <v xml:space="preserve">No pick yet                                                 </v>
      </c>
      <c r="E2708" s="52">
        <f t="shared" si="405"/>
        <v>0</v>
      </c>
      <c r="F2708" s="18"/>
      <c r="M2708" s="18"/>
      <c r="N2708" s="18"/>
      <c r="O2708" s="18"/>
      <c r="P2708" s="18"/>
      <c r="Q2708" s="22"/>
      <c r="R2708" s="21"/>
      <c r="S2708" s="21"/>
      <c r="T2708" s="21"/>
      <c r="AA2708"/>
      <c r="AH2708" t="str">
        <f t="shared" si="406"/>
        <v>k yet</v>
      </c>
    </row>
    <row r="2709" spans="1:39">
      <c r="A2709" s="42" t="s">
        <v>265</v>
      </c>
      <c r="B2709" s="40" t="str">
        <f t="shared" si="403"/>
        <v>No pick yet</v>
      </c>
      <c r="C2709" s="40" t="str">
        <f t="shared" si="402"/>
        <v>20-&gt;</v>
      </c>
      <c r="D2709" s="40" t="str">
        <f t="shared" si="404"/>
        <v xml:space="preserve">No pick yet                                                 </v>
      </c>
      <c r="E2709" s="52">
        <f t="shared" si="405"/>
        <v>0</v>
      </c>
      <c r="F2709" s="18"/>
      <c r="M2709" s="18"/>
      <c r="N2709" s="18"/>
      <c r="O2709" s="18"/>
      <c r="P2709" s="18"/>
      <c r="Q2709" s="22"/>
      <c r="R2709" s="21"/>
      <c r="S2709" s="21"/>
      <c r="T2709" s="21"/>
      <c r="AA2709"/>
      <c r="AH2709" t="str">
        <f t="shared" si="406"/>
        <v>k yet</v>
      </c>
    </row>
    <row r="2710" spans="1:39">
      <c r="A2710" s="42" t="s">
        <v>266</v>
      </c>
      <c r="B2710" s="40" t="str">
        <f t="shared" si="403"/>
        <v>No pick yet</v>
      </c>
      <c r="C2710" s="40" t="str">
        <f t="shared" si="402"/>
        <v>21-&gt;</v>
      </c>
      <c r="D2710" s="40" t="str">
        <f t="shared" si="404"/>
        <v xml:space="preserve">No pick yet                                                 </v>
      </c>
      <c r="E2710" s="52">
        <f t="shared" si="405"/>
        <v>0</v>
      </c>
      <c r="F2710" s="18"/>
      <c r="M2710" s="18"/>
      <c r="N2710" s="18"/>
      <c r="O2710" s="18"/>
      <c r="P2710" s="18"/>
      <c r="Q2710" s="22"/>
      <c r="R2710" s="21"/>
      <c r="S2710" s="21"/>
      <c r="T2710" s="21"/>
      <c r="AA2710"/>
      <c r="AH2710" t="str">
        <f t="shared" si="406"/>
        <v>k yet</v>
      </c>
    </row>
    <row r="2711" spans="1:39">
      <c r="A2711" s="42" t="s">
        <v>267</v>
      </c>
      <c r="B2711" s="40" t="str">
        <f t="shared" si="403"/>
        <v>No pick yet</v>
      </c>
      <c r="C2711" s="40" t="str">
        <f t="shared" si="402"/>
        <v>22-&gt;</v>
      </c>
      <c r="D2711" s="40" t="str">
        <f t="shared" si="404"/>
        <v xml:space="preserve">No pick yet                                                 </v>
      </c>
      <c r="E2711" s="52">
        <f t="shared" si="405"/>
        <v>0</v>
      </c>
      <c r="F2711" s="18"/>
      <c r="M2711" s="18"/>
      <c r="N2711" s="18"/>
      <c r="O2711" s="18"/>
      <c r="P2711" s="18"/>
      <c r="Q2711" s="22"/>
      <c r="R2711" s="21"/>
      <c r="S2711" s="21"/>
      <c r="T2711" s="21"/>
      <c r="AA2711"/>
      <c r="AH2711" t="str">
        <f t="shared" si="406"/>
        <v>k yet</v>
      </c>
    </row>
    <row r="2712" spans="1:39">
      <c r="A2712" s="42" t="s">
        <v>268</v>
      </c>
      <c r="B2712" s="40" t="str">
        <f t="shared" si="403"/>
        <v>No pick yet</v>
      </c>
      <c r="C2712" s="40" t="str">
        <f t="shared" si="402"/>
        <v>23-&gt;</v>
      </c>
      <c r="D2712" s="40" t="str">
        <f t="shared" si="404"/>
        <v xml:space="preserve">No pick yet                                                 </v>
      </c>
      <c r="E2712" s="52">
        <f t="shared" si="405"/>
        <v>0</v>
      </c>
      <c r="F2712" s="18"/>
      <c r="M2712" s="18"/>
      <c r="N2712" s="18"/>
      <c r="O2712" s="18"/>
      <c r="P2712" s="18"/>
      <c r="Q2712" s="22"/>
      <c r="R2712" s="21"/>
      <c r="S2712" s="21"/>
      <c r="T2712" s="21"/>
      <c r="AA2712"/>
      <c r="AH2712" t="str">
        <f t="shared" si="406"/>
        <v>k yet</v>
      </c>
    </row>
    <row r="2713" spans="1:39">
      <c r="A2713" s="42" t="s">
        <v>269</v>
      </c>
      <c r="B2713" s="40" t="str">
        <f t="shared" si="403"/>
        <v>No pick yet</v>
      </c>
      <c r="C2713" s="40" t="str">
        <f t="shared" si="402"/>
        <v>24-&gt;</v>
      </c>
      <c r="D2713" s="40" t="str">
        <f t="shared" si="404"/>
        <v xml:space="preserve">No pick yet                                                 </v>
      </c>
      <c r="E2713" s="52">
        <f t="shared" si="405"/>
        <v>0</v>
      </c>
      <c r="F2713" s="18"/>
      <c r="M2713" s="18"/>
      <c r="N2713" s="18"/>
      <c r="O2713" s="18"/>
      <c r="P2713" s="18"/>
      <c r="Q2713" s="22"/>
      <c r="R2713" s="21"/>
      <c r="S2713" s="21"/>
      <c r="T2713" s="21"/>
      <c r="AA2713"/>
      <c r="AH2713" t="str">
        <f t="shared" si="406"/>
        <v>k yet</v>
      </c>
    </row>
    <row r="2714" spans="1:39">
      <c r="A2714" s="42" t="s">
        <v>270</v>
      </c>
      <c r="B2714" s="40" t="str">
        <f t="shared" si="403"/>
        <v>No pick yet</v>
      </c>
      <c r="C2714" s="40" t="str">
        <f t="shared" si="402"/>
        <v>25-&gt;</v>
      </c>
      <c r="D2714" s="40" t="str">
        <f t="shared" si="404"/>
        <v xml:space="preserve">No pick yet                                                 </v>
      </c>
      <c r="E2714" s="52">
        <f t="shared" si="405"/>
        <v>0</v>
      </c>
      <c r="F2714" s="18"/>
      <c r="M2714" s="18"/>
      <c r="N2714" s="18"/>
      <c r="O2714" s="18"/>
      <c r="P2714" s="18"/>
      <c r="Q2714" s="22"/>
      <c r="R2714" s="21"/>
      <c r="S2714" s="21"/>
      <c r="T2714" s="21"/>
      <c r="AA2714"/>
      <c r="AH2714" t="str">
        <f t="shared" si="406"/>
        <v>k yet</v>
      </c>
    </row>
    <row r="2715" spans="1:39">
      <c r="A2715" s="42" t="s">
        <v>271</v>
      </c>
      <c r="B2715" s="40" t="str">
        <f t="shared" si="403"/>
        <v>No pick yet</v>
      </c>
      <c r="C2715" s="40" t="str">
        <f t="shared" si="402"/>
        <v>26-&gt;</v>
      </c>
      <c r="D2715" s="40" t="str">
        <f t="shared" si="404"/>
        <v xml:space="preserve">No pick yet                                                 </v>
      </c>
      <c r="E2715" s="52">
        <f t="shared" si="405"/>
        <v>0</v>
      </c>
      <c r="F2715" s="18"/>
      <c r="M2715" s="18"/>
      <c r="N2715" s="18"/>
      <c r="O2715" s="18"/>
      <c r="P2715" s="18"/>
      <c r="Q2715" s="22"/>
      <c r="R2715" s="21"/>
      <c r="S2715" s="21"/>
      <c r="T2715" s="21"/>
      <c r="AA2715"/>
      <c r="AH2715" t="str">
        <f t="shared" si="406"/>
        <v>k yet</v>
      </c>
    </row>
    <row r="2716" spans="1:39">
      <c r="A2716" s="38"/>
      <c r="B2716" s="40"/>
      <c r="C2716" s="40"/>
      <c r="D2716" s="49"/>
      <c r="E2716" s="41" t="s">
        <v>69</v>
      </c>
      <c r="F2716" s="18"/>
      <c r="K2716" s="22" t="s">
        <v>73</v>
      </c>
      <c r="L2716" s="18" t="s">
        <v>74</v>
      </c>
      <c r="M2716" s="22" t="s">
        <v>78</v>
      </c>
      <c r="N2716" s="22" t="s">
        <v>79</v>
      </c>
      <c r="O2716" s="22" t="s">
        <v>80</v>
      </c>
      <c r="P2716" s="22" t="s">
        <v>81</v>
      </c>
      <c r="Q2716" s="22" t="s">
        <v>82</v>
      </c>
      <c r="R2716" s="22" t="s">
        <v>83</v>
      </c>
      <c r="S2716" s="22" t="s">
        <v>84</v>
      </c>
      <c r="T2716" s="18" t="s">
        <v>85</v>
      </c>
      <c r="U2716" s="18" t="s">
        <v>86</v>
      </c>
      <c r="V2716" s="18" t="s">
        <v>87</v>
      </c>
      <c r="W2716" s="18" t="s">
        <v>88</v>
      </c>
      <c r="X2716" s="18" t="s">
        <v>89</v>
      </c>
      <c r="Y2716" s="18" t="s">
        <v>90</v>
      </c>
      <c r="Z2716" s="18" t="s">
        <v>91</v>
      </c>
      <c r="AA2716" s="18" t="s">
        <v>92</v>
      </c>
      <c r="AB2716" s="18" t="s">
        <v>93</v>
      </c>
      <c r="AC2716" s="18" t="s">
        <v>94</v>
      </c>
      <c r="AD2716" s="18" t="s">
        <v>235</v>
      </c>
      <c r="AE2716" s="18" t="s">
        <v>236</v>
      </c>
      <c r="AF2716" s="18" t="s">
        <v>237</v>
      </c>
      <c r="AG2716" s="18" t="s">
        <v>238</v>
      </c>
      <c r="AH2716" s="18" t="s">
        <v>239</v>
      </c>
      <c r="AI2716" s="18" t="s">
        <v>240</v>
      </c>
      <c r="AJ2716" s="18" t="s">
        <v>241</v>
      </c>
      <c r="AK2716" s="18" t="s">
        <v>242</v>
      </c>
      <c r="AL2716" s="18" t="s">
        <v>243</v>
      </c>
      <c r="AM2716" s="50" t="s">
        <v>244</v>
      </c>
    </row>
    <row r="2717" spans="1:39">
      <c r="A2717" s="40" t="s">
        <v>245</v>
      </c>
      <c r="B2717" s="51" t="str">
        <f>D96</f>
        <v/>
      </c>
      <c r="C2717" s="40" t="str">
        <f t="shared" ref="C2717:C2743" si="407">A2717</f>
        <v>#</v>
      </c>
      <c r="D2717" s="40" t="str">
        <f>"   "&amp;B2717&amp;REPT(" ",$AH$70-LEN(B2717)-3)</f>
        <v xml:space="preserve">                                                            </v>
      </c>
      <c r="E2717" s="38" t="str">
        <f>SUM(E2718:E2743)&amp;" pts[/b]"</f>
        <v>0 pts[/b]</v>
      </c>
      <c r="F2717" s="21">
        <f>SUM(E2718:E2743)</f>
        <v>0</v>
      </c>
      <c r="K2717" s="18">
        <f>COUNTIF(E2718:E2743,"&gt;0")</f>
        <v>0</v>
      </c>
      <c r="L2717" s="21">
        <f>AM2717-K2717</f>
        <v>0</v>
      </c>
      <c r="M2717" s="22">
        <f>MAX(E2718:E2743)</f>
        <v>0</v>
      </c>
      <c r="N2717" s="22">
        <f>LARGE(E2718:E2743,2)</f>
        <v>0</v>
      </c>
      <c r="O2717" s="22">
        <f>LARGE(E2718:E2743,3)</f>
        <v>0</v>
      </c>
      <c r="P2717" s="18">
        <f>LARGE(E2718:E2743,4)</f>
        <v>0</v>
      </c>
      <c r="Q2717" s="22">
        <f>LARGE(E2718:E2743,5)</f>
        <v>0</v>
      </c>
      <c r="R2717" s="22">
        <f>LARGE(E2718:E2743,6)</f>
        <v>0</v>
      </c>
      <c r="S2717" s="22">
        <f>LARGE(E2718:E2743,7)</f>
        <v>0</v>
      </c>
      <c r="T2717" s="18">
        <f>LARGE(E2718:E2743,8)</f>
        <v>0</v>
      </c>
      <c r="U2717" s="18">
        <f>LARGE(E2718:E2743,9)</f>
        <v>0</v>
      </c>
      <c r="V2717" s="18">
        <f>LARGE(E2718:E2743,10)</f>
        <v>0</v>
      </c>
      <c r="W2717" s="18">
        <f>LARGE(E2718:E2743,11)</f>
        <v>0</v>
      </c>
      <c r="X2717" s="18">
        <f>LARGE(E2718:E2743,12)</f>
        <v>0</v>
      </c>
      <c r="Y2717" s="18">
        <f>LARGE(E2718:E2743,13)</f>
        <v>0</v>
      </c>
      <c r="Z2717" s="18">
        <f>LARGE(E2718:E2743,14)</f>
        <v>0</v>
      </c>
      <c r="AA2717" s="18">
        <f>LARGE(E2718:E2743,15)</f>
        <v>0</v>
      </c>
      <c r="AB2717" s="18">
        <f>LARGE(E2718:E2743,16)</f>
        <v>0</v>
      </c>
      <c r="AC2717" s="18">
        <f>LARGE(E2718:E2743,17)</f>
        <v>0</v>
      </c>
      <c r="AD2717" s="18">
        <f>LARGE(E2718:E2744,13)</f>
        <v>0</v>
      </c>
      <c r="AE2717" s="18">
        <f>LARGE(E2718:E2743,19)</f>
        <v>0</v>
      </c>
      <c r="AF2717" s="18">
        <f>LARGE(E2718:E2743,20)</f>
        <v>0</v>
      </c>
      <c r="AG2717" s="18">
        <f>LARGE(E2718:E2743,21)</f>
        <v>0</v>
      </c>
      <c r="AH2717" s="18">
        <f>LARGE(E2718:E2743,22)</f>
        <v>0</v>
      </c>
      <c r="AI2717" s="18">
        <f>LARGE(E2718:E2743,23)</f>
        <v>0</v>
      </c>
      <c r="AJ2717" s="18">
        <f>LARGE(E2718:E2743,24)</f>
        <v>0</v>
      </c>
      <c r="AK2717" s="18">
        <f>LARGE(E2718:E2743,25)</f>
        <v>0</v>
      </c>
      <c r="AL2717" s="18">
        <f>LARGE(E2718:E2743,26)</f>
        <v>0</v>
      </c>
      <c r="AM2717" s="50">
        <f>COUNTIF(B2718:B2743,"&lt;&gt;"&amp;AH74)</f>
        <v>0</v>
      </c>
    </row>
    <row r="2718" spans="1:39">
      <c r="A2718" s="42" t="s">
        <v>246</v>
      </c>
      <c r="B2718" s="40" t="str">
        <f t="shared" ref="B2718:B2743" si="408">$AH$74</f>
        <v>No pick yet</v>
      </c>
      <c r="C2718" s="40" t="str">
        <f t="shared" si="407"/>
        <v>01-&gt;</v>
      </c>
      <c r="D2718" s="40" t="str">
        <f t="shared" ref="D2718:D2743" si="409">B2718&amp;REPT(" ",$AH$70-LEN(B2718))</f>
        <v xml:space="preserve">No pick yet                                                 </v>
      </c>
      <c r="E2718" s="52">
        <f t="shared" ref="E2718:E2743" si="410">VLOOKUP(RIGHT(B2718,LEN(B2718)-$AH$66),$H$138:$I$420,2,0)</f>
        <v>0</v>
      </c>
      <c r="F2718" s="18"/>
      <c r="M2718" s="18"/>
      <c r="N2718" s="18"/>
      <c r="O2718" s="18"/>
      <c r="P2718" s="18"/>
      <c r="Q2718" s="22"/>
      <c r="R2718" s="21"/>
      <c r="S2718" s="21"/>
      <c r="T2718" s="21"/>
      <c r="AA2718"/>
      <c r="AH2718" t="str">
        <f t="shared" ref="AH2718:AH2743" si="411">RIGHT(B2718,LEN(B2718)-$AH$66)</f>
        <v>k yet</v>
      </c>
    </row>
    <row r="2719" spans="1:39">
      <c r="A2719" s="42" t="s">
        <v>247</v>
      </c>
      <c r="B2719" s="40" t="str">
        <f t="shared" si="408"/>
        <v>No pick yet</v>
      </c>
      <c r="C2719" s="40" t="str">
        <f t="shared" si="407"/>
        <v>02-&gt;</v>
      </c>
      <c r="D2719" s="40" t="str">
        <f t="shared" si="409"/>
        <v xml:space="preserve">No pick yet                                                 </v>
      </c>
      <c r="E2719" s="52">
        <f t="shared" si="410"/>
        <v>0</v>
      </c>
      <c r="F2719" s="18"/>
      <c r="K2719" s="22"/>
      <c r="N2719" s="22"/>
      <c r="O2719" s="22"/>
      <c r="P2719" s="22"/>
      <c r="Q2719" s="22"/>
      <c r="R2719" s="22"/>
      <c r="S2719" s="22"/>
      <c r="Z2719" s="53"/>
      <c r="AA2719"/>
      <c r="AH2719" t="str">
        <f t="shared" si="411"/>
        <v>k yet</v>
      </c>
    </row>
    <row r="2720" spans="1:39">
      <c r="A2720" s="42" t="s">
        <v>248</v>
      </c>
      <c r="B2720" s="40" t="str">
        <f t="shared" si="408"/>
        <v>No pick yet</v>
      </c>
      <c r="C2720" s="40" t="str">
        <f t="shared" si="407"/>
        <v>03-&gt;</v>
      </c>
      <c r="D2720" s="40" t="str">
        <f t="shared" si="409"/>
        <v xml:space="preserve">No pick yet                                                 </v>
      </c>
      <c r="E2720" s="52">
        <f t="shared" si="410"/>
        <v>0</v>
      </c>
      <c r="F2720" s="18"/>
      <c r="L2720" s="21"/>
      <c r="N2720" s="22"/>
      <c r="O2720" s="22"/>
      <c r="P2720" s="18"/>
      <c r="Q2720" s="22"/>
      <c r="R2720" s="22"/>
      <c r="S2720" s="22"/>
      <c r="Z2720" s="53"/>
      <c r="AA2720"/>
      <c r="AH2720" t="str">
        <f t="shared" si="411"/>
        <v>k yet</v>
      </c>
    </row>
    <row r="2721" spans="1:34">
      <c r="A2721" s="42" t="s">
        <v>249</v>
      </c>
      <c r="B2721" s="40" t="str">
        <f t="shared" si="408"/>
        <v>No pick yet</v>
      </c>
      <c r="C2721" s="40" t="str">
        <f t="shared" si="407"/>
        <v>04-&gt;</v>
      </c>
      <c r="D2721" s="40" t="str">
        <f t="shared" si="409"/>
        <v xml:space="preserve">No pick yet                                                 </v>
      </c>
      <c r="E2721" s="52">
        <f t="shared" si="410"/>
        <v>0</v>
      </c>
      <c r="F2721" s="18"/>
      <c r="M2721" s="18"/>
      <c r="N2721" s="18"/>
      <c r="O2721" s="18"/>
      <c r="P2721" s="18"/>
      <c r="Q2721" s="22"/>
      <c r="R2721" s="21"/>
      <c r="S2721" s="21"/>
      <c r="T2721" s="21"/>
      <c r="AA2721"/>
      <c r="AH2721" t="str">
        <f t="shared" si="411"/>
        <v>k yet</v>
      </c>
    </row>
    <row r="2722" spans="1:34">
      <c r="A2722" s="42" t="s">
        <v>250</v>
      </c>
      <c r="B2722" s="40" t="str">
        <f t="shared" si="408"/>
        <v>No pick yet</v>
      </c>
      <c r="C2722" s="40" t="str">
        <f t="shared" si="407"/>
        <v>05-&gt;</v>
      </c>
      <c r="D2722" s="40" t="str">
        <f t="shared" si="409"/>
        <v xml:space="preserve">No pick yet                                                 </v>
      </c>
      <c r="E2722" s="52">
        <f t="shared" si="410"/>
        <v>0</v>
      </c>
      <c r="F2722" s="18"/>
      <c r="M2722" s="18"/>
      <c r="N2722" s="18"/>
      <c r="O2722" s="18"/>
      <c r="P2722" s="18"/>
      <c r="Q2722" s="22"/>
      <c r="R2722" s="21"/>
      <c r="S2722" s="21"/>
      <c r="T2722" s="21"/>
      <c r="AA2722"/>
      <c r="AH2722" t="str">
        <f t="shared" si="411"/>
        <v>k yet</v>
      </c>
    </row>
    <row r="2723" spans="1:34">
      <c r="A2723" s="42" t="s">
        <v>251</v>
      </c>
      <c r="B2723" s="40" t="str">
        <f t="shared" si="408"/>
        <v>No pick yet</v>
      </c>
      <c r="C2723" s="40" t="str">
        <f t="shared" si="407"/>
        <v>06-&gt;</v>
      </c>
      <c r="D2723" s="40" t="str">
        <f t="shared" si="409"/>
        <v xml:space="preserve">No pick yet                                                 </v>
      </c>
      <c r="E2723" s="52">
        <f t="shared" si="410"/>
        <v>0</v>
      </c>
      <c r="F2723" s="18"/>
      <c r="M2723" s="18"/>
      <c r="N2723" s="18"/>
      <c r="O2723" s="18"/>
      <c r="P2723" s="18"/>
      <c r="Q2723" s="22"/>
      <c r="R2723" s="21"/>
      <c r="S2723" s="21"/>
      <c r="T2723" s="21"/>
      <c r="AA2723"/>
      <c r="AH2723" t="str">
        <f t="shared" si="411"/>
        <v>k yet</v>
      </c>
    </row>
    <row r="2724" spans="1:34">
      <c r="A2724" s="42" t="s">
        <v>252</v>
      </c>
      <c r="B2724" s="40" t="str">
        <f t="shared" si="408"/>
        <v>No pick yet</v>
      </c>
      <c r="C2724" s="40" t="str">
        <f t="shared" si="407"/>
        <v>07-&gt;</v>
      </c>
      <c r="D2724" s="40" t="str">
        <f t="shared" si="409"/>
        <v xml:space="preserve">No pick yet                                                 </v>
      </c>
      <c r="E2724" s="52">
        <f t="shared" si="410"/>
        <v>0</v>
      </c>
      <c r="F2724" s="18"/>
      <c r="M2724" s="18"/>
      <c r="N2724" s="18"/>
      <c r="O2724" s="18"/>
      <c r="P2724" s="18"/>
      <c r="Q2724" s="22"/>
      <c r="R2724" s="21"/>
      <c r="S2724" s="21"/>
      <c r="T2724" s="21"/>
      <c r="AA2724"/>
      <c r="AH2724" t="str">
        <f t="shared" si="411"/>
        <v>k yet</v>
      </c>
    </row>
    <row r="2725" spans="1:34">
      <c r="A2725" s="42" t="s">
        <v>253</v>
      </c>
      <c r="B2725" s="40" t="str">
        <f t="shared" si="408"/>
        <v>No pick yet</v>
      </c>
      <c r="C2725" s="40" t="str">
        <f t="shared" si="407"/>
        <v>08-&gt;</v>
      </c>
      <c r="D2725" s="40" t="str">
        <f t="shared" si="409"/>
        <v xml:space="preserve">No pick yet                                                 </v>
      </c>
      <c r="E2725" s="52">
        <f t="shared" si="410"/>
        <v>0</v>
      </c>
      <c r="F2725" s="18"/>
      <c r="M2725" s="18"/>
      <c r="N2725" s="18"/>
      <c r="O2725" s="18"/>
      <c r="P2725" s="18"/>
      <c r="Q2725" s="22"/>
      <c r="R2725" s="21"/>
      <c r="S2725" s="21"/>
      <c r="T2725" s="21"/>
      <c r="AA2725"/>
      <c r="AH2725" t="str">
        <f t="shared" si="411"/>
        <v>k yet</v>
      </c>
    </row>
    <row r="2726" spans="1:34">
      <c r="A2726" s="42" t="s">
        <v>254</v>
      </c>
      <c r="B2726" s="40" t="str">
        <f t="shared" si="408"/>
        <v>No pick yet</v>
      </c>
      <c r="C2726" s="40" t="str">
        <f t="shared" si="407"/>
        <v>09-&gt;</v>
      </c>
      <c r="D2726" s="40" t="str">
        <f t="shared" si="409"/>
        <v xml:space="preserve">No pick yet                                                 </v>
      </c>
      <c r="E2726" s="52">
        <f t="shared" si="410"/>
        <v>0</v>
      </c>
      <c r="F2726" s="18"/>
      <c r="M2726" s="18"/>
      <c r="N2726" s="18"/>
      <c r="O2726" s="18"/>
      <c r="P2726" s="18"/>
      <c r="Q2726" s="22"/>
      <c r="R2726" s="21"/>
      <c r="S2726" s="21"/>
      <c r="T2726" s="21"/>
      <c r="AA2726"/>
      <c r="AH2726" t="str">
        <f t="shared" si="411"/>
        <v>k yet</v>
      </c>
    </row>
    <row r="2727" spans="1:34">
      <c r="A2727" s="42" t="s">
        <v>255</v>
      </c>
      <c r="B2727" s="40" t="str">
        <f t="shared" si="408"/>
        <v>No pick yet</v>
      </c>
      <c r="C2727" s="40" t="str">
        <f t="shared" si="407"/>
        <v>10-&gt;</v>
      </c>
      <c r="D2727" s="40" t="str">
        <f t="shared" si="409"/>
        <v xml:space="preserve">No pick yet                                                 </v>
      </c>
      <c r="E2727" s="52">
        <f t="shared" si="410"/>
        <v>0</v>
      </c>
      <c r="F2727" s="22"/>
      <c r="M2727" s="18"/>
      <c r="N2727" s="18"/>
      <c r="O2727" s="18"/>
      <c r="P2727" s="18"/>
      <c r="Q2727" s="22"/>
      <c r="R2727" s="21"/>
      <c r="S2727" s="21"/>
      <c r="T2727" s="21"/>
      <c r="AA2727"/>
      <c r="AH2727" t="str">
        <f t="shared" si="411"/>
        <v>k yet</v>
      </c>
    </row>
    <row r="2728" spans="1:34">
      <c r="A2728" s="42" t="s">
        <v>256</v>
      </c>
      <c r="B2728" s="40" t="str">
        <f t="shared" si="408"/>
        <v>No pick yet</v>
      </c>
      <c r="C2728" s="40" t="str">
        <f t="shared" si="407"/>
        <v>11-&gt;</v>
      </c>
      <c r="D2728" s="40" t="str">
        <f t="shared" si="409"/>
        <v xml:space="preserve">No pick yet                                                 </v>
      </c>
      <c r="E2728" s="52">
        <f t="shared" si="410"/>
        <v>0</v>
      </c>
      <c r="M2728" s="18"/>
      <c r="N2728" s="18"/>
      <c r="O2728" s="18"/>
      <c r="P2728" s="18"/>
      <c r="Q2728" s="22"/>
      <c r="R2728" s="21"/>
      <c r="S2728" s="21"/>
      <c r="T2728" s="21"/>
      <c r="AA2728"/>
      <c r="AH2728" t="str">
        <f t="shared" si="411"/>
        <v>k yet</v>
      </c>
    </row>
    <row r="2729" spans="1:34">
      <c r="A2729" s="42" t="s">
        <v>257</v>
      </c>
      <c r="B2729" s="40" t="str">
        <f t="shared" si="408"/>
        <v>No pick yet</v>
      </c>
      <c r="C2729" s="40" t="str">
        <f t="shared" si="407"/>
        <v>12-&gt;</v>
      </c>
      <c r="D2729" s="40" t="str">
        <f t="shared" si="409"/>
        <v xml:space="preserve">No pick yet                                                 </v>
      </c>
      <c r="E2729" s="52">
        <f t="shared" si="410"/>
        <v>0</v>
      </c>
      <c r="M2729" s="18"/>
      <c r="N2729" s="18"/>
      <c r="O2729" s="18"/>
      <c r="P2729" s="18"/>
      <c r="Q2729" s="22"/>
      <c r="R2729" s="21"/>
      <c r="S2729" s="21"/>
      <c r="T2729" s="21"/>
      <c r="AA2729"/>
      <c r="AH2729" t="str">
        <f t="shared" si="411"/>
        <v>k yet</v>
      </c>
    </row>
    <row r="2730" spans="1:34">
      <c r="A2730" s="42" t="s">
        <v>258</v>
      </c>
      <c r="B2730" s="40" t="str">
        <f t="shared" si="408"/>
        <v>No pick yet</v>
      </c>
      <c r="C2730" s="40" t="str">
        <f t="shared" si="407"/>
        <v>13-&gt;</v>
      </c>
      <c r="D2730" s="40" t="str">
        <f t="shared" si="409"/>
        <v xml:space="preserve">No pick yet                                                 </v>
      </c>
      <c r="E2730" s="52">
        <f t="shared" si="410"/>
        <v>0</v>
      </c>
      <c r="M2730" s="18"/>
      <c r="N2730" s="18"/>
      <c r="O2730" s="18"/>
      <c r="P2730" s="18"/>
      <c r="Q2730" s="22"/>
      <c r="R2730" s="21"/>
      <c r="S2730" s="21"/>
      <c r="T2730" s="21"/>
      <c r="AA2730"/>
      <c r="AH2730" t="str">
        <f t="shared" si="411"/>
        <v>k yet</v>
      </c>
    </row>
    <row r="2731" spans="1:34">
      <c r="A2731" s="42" t="s">
        <v>259</v>
      </c>
      <c r="B2731" s="40" t="str">
        <f t="shared" si="408"/>
        <v>No pick yet</v>
      </c>
      <c r="C2731" s="40" t="str">
        <f t="shared" si="407"/>
        <v>14-&gt;</v>
      </c>
      <c r="D2731" s="40" t="str">
        <f t="shared" si="409"/>
        <v xml:space="preserve">No pick yet                                                 </v>
      </c>
      <c r="E2731" s="52">
        <f t="shared" si="410"/>
        <v>0</v>
      </c>
      <c r="M2731" s="18"/>
      <c r="N2731" s="18"/>
      <c r="O2731" s="18"/>
      <c r="P2731" s="18"/>
      <c r="Q2731" s="22"/>
      <c r="R2731" s="21"/>
      <c r="S2731" s="21"/>
      <c r="T2731" s="21"/>
      <c r="AA2731"/>
      <c r="AH2731" t="str">
        <f t="shared" si="411"/>
        <v>k yet</v>
      </c>
    </row>
    <row r="2732" spans="1:34">
      <c r="A2732" s="42" t="s">
        <v>260</v>
      </c>
      <c r="B2732" s="40" t="str">
        <f t="shared" si="408"/>
        <v>No pick yet</v>
      </c>
      <c r="C2732" s="40" t="str">
        <f t="shared" si="407"/>
        <v>15-&gt;</v>
      </c>
      <c r="D2732" s="40" t="str">
        <f t="shared" si="409"/>
        <v xml:space="preserve">No pick yet                                                 </v>
      </c>
      <c r="E2732" s="52">
        <f t="shared" si="410"/>
        <v>0</v>
      </c>
      <c r="M2732" s="18"/>
      <c r="N2732" s="18"/>
      <c r="O2732" s="18"/>
      <c r="P2732" s="18"/>
      <c r="Q2732" s="22"/>
      <c r="R2732" s="21"/>
      <c r="S2732" s="21"/>
      <c r="T2732" s="21"/>
      <c r="AA2732"/>
      <c r="AH2732" t="str">
        <f t="shared" si="411"/>
        <v>k yet</v>
      </c>
    </row>
    <row r="2733" spans="1:34">
      <c r="A2733" s="42" t="s">
        <v>261</v>
      </c>
      <c r="B2733" s="40" t="str">
        <f t="shared" si="408"/>
        <v>No pick yet</v>
      </c>
      <c r="C2733" s="40" t="str">
        <f t="shared" si="407"/>
        <v>16-&gt;</v>
      </c>
      <c r="D2733" s="40" t="str">
        <f t="shared" si="409"/>
        <v xml:space="preserve">No pick yet                                                 </v>
      </c>
      <c r="E2733" s="52">
        <f t="shared" si="410"/>
        <v>0</v>
      </c>
      <c r="M2733" s="18"/>
      <c r="N2733" s="18"/>
      <c r="O2733" s="18"/>
      <c r="P2733" s="18"/>
      <c r="Q2733" s="22"/>
      <c r="R2733" s="21"/>
      <c r="S2733" s="21"/>
      <c r="T2733" s="21"/>
      <c r="AA2733"/>
      <c r="AH2733" t="str">
        <f t="shared" si="411"/>
        <v>k yet</v>
      </c>
    </row>
    <row r="2734" spans="1:34">
      <c r="A2734" s="42" t="s">
        <v>262</v>
      </c>
      <c r="B2734" s="40" t="str">
        <f t="shared" si="408"/>
        <v>No pick yet</v>
      </c>
      <c r="C2734" s="40" t="str">
        <f t="shared" si="407"/>
        <v>17-&gt;</v>
      </c>
      <c r="D2734" s="40" t="str">
        <f t="shared" si="409"/>
        <v xml:space="preserve">No pick yet                                                 </v>
      </c>
      <c r="E2734" s="52">
        <f t="shared" si="410"/>
        <v>0</v>
      </c>
      <c r="K2734" s="22"/>
      <c r="N2734" s="22"/>
      <c r="O2734" s="22"/>
      <c r="P2734" s="22"/>
      <c r="Q2734" s="22"/>
      <c r="R2734" s="22"/>
      <c r="S2734" s="22"/>
      <c r="Z2734" s="53"/>
      <c r="AA2734"/>
      <c r="AH2734" t="str">
        <f t="shared" si="411"/>
        <v>k yet</v>
      </c>
    </row>
    <row r="2735" spans="1:34">
      <c r="A2735" s="42" t="s">
        <v>263</v>
      </c>
      <c r="B2735" s="40" t="str">
        <f t="shared" si="408"/>
        <v>No pick yet</v>
      </c>
      <c r="C2735" s="40" t="str">
        <f t="shared" si="407"/>
        <v>18-&gt;</v>
      </c>
      <c r="D2735" s="40" t="str">
        <f t="shared" si="409"/>
        <v xml:space="preserve">No pick yet                                                 </v>
      </c>
      <c r="E2735" s="52">
        <f t="shared" si="410"/>
        <v>0</v>
      </c>
      <c r="F2735" s="18"/>
      <c r="L2735" s="21"/>
      <c r="N2735" s="22"/>
      <c r="O2735" s="22"/>
      <c r="P2735" s="18"/>
      <c r="Q2735" s="22"/>
      <c r="R2735" s="22"/>
      <c r="S2735" s="22"/>
      <c r="Z2735" s="53"/>
      <c r="AA2735"/>
      <c r="AH2735" t="str">
        <f t="shared" si="411"/>
        <v>k yet</v>
      </c>
    </row>
    <row r="2736" spans="1:34">
      <c r="A2736" s="42" t="s">
        <v>264</v>
      </c>
      <c r="B2736" s="40" t="str">
        <f t="shared" si="408"/>
        <v>No pick yet</v>
      </c>
      <c r="C2736" s="40" t="str">
        <f t="shared" si="407"/>
        <v>19-&gt;</v>
      </c>
      <c r="D2736" s="40" t="str">
        <f t="shared" si="409"/>
        <v xml:space="preserve">No pick yet                                                 </v>
      </c>
      <c r="E2736" s="52">
        <f t="shared" si="410"/>
        <v>0</v>
      </c>
      <c r="F2736" s="18"/>
      <c r="M2736" s="18"/>
      <c r="N2736" s="18"/>
      <c r="O2736" s="18"/>
      <c r="P2736" s="18"/>
      <c r="Q2736" s="22"/>
      <c r="R2736" s="21"/>
      <c r="S2736" s="21"/>
      <c r="T2736" s="21"/>
      <c r="AA2736"/>
      <c r="AH2736" t="str">
        <f t="shared" si="411"/>
        <v>k yet</v>
      </c>
    </row>
    <row r="2737" spans="1:39">
      <c r="A2737" s="42" t="s">
        <v>265</v>
      </c>
      <c r="B2737" s="40" t="str">
        <f t="shared" si="408"/>
        <v>No pick yet</v>
      </c>
      <c r="C2737" s="40" t="str">
        <f t="shared" si="407"/>
        <v>20-&gt;</v>
      </c>
      <c r="D2737" s="40" t="str">
        <f t="shared" si="409"/>
        <v xml:space="preserve">No pick yet                                                 </v>
      </c>
      <c r="E2737" s="52">
        <f t="shared" si="410"/>
        <v>0</v>
      </c>
      <c r="F2737" s="18"/>
      <c r="M2737" s="18"/>
      <c r="N2737" s="18"/>
      <c r="O2737" s="18"/>
      <c r="P2737" s="18"/>
      <c r="Q2737" s="22"/>
      <c r="R2737" s="21"/>
      <c r="S2737" s="21"/>
      <c r="T2737" s="21"/>
      <c r="AA2737"/>
      <c r="AH2737" t="str">
        <f t="shared" si="411"/>
        <v>k yet</v>
      </c>
    </row>
    <row r="2738" spans="1:39">
      <c r="A2738" s="42" t="s">
        <v>266</v>
      </c>
      <c r="B2738" s="40" t="str">
        <f t="shared" si="408"/>
        <v>No pick yet</v>
      </c>
      <c r="C2738" s="40" t="str">
        <f t="shared" si="407"/>
        <v>21-&gt;</v>
      </c>
      <c r="D2738" s="40" t="str">
        <f t="shared" si="409"/>
        <v xml:space="preserve">No pick yet                                                 </v>
      </c>
      <c r="E2738" s="52">
        <f t="shared" si="410"/>
        <v>0</v>
      </c>
      <c r="F2738" s="18"/>
      <c r="M2738" s="18"/>
      <c r="N2738" s="18"/>
      <c r="O2738" s="18"/>
      <c r="P2738" s="18"/>
      <c r="Q2738" s="22"/>
      <c r="R2738" s="21"/>
      <c r="S2738" s="21"/>
      <c r="T2738" s="21"/>
      <c r="AA2738"/>
      <c r="AH2738" t="str">
        <f t="shared" si="411"/>
        <v>k yet</v>
      </c>
    </row>
    <row r="2739" spans="1:39">
      <c r="A2739" s="42" t="s">
        <v>267</v>
      </c>
      <c r="B2739" s="40" t="str">
        <f t="shared" si="408"/>
        <v>No pick yet</v>
      </c>
      <c r="C2739" s="40" t="str">
        <f t="shared" si="407"/>
        <v>22-&gt;</v>
      </c>
      <c r="D2739" s="40" t="str">
        <f t="shared" si="409"/>
        <v xml:space="preserve">No pick yet                                                 </v>
      </c>
      <c r="E2739" s="52">
        <f t="shared" si="410"/>
        <v>0</v>
      </c>
      <c r="F2739" s="18"/>
      <c r="M2739" s="18"/>
      <c r="N2739" s="18"/>
      <c r="O2739" s="18"/>
      <c r="P2739" s="18"/>
      <c r="Q2739" s="22"/>
      <c r="R2739" s="21"/>
      <c r="S2739" s="21"/>
      <c r="T2739" s="21"/>
      <c r="AA2739"/>
      <c r="AH2739" t="str">
        <f t="shared" si="411"/>
        <v>k yet</v>
      </c>
    </row>
    <row r="2740" spans="1:39">
      <c r="A2740" s="42" t="s">
        <v>268</v>
      </c>
      <c r="B2740" s="40" t="str">
        <f t="shared" si="408"/>
        <v>No pick yet</v>
      </c>
      <c r="C2740" s="40" t="str">
        <f t="shared" si="407"/>
        <v>23-&gt;</v>
      </c>
      <c r="D2740" s="40" t="str">
        <f t="shared" si="409"/>
        <v xml:space="preserve">No pick yet                                                 </v>
      </c>
      <c r="E2740" s="52">
        <f t="shared" si="410"/>
        <v>0</v>
      </c>
      <c r="F2740" s="18"/>
      <c r="M2740" s="18"/>
      <c r="N2740" s="18"/>
      <c r="O2740" s="18"/>
      <c r="P2740" s="18"/>
      <c r="Q2740" s="22"/>
      <c r="R2740" s="21"/>
      <c r="S2740" s="21"/>
      <c r="T2740" s="21"/>
      <c r="AA2740"/>
      <c r="AH2740" t="str">
        <f t="shared" si="411"/>
        <v>k yet</v>
      </c>
    </row>
    <row r="2741" spans="1:39">
      <c r="A2741" s="42" t="s">
        <v>269</v>
      </c>
      <c r="B2741" s="40" t="str">
        <f t="shared" si="408"/>
        <v>No pick yet</v>
      </c>
      <c r="C2741" s="40" t="str">
        <f t="shared" si="407"/>
        <v>24-&gt;</v>
      </c>
      <c r="D2741" s="40" t="str">
        <f t="shared" si="409"/>
        <v xml:space="preserve">No pick yet                                                 </v>
      </c>
      <c r="E2741" s="52">
        <f t="shared" si="410"/>
        <v>0</v>
      </c>
      <c r="F2741" s="18"/>
      <c r="M2741" s="18"/>
      <c r="N2741" s="18"/>
      <c r="O2741" s="18"/>
      <c r="P2741" s="18"/>
      <c r="Q2741" s="22"/>
      <c r="R2741" s="21"/>
      <c r="S2741" s="21"/>
      <c r="T2741" s="21"/>
      <c r="AA2741"/>
      <c r="AH2741" t="str">
        <f t="shared" si="411"/>
        <v>k yet</v>
      </c>
    </row>
    <row r="2742" spans="1:39">
      <c r="A2742" s="42" t="s">
        <v>270</v>
      </c>
      <c r="B2742" s="40" t="str">
        <f t="shared" si="408"/>
        <v>No pick yet</v>
      </c>
      <c r="C2742" s="40" t="str">
        <f t="shared" si="407"/>
        <v>25-&gt;</v>
      </c>
      <c r="D2742" s="40" t="str">
        <f t="shared" si="409"/>
        <v xml:space="preserve">No pick yet                                                 </v>
      </c>
      <c r="E2742" s="52">
        <f t="shared" si="410"/>
        <v>0</v>
      </c>
      <c r="F2742" s="18"/>
      <c r="M2742" s="18"/>
      <c r="N2742" s="18"/>
      <c r="O2742" s="18"/>
      <c r="P2742" s="18"/>
      <c r="Q2742" s="22"/>
      <c r="R2742" s="21"/>
      <c r="S2742" s="21"/>
      <c r="T2742" s="21"/>
      <c r="AA2742"/>
      <c r="AH2742" t="str">
        <f t="shared" si="411"/>
        <v>k yet</v>
      </c>
    </row>
    <row r="2743" spans="1:39">
      <c r="A2743" s="42" t="s">
        <v>271</v>
      </c>
      <c r="B2743" s="40" t="str">
        <f t="shared" si="408"/>
        <v>No pick yet</v>
      </c>
      <c r="C2743" s="40" t="str">
        <f t="shared" si="407"/>
        <v>26-&gt;</v>
      </c>
      <c r="D2743" s="40" t="str">
        <f t="shared" si="409"/>
        <v xml:space="preserve">No pick yet                                                 </v>
      </c>
      <c r="E2743" s="52">
        <f t="shared" si="410"/>
        <v>0</v>
      </c>
      <c r="F2743" s="18"/>
      <c r="M2743" s="18"/>
      <c r="N2743" s="18"/>
      <c r="O2743" s="18"/>
      <c r="P2743" s="18"/>
      <c r="Q2743" s="22"/>
      <c r="R2743" s="21"/>
      <c r="S2743" s="21"/>
      <c r="T2743" s="21"/>
      <c r="AA2743"/>
      <c r="AH2743" t="str">
        <f t="shared" si="411"/>
        <v>k yet</v>
      </c>
    </row>
    <row r="2744" spans="1:39">
      <c r="A2744" s="38"/>
      <c r="B2744" s="40"/>
      <c r="C2744" s="40"/>
      <c r="D2744" s="49"/>
      <c r="E2744" s="41" t="s">
        <v>69</v>
      </c>
      <c r="F2744" s="18"/>
      <c r="K2744" s="22" t="s">
        <v>73</v>
      </c>
      <c r="L2744" s="18" t="s">
        <v>74</v>
      </c>
      <c r="M2744" s="22" t="s">
        <v>78</v>
      </c>
      <c r="N2744" s="22" t="s">
        <v>79</v>
      </c>
      <c r="O2744" s="22" t="s">
        <v>80</v>
      </c>
      <c r="P2744" s="22" t="s">
        <v>81</v>
      </c>
      <c r="Q2744" s="22" t="s">
        <v>82</v>
      </c>
      <c r="R2744" s="22" t="s">
        <v>83</v>
      </c>
      <c r="S2744" s="22" t="s">
        <v>84</v>
      </c>
      <c r="T2744" s="18" t="s">
        <v>85</v>
      </c>
      <c r="U2744" s="18" t="s">
        <v>86</v>
      </c>
      <c r="V2744" s="18" t="s">
        <v>87</v>
      </c>
      <c r="W2744" s="18" t="s">
        <v>88</v>
      </c>
      <c r="X2744" s="18" t="s">
        <v>89</v>
      </c>
      <c r="Y2744" s="18" t="s">
        <v>90</v>
      </c>
      <c r="Z2744" s="18" t="s">
        <v>91</v>
      </c>
      <c r="AA2744" s="18" t="s">
        <v>92</v>
      </c>
      <c r="AB2744" s="18" t="s">
        <v>93</v>
      </c>
      <c r="AC2744" s="18" t="s">
        <v>94</v>
      </c>
      <c r="AD2744" s="18" t="s">
        <v>235</v>
      </c>
      <c r="AE2744" s="18" t="s">
        <v>236</v>
      </c>
      <c r="AF2744" s="18" t="s">
        <v>237</v>
      </c>
      <c r="AG2744" s="18" t="s">
        <v>238</v>
      </c>
      <c r="AH2744" s="18" t="s">
        <v>239</v>
      </c>
      <c r="AI2744" s="18" t="s">
        <v>240</v>
      </c>
      <c r="AJ2744" s="18" t="s">
        <v>241</v>
      </c>
      <c r="AK2744" s="18" t="s">
        <v>242</v>
      </c>
      <c r="AL2744" s="18" t="s">
        <v>243</v>
      </c>
      <c r="AM2744" s="50" t="s">
        <v>244</v>
      </c>
    </row>
    <row r="2745" spans="1:39">
      <c r="A2745" s="40" t="s">
        <v>245</v>
      </c>
      <c r="B2745" s="51" t="str">
        <f>D97</f>
        <v/>
      </c>
      <c r="C2745" s="40" t="str">
        <f t="shared" ref="C2745:C2771" si="412">A2745</f>
        <v>#</v>
      </c>
      <c r="D2745" s="40" t="str">
        <f>"   "&amp;B2745&amp;REPT(" ",$AH$70-LEN(B2745)-3)</f>
        <v xml:space="preserve">                                                            </v>
      </c>
      <c r="E2745" s="38" t="str">
        <f>SUM(E2746:E2771)&amp;" pts[/b]"</f>
        <v>0 pts[/b]</v>
      </c>
      <c r="F2745" s="21">
        <f>SUM(E2746:E2771)</f>
        <v>0</v>
      </c>
      <c r="K2745" s="18">
        <f>COUNTIF(E2746:E2771,"&gt;0")</f>
        <v>0</v>
      </c>
      <c r="L2745" s="21">
        <f>AM2745-K2745</f>
        <v>0</v>
      </c>
      <c r="M2745" s="22">
        <f>MAX(E2746:E2771)</f>
        <v>0</v>
      </c>
      <c r="N2745" s="22">
        <f>LARGE(E2746:E2771,2)</f>
        <v>0</v>
      </c>
      <c r="O2745" s="22">
        <f>LARGE(E2746:E2771,3)</f>
        <v>0</v>
      </c>
      <c r="P2745" s="18">
        <f>LARGE(E2746:E2771,4)</f>
        <v>0</v>
      </c>
      <c r="Q2745" s="22">
        <f>LARGE(E2746:E2771,5)</f>
        <v>0</v>
      </c>
      <c r="R2745" s="22">
        <f>LARGE(E2746:E2771,6)</f>
        <v>0</v>
      </c>
      <c r="S2745" s="22">
        <f>LARGE(E2746:E2771,7)</f>
        <v>0</v>
      </c>
      <c r="T2745" s="18">
        <f>LARGE(E2746:E2771,8)</f>
        <v>0</v>
      </c>
      <c r="U2745" s="18">
        <f>LARGE(E2746:E2771,9)</f>
        <v>0</v>
      </c>
      <c r="V2745" s="18">
        <f>LARGE(E2746:E2771,10)</f>
        <v>0</v>
      </c>
      <c r="W2745" s="18">
        <f>LARGE(E2746:E2771,11)</f>
        <v>0</v>
      </c>
      <c r="X2745" s="18">
        <f>LARGE(E2746:E2771,12)</f>
        <v>0</v>
      </c>
      <c r="Y2745" s="18">
        <f>LARGE(E2746:E2771,13)</f>
        <v>0</v>
      </c>
      <c r="Z2745" s="18">
        <f>LARGE(E2746:E2771,14)</f>
        <v>0</v>
      </c>
      <c r="AA2745" s="18">
        <f>LARGE(E2746:E2771,15)</f>
        <v>0</v>
      </c>
      <c r="AB2745" s="18">
        <f>LARGE(E2746:E2771,16)</f>
        <v>0</v>
      </c>
      <c r="AC2745" s="18">
        <f>LARGE(E2746:E2771,17)</f>
        <v>0</v>
      </c>
      <c r="AD2745" s="18">
        <f>LARGE(E2746:E2772,13)</f>
        <v>0</v>
      </c>
      <c r="AE2745" s="18">
        <f>LARGE(E2746:E2771,19)</f>
        <v>0</v>
      </c>
      <c r="AF2745" s="18">
        <f>LARGE(E2746:E2771,20)</f>
        <v>0</v>
      </c>
      <c r="AG2745" s="18">
        <f>LARGE(E2746:E2771,21)</f>
        <v>0</v>
      </c>
      <c r="AH2745" s="18">
        <f>LARGE(E2746:E2771,22)</f>
        <v>0</v>
      </c>
      <c r="AI2745" s="18">
        <f>LARGE(E2746:E2771,23)</f>
        <v>0</v>
      </c>
      <c r="AJ2745" s="18">
        <f>LARGE(E2746:E2771,24)</f>
        <v>0</v>
      </c>
      <c r="AK2745" s="18">
        <f>LARGE(E2746:E2771,25)</f>
        <v>0</v>
      </c>
      <c r="AL2745" s="18">
        <f>LARGE(E2746:E2771,26)</f>
        <v>0</v>
      </c>
      <c r="AM2745" s="50">
        <f>COUNTIF(B2746:B2771,"&lt;&gt;"&amp;AH74)</f>
        <v>0</v>
      </c>
    </row>
    <row r="2746" spans="1:39">
      <c r="A2746" s="42" t="s">
        <v>246</v>
      </c>
      <c r="B2746" s="40" t="str">
        <f t="shared" ref="B2746:B2771" si="413">$AH$74</f>
        <v>No pick yet</v>
      </c>
      <c r="C2746" s="40" t="str">
        <f t="shared" si="412"/>
        <v>01-&gt;</v>
      </c>
      <c r="D2746" s="40" t="str">
        <f t="shared" ref="D2746:D2771" si="414">B2746&amp;REPT(" ",$AH$70-LEN(B2746))</f>
        <v xml:space="preserve">No pick yet                                                 </v>
      </c>
      <c r="E2746" s="52">
        <f t="shared" ref="E2746:E2771" si="415">VLOOKUP(RIGHT(B2746,LEN(B2746)-$AH$66),$H$138:$I$420,2,0)</f>
        <v>0</v>
      </c>
      <c r="F2746" s="18"/>
      <c r="M2746" s="18"/>
      <c r="N2746" s="18"/>
      <c r="O2746" s="18"/>
      <c r="P2746" s="18"/>
      <c r="Q2746" s="22"/>
      <c r="R2746" s="21"/>
      <c r="S2746" s="21"/>
      <c r="T2746" s="21"/>
      <c r="AA2746"/>
      <c r="AH2746" t="str">
        <f t="shared" ref="AH2746:AH2771" si="416">RIGHT(B2746,LEN(B2746)-$AH$66)</f>
        <v>k yet</v>
      </c>
    </row>
    <row r="2747" spans="1:39">
      <c r="A2747" s="42" t="s">
        <v>247</v>
      </c>
      <c r="B2747" s="40" t="str">
        <f t="shared" si="413"/>
        <v>No pick yet</v>
      </c>
      <c r="C2747" s="40" t="str">
        <f t="shared" si="412"/>
        <v>02-&gt;</v>
      </c>
      <c r="D2747" s="40" t="str">
        <f t="shared" si="414"/>
        <v xml:space="preserve">No pick yet                                                 </v>
      </c>
      <c r="E2747" s="52">
        <f t="shared" si="415"/>
        <v>0</v>
      </c>
      <c r="F2747" s="18"/>
      <c r="K2747" s="22"/>
      <c r="N2747" s="22"/>
      <c r="O2747" s="22"/>
      <c r="P2747" s="22"/>
      <c r="Q2747" s="22"/>
      <c r="R2747" s="22"/>
      <c r="S2747" s="22"/>
      <c r="Z2747" s="53"/>
      <c r="AA2747"/>
      <c r="AH2747" t="str">
        <f t="shared" si="416"/>
        <v>k yet</v>
      </c>
    </row>
    <row r="2748" spans="1:39">
      <c r="A2748" s="42" t="s">
        <v>248</v>
      </c>
      <c r="B2748" s="40" t="str">
        <f t="shared" si="413"/>
        <v>No pick yet</v>
      </c>
      <c r="C2748" s="40" t="str">
        <f t="shared" si="412"/>
        <v>03-&gt;</v>
      </c>
      <c r="D2748" s="40" t="str">
        <f t="shared" si="414"/>
        <v xml:space="preserve">No pick yet                                                 </v>
      </c>
      <c r="E2748" s="52">
        <f t="shared" si="415"/>
        <v>0</v>
      </c>
      <c r="F2748" s="18"/>
      <c r="L2748" s="21"/>
      <c r="N2748" s="22"/>
      <c r="O2748" s="22"/>
      <c r="P2748" s="18"/>
      <c r="Q2748" s="22"/>
      <c r="R2748" s="22"/>
      <c r="S2748" s="22"/>
      <c r="Z2748" s="53"/>
      <c r="AA2748"/>
      <c r="AH2748" t="str">
        <f t="shared" si="416"/>
        <v>k yet</v>
      </c>
    </row>
    <row r="2749" spans="1:39">
      <c r="A2749" s="42" t="s">
        <v>249</v>
      </c>
      <c r="B2749" s="40" t="str">
        <f t="shared" si="413"/>
        <v>No pick yet</v>
      </c>
      <c r="C2749" s="40" t="str">
        <f t="shared" si="412"/>
        <v>04-&gt;</v>
      </c>
      <c r="D2749" s="40" t="str">
        <f t="shared" si="414"/>
        <v xml:space="preserve">No pick yet                                                 </v>
      </c>
      <c r="E2749" s="52">
        <f t="shared" si="415"/>
        <v>0</v>
      </c>
      <c r="F2749" s="18"/>
      <c r="M2749" s="18"/>
      <c r="N2749" s="18"/>
      <c r="O2749" s="18"/>
      <c r="P2749" s="18"/>
      <c r="Q2749" s="22"/>
      <c r="R2749" s="21"/>
      <c r="S2749" s="21"/>
      <c r="T2749" s="21"/>
      <c r="AA2749"/>
      <c r="AH2749" t="str">
        <f t="shared" si="416"/>
        <v>k yet</v>
      </c>
    </row>
    <row r="2750" spans="1:39">
      <c r="A2750" s="42" t="s">
        <v>250</v>
      </c>
      <c r="B2750" s="40" t="str">
        <f t="shared" si="413"/>
        <v>No pick yet</v>
      </c>
      <c r="C2750" s="40" t="str">
        <f t="shared" si="412"/>
        <v>05-&gt;</v>
      </c>
      <c r="D2750" s="40" t="str">
        <f t="shared" si="414"/>
        <v xml:space="preserve">No pick yet                                                 </v>
      </c>
      <c r="E2750" s="52">
        <f t="shared" si="415"/>
        <v>0</v>
      </c>
      <c r="F2750" s="18"/>
      <c r="M2750" s="18"/>
      <c r="N2750" s="18"/>
      <c r="O2750" s="18"/>
      <c r="P2750" s="18"/>
      <c r="Q2750" s="22"/>
      <c r="R2750" s="21"/>
      <c r="S2750" s="21"/>
      <c r="T2750" s="21"/>
      <c r="AA2750"/>
      <c r="AH2750" t="str">
        <f t="shared" si="416"/>
        <v>k yet</v>
      </c>
    </row>
    <row r="2751" spans="1:39">
      <c r="A2751" s="42" t="s">
        <v>251</v>
      </c>
      <c r="B2751" s="40" t="str">
        <f t="shared" si="413"/>
        <v>No pick yet</v>
      </c>
      <c r="C2751" s="40" t="str">
        <f t="shared" si="412"/>
        <v>06-&gt;</v>
      </c>
      <c r="D2751" s="40" t="str">
        <f t="shared" si="414"/>
        <v xml:space="preserve">No pick yet                                                 </v>
      </c>
      <c r="E2751" s="52">
        <f t="shared" si="415"/>
        <v>0</v>
      </c>
      <c r="F2751" s="18"/>
      <c r="M2751" s="18"/>
      <c r="N2751" s="18"/>
      <c r="O2751" s="18"/>
      <c r="P2751" s="18"/>
      <c r="Q2751" s="22"/>
      <c r="R2751" s="21"/>
      <c r="S2751" s="21"/>
      <c r="T2751" s="21"/>
      <c r="AA2751"/>
      <c r="AH2751" t="str">
        <f t="shared" si="416"/>
        <v>k yet</v>
      </c>
    </row>
    <row r="2752" spans="1:39">
      <c r="A2752" s="42" t="s">
        <v>252</v>
      </c>
      <c r="B2752" s="40" t="str">
        <f t="shared" si="413"/>
        <v>No pick yet</v>
      </c>
      <c r="C2752" s="40" t="str">
        <f t="shared" si="412"/>
        <v>07-&gt;</v>
      </c>
      <c r="D2752" s="40" t="str">
        <f t="shared" si="414"/>
        <v xml:space="preserve">No pick yet                                                 </v>
      </c>
      <c r="E2752" s="52">
        <f t="shared" si="415"/>
        <v>0</v>
      </c>
      <c r="F2752" s="18"/>
      <c r="M2752" s="18"/>
      <c r="N2752" s="18"/>
      <c r="O2752" s="18"/>
      <c r="P2752" s="18"/>
      <c r="Q2752" s="22"/>
      <c r="R2752" s="21"/>
      <c r="S2752" s="21"/>
      <c r="T2752" s="21"/>
      <c r="AA2752"/>
      <c r="AH2752" t="str">
        <f t="shared" si="416"/>
        <v>k yet</v>
      </c>
    </row>
    <row r="2753" spans="1:34">
      <c r="A2753" s="42" t="s">
        <v>253</v>
      </c>
      <c r="B2753" s="40" t="str">
        <f t="shared" si="413"/>
        <v>No pick yet</v>
      </c>
      <c r="C2753" s="40" t="str">
        <f t="shared" si="412"/>
        <v>08-&gt;</v>
      </c>
      <c r="D2753" s="40" t="str">
        <f t="shared" si="414"/>
        <v xml:space="preserve">No pick yet                                                 </v>
      </c>
      <c r="E2753" s="52">
        <f t="shared" si="415"/>
        <v>0</v>
      </c>
      <c r="F2753" s="18"/>
      <c r="M2753" s="18"/>
      <c r="N2753" s="18"/>
      <c r="O2753" s="18"/>
      <c r="P2753" s="18"/>
      <c r="Q2753" s="22"/>
      <c r="R2753" s="21"/>
      <c r="S2753" s="21"/>
      <c r="T2753" s="21"/>
      <c r="AA2753"/>
      <c r="AH2753" t="str">
        <f t="shared" si="416"/>
        <v>k yet</v>
      </c>
    </row>
    <row r="2754" spans="1:34">
      <c r="A2754" s="42" t="s">
        <v>254</v>
      </c>
      <c r="B2754" s="40" t="str">
        <f t="shared" si="413"/>
        <v>No pick yet</v>
      </c>
      <c r="C2754" s="40" t="str">
        <f t="shared" si="412"/>
        <v>09-&gt;</v>
      </c>
      <c r="D2754" s="40" t="str">
        <f t="shared" si="414"/>
        <v xml:space="preserve">No pick yet                                                 </v>
      </c>
      <c r="E2754" s="52">
        <f t="shared" si="415"/>
        <v>0</v>
      </c>
      <c r="F2754" s="18"/>
      <c r="M2754" s="18"/>
      <c r="N2754" s="18"/>
      <c r="O2754" s="18"/>
      <c r="P2754" s="18"/>
      <c r="Q2754" s="22"/>
      <c r="R2754" s="21"/>
      <c r="S2754" s="21"/>
      <c r="T2754" s="21"/>
      <c r="AA2754"/>
      <c r="AH2754" t="str">
        <f t="shared" si="416"/>
        <v>k yet</v>
      </c>
    </row>
    <row r="2755" spans="1:34">
      <c r="A2755" s="42" t="s">
        <v>255</v>
      </c>
      <c r="B2755" s="40" t="str">
        <f t="shared" si="413"/>
        <v>No pick yet</v>
      </c>
      <c r="C2755" s="40" t="str">
        <f t="shared" si="412"/>
        <v>10-&gt;</v>
      </c>
      <c r="D2755" s="40" t="str">
        <f t="shared" si="414"/>
        <v xml:space="preserve">No pick yet                                                 </v>
      </c>
      <c r="E2755" s="52">
        <f t="shared" si="415"/>
        <v>0</v>
      </c>
      <c r="F2755" s="22"/>
      <c r="M2755" s="18"/>
      <c r="N2755" s="18"/>
      <c r="O2755" s="18"/>
      <c r="P2755" s="18"/>
      <c r="Q2755" s="22"/>
      <c r="R2755" s="21"/>
      <c r="S2755" s="21"/>
      <c r="T2755" s="21"/>
      <c r="AA2755"/>
      <c r="AH2755" t="str">
        <f t="shared" si="416"/>
        <v>k yet</v>
      </c>
    </row>
    <row r="2756" spans="1:34">
      <c r="A2756" s="42" t="s">
        <v>256</v>
      </c>
      <c r="B2756" s="40" t="str">
        <f t="shared" si="413"/>
        <v>No pick yet</v>
      </c>
      <c r="C2756" s="40" t="str">
        <f t="shared" si="412"/>
        <v>11-&gt;</v>
      </c>
      <c r="D2756" s="40" t="str">
        <f t="shared" si="414"/>
        <v xml:space="preserve">No pick yet                                                 </v>
      </c>
      <c r="E2756" s="52">
        <f t="shared" si="415"/>
        <v>0</v>
      </c>
      <c r="M2756" s="18"/>
      <c r="N2756" s="18"/>
      <c r="O2756" s="18"/>
      <c r="P2756" s="18"/>
      <c r="Q2756" s="22"/>
      <c r="R2756" s="21"/>
      <c r="S2756" s="21"/>
      <c r="T2756" s="21"/>
      <c r="AA2756"/>
      <c r="AH2756" t="str">
        <f t="shared" si="416"/>
        <v>k yet</v>
      </c>
    </row>
    <row r="2757" spans="1:34">
      <c r="A2757" s="42" t="s">
        <v>257</v>
      </c>
      <c r="B2757" s="40" t="str">
        <f t="shared" si="413"/>
        <v>No pick yet</v>
      </c>
      <c r="C2757" s="40" t="str">
        <f t="shared" si="412"/>
        <v>12-&gt;</v>
      </c>
      <c r="D2757" s="40" t="str">
        <f t="shared" si="414"/>
        <v xml:space="preserve">No pick yet                                                 </v>
      </c>
      <c r="E2757" s="52">
        <f t="shared" si="415"/>
        <v>0</v>
      </c>
      <c r="M2757" s="18"/>
      <c r="N2757" s="18"/>
      <c r="O2757" s="18"/>
      <c r="P2757" s="18"/>
      <c r="Q2757" s="22"/>
      <c r="R2757" s="21"/>
      <c r="S2757" s="21"/>
      <c r="T2757" s="21"/>
      <c r="AA2757"/>
      <c r="AH2757" t="str">
        <f t="shared" si="416"/>
        <v>k yet</v>
      </c>
    </row>
    <row r="2758" spans="1:34">
      <c r="A2758" s="42" t="s">
        <v>258</v>
      </c>
      <c r="B2758" s="40" t="str">
        <f t="shared" si="413"/>
        <v>No pick yet</v>
      </c>
      <c r="C2758" s="40" t="str">
        <f t="shared" si="412"/>
        <v>13-&gt;</v>
      </c>
      <c r="D2758" s="40" t="str">
        <f t="shared" si="414"/>
        <v xml:space="preserve">No pick yet                                                 </v>
      </c>
      <c r="E2758" s="52">
        <f t="shared" si="415"/>
        <v>0</v>
      </c>
      <c r="M2758" s="18"/>
      <c r="N2758" s="18"/>
      <c r="O2758" s="18"/>
      <c r="P2758" s="18"/>
      <c r="Q2758" s="22"/>
      <c r="R2758" s="21"/>
      <c r="S2758" s="21"/>
      <c r="T2758" s="21"/>
      <c r="AA2758"/>
      <c r="AH2758" t="str">
        <f t="shared" si="416"/>
        <v>k yet</v>
      </c>
    </row>
    <row r="2759" spans="1:34">
      <c r="A2759" s="42" t="s">
        <v>259</v>
      </c>
      <c r="B2759" s="40" t="str">
        <f t="shared" si="413"/>
        <v>No pick yet</v>
      </c>
      <c r="C2759" s="40" t="str">
        <f t="shared" si="412"/>
        <v>14-&gt;</v>
      </c>
      <c r="D2759" s="40" t="str">
        <f t="shared" si="414"/>
        <v xml:space="preserve">No pick yet                                                 </v>
      </c>
      <c r="E2759" s="52">
        <f t="shared" si="415"/>
        <v>0</v>
      </c>
      <c r="M2759" s="18"/>
      <c r="N2759" s="18"/>
      <c r="O2759" s="18"/>
      <c r="P2759" s="18"/>
      <c r="Q2759" s="22"/>
      <c r="R2759" s="21"/>
      <c r="S2759" s="21"/>
      <c r="T2759" s="21"/>
      <c r="AA2759"/>
      <c r="AH2759" t="str">
        <f t="shared" si="416"/>
        <v>k yet</v>
      </c>
    </row>
    <row r="2760" spans="1:34">
      <c r="A2760" s="42" t="s">
        <v>260</v>
      </c>
      <c r="B2760" s="40" t="str">
        <f t="shared" si="413"/>
        <v>No pick yet</v>
      </c>
      <c r="C2760" s="40" t="str">
        <f t="shared" si="412"/>
        <v>15-&gt;</v>
      </c>
      <c r="D2760" s="40" t="str">
        <f t="shared" si="414"/>
        <v xml:space="preserve">No pick yet                                                 </v>
      </c>
      <c r="E2760" s="52">
        <f t="shared" si="415"/>
        <v>0</v>
      </c>
      <c r="M2760" s="18"/>
      <c r="N2760" s="18"/>
      <c r="O2760" s="18"/>
      <c r="P2760" s="18"/>
      <c r="Q2760" s="22"/>
      <c r="R2760" s="21"/>
      <c r="S2760" s="21"/>
      <c r="T2760" s="21"/>
      <c r="AA2760"/>
      <c r="AH2760" t="str">
        <f t="shared" si="416"/>
        <v>k yet</v>
      </c>
    </row>
    <row r="2761" spans="1:34">
      <c r="A2761" s="42" t="s">
        <v>261</v>
      </c>
      <c r="B2761" s="40" t="str">
        <f t="shared" si="413"/>
        <v>No pick yet</v>
      </c>
      <c r="C2761" s="40" t="str">
        <f t="shared" si="412"/>
        <v>16-&gt;</v>
      </c>
      <c r="D2761" s="40" t="str">
        <f t="shared" si="414"/>
        <v xml:space="preserve">No pick yet                                                 </v>
      </c>
      <c r="E2761" s="52">
        <f t="shared" si="415"/>
        <v>0</v>
      </c>
      <c r="M2761" s="18"/>
      <c r="N2761" s="18"/>
      <c r="O2761" s="18"/>
      <c r="P2761" s="18"/>
      <c r="Q2761" s="22"/>
      <c r="R2761" s="21"/>
      <c r="S2761" s="21"/>
      <c r="T2761" s="21"/>
      <c r="AA2761"/>
      <c r="AH2761" t="str">
        <f t="shared" si="416"/>
        <v>k yet</v>
      </c>
    </row>
    <row r="2762" spans="1:34">
      <c r="A2762" s="42" t="s">
        <v>262</v>
      </c>
      <c r="B2762" s="40" t="str">
        <f t="shared" si="413"/>
        <v>No pick yet</v>
      </c>
      <c r="C2762" s="40" t="str">
        <f t="shared" si="412"/>
        <v>17-&gt;</v>
      </c>
      <c r="D2762" s="40" t="str">
        <f t="shared" si="414"/>
        <v xml:space="preserve">No pick yet                                                 </v>
      </c>
      <c r="E2762" s="52">
        <f t="shared" si="415"/>
        <v>0</v>
      </c>
      <c r="K2762" s="22"/>
      <c r="N2762" s="22"/>
      <c r="O2762" s="22"/>
      <c r="P2762" s="22"/>
      <c r="Q2762" s="22"/>
      <c r="R2762" s="22"/>
      <c r="S2762" s="22"/>
      <c r="Z2762" s="53"/>
      <c r="AA2762"/>
      <c r="AH2762" t="str">
        <f t="shared" si="416"/>
        <v>k yet</v>
      </c>
    </row>
    <row r="2763" spans="1:34">
      <c r="A2763" s="42" t="s">
        <v>263</v>
      </c>
      <c r="B2763" s="40" t="str">
        <f t="shared" si="413"/>
        <v>No pick yet</v>
      </c>
      <c r="C2763" s="40" t="str">
        <f t="shared" si="412"/>
        <v>18-&gt;</v>
      </c>
      <c r="D2763" s="40" t="str">
        <f t="shared" si="414"/>
        <v xml:space="preserve">No pick yet                                                 </v>
      </c>
      <c r="E2763" s="52">
        <f t="shared" si="415"/>
        <v>0</v>
      </c>
      <c r="F2763" s="18"/>
      <c r="L2763" s="21"/>
      <c r="N2763" s="22"/>
      <c r="O2763" s="22"/>
      <c r="P2763" s="18"/>
      <c r="Q2763" s="22"/>
      <c r="R2763" s="22"/>
      <c r="S2763" s="22"/>
      <c r="Z2763" s="53"/>
      <c r="AA2763"/>
      <c r="AH2763" t="str">
        <f t="shared" si="416"/>
        <v>k yet</v>
      </c>
    </row>
    <row r="2764" spans="1:34">
      <c r="A2764" s="42" t="s">
        <v>264</v>
      </c>
      <c r="B2764" s="40" t="str">
        <f t="shared" si="413"/>
        <v>No pick yet</v>
      </c>
      <c r="C2764" s="40" t="str">
        <f t="shared" si="412"/>
        <v>19-&gt;</v>
      </c>
      <c r="D2764" s="40" t="str">
        <f t="shared" si="414"/>
        <v xml:space="preserve">No pick yet                                                 </v>
      </c>
      <c r="E2764" s="52">
        <f t="shared" si="415"/>
        <v>0</v>
      </c>
      <c r="F2764" s="18"/>
      <c r="M2764" s="18"/>
      <c r="N2764" s="18"/>
      <c r="O2764" s="18"/>
      <c r="P2764" s="18"/>
      <c r="Q2764" s="22"/>
      <c r="R2764" s="21"/>
      <c r="S2764" s="21"/>
      <c r="T2764" s="21"/>
      <c r="AA2764"/>
      <c r="AH2764" t="str">
        <f t="shared" si="416"/>
        <v>k yet</v>
      </c>
    </row>
    <row r="2765" spans="1:34">
      <c r="A2765" s="42" t="s">
        <v>265</v>
      </c>
      <c r="B2765" s="40" t="str">
        <f t="shared" si="413"/>
        <v>No pick yet</v>
      </c>
      <c r="C2765" s="40" t="str">
        <f t="shared" si="412"/>
        <v>20-&gt;</v>
      </c>
      <c r="D2765" s="40" t="str">
        <f t="shared" si="414"/>
        <v xml:space="preserve">No pick yet                                                 </v>
      </c>
      <c r="E2765" s="52">
        <f t="shared" si="415"/>
        <v>0</v>
      </c>
      <c r="F2765" s="18"/>
      <c r="M2765" s="18"/>
      <c r="N2765" s="18"/>
      <c r="O2765" s="18"/>
      <c r="P2765" s="18"/>
      <c r="Q2765" s="22"/>
      <c r="R2765" s="21"/>
      <c r="S2765" s="21"/>
      <c r="T2765" s="21"/>
      <c r="AA2765"/>
      <c r="AH2765" t="str">
        <f t="shared" si="416"/>
        <v>k yet</v>
      </c>
    </row>
    <row r="2766" spans="1:34">
      <c r="A2766" s="42" t="s">
        <v>266</v>
      </c>
      <c r="B2766" s="40" t="str">
        <f t="shared" si="413"/>
        <v>No pick yet</v>
      </c>
      <c r="C2766" s="40" t="str">
        <f t="shared" si="412"/>
        <v>21-&gt;</v>
      </c>
      <c r="D2766" s="40" t="str">
        <f t="shared" si="414"/>
        <v xml:space="preserve">No pick yet                                                 </v>
      </c>
      <c r="E2766" s="52">
        <f t="shared" si="415"/>
        <v>0</v>
      </c>
      <c r="F2766" s="18"/>
      <c r="M2766" s="18"/>
      <c r="N2766" s="18"/>
      <c r="O2766" s="18"/>
      <c r="P2766" s="18"/>
      <c r="Q2766" s="22"/>
      <c r="R2766" s="21"/>
      <c r="S2766" s="21"/>
      <c r="T2766" s="21"/>
      <c r="AA2766"/>
      <c r="AH2766" t="str">
        <f t="shared" si="416"/>
        <v>k yet</v>
      </c>
    </row>
    <row r="2767" spans="1:34">
      <c r="A2767" s="42" t="s">
        <v>267</v>
      </c>
      <c r="B2767" s="40" t="str">
        <f t="shared" si="413"/>
        <v>No pick yet</v>
      </c>
      <c r="C2767" s="40" t="str">
        <f t="shared" si="412"/>
        <v>22-&gt;</v>
      </c>
      <c r="D2767" s="40" t="str">
        <f t="shared" si="414"/>
        <v xml:space="preserve">No pick yet                                                 </v>
      </c>
      <c r="E2767" s="52">
        <f t="shared" si="415"/>
        <v>0</v>
      </c>
      <c r="F2767" s="18"/>
      <c r="M2767" s="18"/>
      <c r="N2767" s="18"/>
      <c r="O2767" s="18"/>
      <c r="P2767" s="18"/>
      <c r="Q2767" s="22"/>
      <c r="R2767" s="21"/>
      <c r="S2767" s="21"/>
      <c r="T2767" s="21"/>
      <c r="AA2767"/>
      <c r="AH2767" t="str">
        <f t="shared" si="416"/>
        <v>k yet</v>
      </c>
    </row>
    <row r="2768" spans="1:34">
      <c r="A2768" s="42" t="s">
        <v>268</v>
      </c>
      <c r="B2768" s="40" t="str">
        <f t="shared" si="413"/>
        <v>No pick yet</v>
      </c>
      <c r="C2768" s="40" t="str">
        <f t="shared" si="412"/>
        <v>23-&gt;</v>
      </c>
      <c r="D2768" s="40" t="str">
        <f t="shared" si="414"/>
        <v xml:space="preserve">No pick yet                                                 </v>
      </c>
      <c r="E2768" s="52">
        <f t="shared" si="415"/>
        <v>0</v>
      </c>
      <c r="F2768" s="18"/>
      <c r="M2768" s="18"/>
      <c r="N2768" s="18"/>
      <c r="O2768" s="18"/>
      <c r="P2768" s="18"/>
      <c r="Q2768" s="22"/>
      <c r="R2768" s="21"/>
      <c r="S2768" s="21"/>
      <c r="T2768" s="21"/>
      <c r="AA2768"/>
      <c r="AH2768" t="str">
        <f t="shared" si="416"/>
        <v>k yet</v>
      </c>
    </row>
    <row r="2769" spans="1:39">
      <c r="A2769" s="42" t="s">
        <v>269</v>
      </c>
      <c r="B2769" s="40" t="str">
        <f t="shared" si="413"/>
        <v>No pick yet</v>
      </c>
      <c r="C2769" s="40" t="str">
        <f t="shared" si="412"/>
        <v>24-&gt;</v>
      </c>
      <c r="D2769" s="40" t="str">
        <f t="shared" si="414"/>
        <v xml:space="preserve">No pick yet                                                 </v>
      </c>
      <c r="E2769" s="52">
        <f t="shared" si="415"/>
        <v>0</v>
      </c>
      <c r="F2769" s="18"/>
      <c r="M2769" s="18"/>
      <c r="N2769" s="18"/>
      <c r="O2769" s="18"/>
      <c r="P2769" s="18"/>
      <c r="Q2769" s="22"/>
      <c r="R2769" s="21"/>
      <c r="S2769" s="21"/>
      <c r="T2769" s="21"/>
      <c r="AA2769"/>
      <c r="AH2769" t="str">
        <f t="shared" si="416"/>
        <v>k yet</v>
      </c>
    </row>
    <row r="2770" spans="1:39">
      <c r="A2770" s="42" t="s">
        <v>270</v>
      </c>
      <c r="B2770" s="40" t="str">
        <f t="shared" si="413"/>
        <v>No pick yet</v>
      </c>
      <c r="C2770" s="40" t="str">
        <f t="shared" si="412"/>
        <v>25-&gt;</v>
      </c>
      <c r="D2770" s="40" t="str">
        <f t="shared" si="414"/>
        <v xml:space="preserve">No pick yet                                                 </v>
      </c>
      <c r="E2770" s="52">
        <f t="shared" si="415"/>
        <v>0</v>
      </c>
      <c r="F2770" s="18"/>
      <c r="M2770" s="18"/>
      <c r="N2770" s="18"/>
      <c r="O2770" s="18"/>
      <c r="P2770" s="18"/>
      <c r="Q2770" s="22"/>
      <c r="R2770" s="21"/>
      <c r="S2770" s="21"/>
      <c r="T2770" s="21"/>
      <c r="AA2770"/>
      <c r="AH2770" t="str">
        <f t="shared" si="416"/>
        <v>k yet</v>
      </c>
    </row>
    <row r="2771" spans="1:39">
      <c r="A2771" s="42" t="s">
        <v>271</v>
      </c>
      <c r="B2771" s="40" t="str">
        <f t="shared" si="413"/>
        <v>No pick yet</v>
      </c>
      <c r="C2771" s="40" t="str">
        <f t="shared" si="412"/>
        <v>26-&gt;</v>
      </c>
      <c r="D2771" s="40" t="str">
        <f t="shared" si="414"/>
        <v xml:space="preserve">No pick yet                                                 </v>
      </c>
      <c r="E2771" s="52">
        <f t="shared" si="415"/>
        <v>0</v>
      </c>
      <c r="F2771" s="18"/>
      <c r="M2771" s="18"/>
      <c r="N2771" s="18"/>
      <c r="O2771" s="18"/>
      <c r="P2771" s="18"/>
      <c r="Q2771" s="22"/>
      <c r="R2771" s="21"/>
      <c r="S2771" s="21"/>
      <c r="T2771" s="21"/>
      <c r="AA2771"/>
      <c r="AH2771" t="str">
        <f t="shared" si="416"/>
        <v>k yet</v>
      </c>
    </row>
    <row r="2772" spans="1:39">
      <c r="A2772" s="38"/>
      <c r="B2772" s="40"/>
      <c r="C2772" s="40"/>
      <c r="D2772" s="49"/>
      <c r="E2772" s="41" t="s">
        <v>69</v>
      </c>
      <c r="F2772" s="18"/>
      <c r="K2772" s="22" t="s">
        <v>73</v>
      </c>
      <c r="L2772" s="18" t="s">
        <v>74</v>
      </c>
      <c r="M2772" s="22" t="s">
        <v>78</v>
      </c>
      <c r="N2772" s="22" t="s">
        <v>79</v>
      </c>
      <c r="O2772" s="22" t="s">
        <v>80</v>
      </c>
      <c r="P2772" s="22" t="s">
        <v>81</v>
      </c>
      <c r="Q2772" s="22" t="s">
        <v>82</v>
      </c>
      <c r="R2772" s="22" t="s">
        <v>83</v>
      </c>
      <c r="S2772" s="22" t="s">
        <v>84</v>
      </c>
      <c r="T2772" s="18" t="s">
        <v>85</v>
      </c>
      <c r="U2772" s="18" t="s">
        <v>86</v>
      </c>
      <c r="V2772" s="18" t="s">
        <v>87</v>
      </c>
      <c r="W2772" s="18" t="s">
        <v>88</v>
      </c>
      <c r="X2772" s="18" t="s">
        <v>89</v>
      </c>
      <c r="Y2772" s="18" t="s">
        <v>90</v>
      </c>
      <c r="Z2772" s="18" t="s">
        <v>91</v>
      </c>
      <c r="AA2772" s="18" t="s">
        <v>92</v>
      </c>
      <c r="AB2772" s="18" t="s">
        <v>93</v>
      </c>
      <c r="AC2772" s="18" t="s">
        <v>94</v>
      </c>
      <c r="AD2772" s="18" t="s">
        <v>235</v>
      </c>
      <c r="AE2772" s="18" t="s">
        <v>236</v>
      </c>
      <c r="AF2772" s="18" t="s">
        <v>237</v>
      </c>
      <c r="AG2772" s="18" t="s">
        <v>238</v>
      </c>
      <c r="AH2772" s="18" t="s">
        <v>239</v>
      </c>
      <c r="AI2772" s="18" t="s">
        <v>240</v>
      </c>
      <c r="AJ2772" s="18" t="s">
        <v>241</v>
      </c>
      <c r="AK2772" s="18" t="s">
        <v>242</v>
      </c>
      <c r="AL2772" s="18" t="s">
        <v>243</v>
      </c>
      <c r="AM2772" s="50" t="s">
        <v>244</v>
      </c>
    </row>
    <row r="2773" spans="1:39">
      <c r="A2773" s="40" t="s">
        <v>245</v>
      </c>
      <c r="B2773" s="51" t="str">
        <f>D98</f>
        <v/>
      </c>
      <c r="C2773" s="40" t="str">
        <f t="shared" ref="C2773:C2799" si="417">A2773</f>
        <v>#</v>
      </c>
      <c r="D2773" s="40" t="str">
        <f>"   "&amp;B2773&amp;REPT(" ",$AH$70-LEN(B2773)-3)</f>
        <v xml:space="preserve">                                                            </v>
      </c>
      <c r="E2773" s="38" t="str">
        <f>SUM(E2774:E2799)&amp;" pts[/b]"</f>
        <v>0 pts[/b]</v>
      </c>
      <c r="F2773" s="21">
        <f>SUM(E2774:E2799)</f>
        <v>0</v>
      </c>
      <c r="K2773" s="18">
        <f>COUNTIF(E2774:E2799,"&gt;0")</f>
        <v>0</v>
      </c>
      <c r="L2773" s="21">
        <f>AM2773-K2773</f>
        <v>0</v>
      </c>
      <c r="M2773" s="22">
        <f>MAX(E2774:E2799)</f>
        <v>0</v>
      </c>
      <c r="N2773" s="22">
        <f>LARGE(E2774:E2799,2)</f>
        <v>0</v>
      </c>
      <c r="O2773" s="22">
        <f>LARGE(E2774:E2799,3)</f>
        <v>0</v>
      </c>
      <c r="P2773" s="18">
        <f>LARGE(E2774:E2799,4)</f>
        <v>0</v>
      </c>
      <c r="Q2773" s="22">
        <f>LARGE(E2774:E2799,5)</f>
        <v>0</v>
      </c>
      <c r="R2773" s="22">
        <f>LARGE(E2774:E2799,6)</f>
        <v>0</v>
      </c>
      <c r="S2773" s="22">
        <f>LARGE(E2774:E2799,7)</f>
        <v>0</v>
      </c>
      <c r="T2773" s="18">
        <f>LARGE(E2774:E2799,8)</f>
        <v>0</v>
      </c>
      <c r="U2773" s="18">
        <f>LARGE(E2774:E2799,9)</f>
        <v>0</v>
      </c>
      <c r="V2773" s="18">
        <f>LARGE(E2774:E2799,10)</f>
        <v>0</v>
      </c>
      <c r="W2773" s="18">
        <f>LARGE(E2774:E2799,11)</f>
        <v>0</v>
      </c>
      <c r="X2773" s="18">
        <f>LARGE(E2774:E2799,12)</f>
        <v>0</v>
      </c>
      <c r="Y2773" s="18">
        <f>LARGE(E2774:E2799,13)</f>
        <v>0</v>
      </c>
      <c r="Z2773" s="18">
        <f>LARGE(E2774:E2799,14)</f>
        <v>0</v>
      </c>
      <c r="AA2773" s="18">
        <f>LARGE(E2774:E2799,15)</f>
        <v>0</v>
      </c>
      <c r="AB2773" s="18">
        <f>LARGE(E2774:E2799,16)</f>
        <v>0</v>
      </c>
      <c r="AC2773" s="18">
        <f>LARGE(E2774:E2799,17)</f>
        <v>0</v>
      </c>
      <c r="AD2773" s="18">
        <f>LARGE(E2774:E2800,13)</f>
        <v>0</v>
      </c>
      <c r="AE2773" s="18">
        <f>LARGE(E2774:E2799,19)</f>
        <v>0</v>
      </c>
      <c r="AF2773" s="18">
        <f>LARGE(E2774:E2799,20)</f>
        <v>0</v>
      </c>
      <c r="AG2773" s="18">
        <f>LARGE(E2774:E2799,21)</f>
        <v>0</v>
      </c>
      <c r="AH2773" s="18">
        <f>LARGE(E2774:E2799,22)</f>
        <v>0</v>
      </c>
      <c r="AI2773" s="18">
        <f>LARGE(E2774:E2799,23)</f>
        <v>0</v>
      </c>
      <c r="AJ2773" s="18">
        <f>LARGE(E2774:E2799,24)</f>
        <v>0</v>
      </c>
      <c r="AK2773" s="18">
        <f>LARGE(E2774:E2799,25)</f>
        <v>0</v>
      </c>
      <c r="AL2773" s="18">
        <f>LARGE(E2774:E2799,26)</f>
        <v>0</v>
      </c>
      <c r="AM2773" s="50">
        <f>COUNTIF(B2774:B2799,"&lt;&gt;"&amp;AH74)</f>
        <v>0</v>
      </c>
    </row>
    <row r="2774" spans="1:39">
      <c r="A2774" s="42" t="s">
        <v>246</v>
      </c>
      <c r="B2774" s="40" t="str">
        <f t="shared" ref="B2774:B2799" si="418">$AH$74</f>
        <v>No pick yet</v>
      </c>
      <c r="C2774" s="40" t="str">
        <f t="shared" si="417"/>
        <v>01-&gt;</v>
      </c>
      <c r="D2774" s="40" t="str">
        <f t="shared" ref="D2774:D2799" si="419">B2774&amp;REPT(" ",$AH$70-LEN(B2774))</f>
        <v xml:space="preserve">No pick yet                                                 </v>
      </c>
      <c r="E2774" s="52">
        <f t="shared" ref="E2774:E2799" si="420">VLOOKUP(RIGHT(B2774,LEN(B2774)-$AH$66),$H$138:$I$420,2,0)</f>
        <v>0</v>
      </c>
      <c r="F2774" s="18"/>
      <c r="M2774" s="18"/>
      <c r="N2774" s="18"/>
      <c r="O2774" s="18"/>
      <c r="P2774" s="18"/>
      <c r="Q2774" s="22"/>
      <c r="R2774" s="21"/>
      <c r="S2774" s="21"/>
      <c r="T2774" s="21"/>
      <c r="AA2774"/>
      <c r="AH2774" t="str">
        <f t="shared" ref="AH2774:AH2799" si="421">RIGHT(B2774,LEN(B2774)-$AH$66)</f>
        <v>k yet</v>
      </c>
    </row>
    <row r="2775" spans="1:39">
      <c r="A2775" s="42" t="s">
        <v>247</v>
      </c>
      <c r="B2775" s="40" t="str">
        <f t="shared" si="418"/>
        <v>No pick yet</v>
      </c>
      <c r="C2775" s="40" t="str">
        <f t="shared" si="417"/>
        <v>02-&gt;</v>
      </c>
      <c r="D2775" s="40" t="str">
        <f t="shared" si="419"/>
        <v xml:space="preserve">No pick yet                                                 </v>
      </c>
      <c r="E2775" s="52">
        <f t="shared" si="420"/>
        <v>0</v>
      </c>
      <c r="F2775" s="18"/>
      <c r="K2775" s="22"/>
      <c r="N2775" s="22"/>
      <c r="O2775" s="22"/>
      <c r="P2775" s="22"/>
      <c r="Q2775" s="22"/>
      <c r="R2775" s="22"/>
      <c r="S2775" s="22"/>
      <c r="Z2775" s="53"/>
      <c r="AA2775"/>
      <c r="AH2775" t="str">
        <f t="shared" si="421"/>
        <v>k yet</v>
      </c>
    </row>
    <row r="2776" spans="1:39">
      <c r="A2776" s="42" t="s">
        <v>248</v>
      </c>
      <c r="B2776" s="40" t="str">
        <f t="shared" si="418"/>
        <v>No pick yet</v>
      </c>
      <c r="C2776" s="40" t="str">
        <f t="shared" si="417"/>
        <v>03-&gt;</v>
      </c>
      <c r="D2776" s="40" t="str">
        <f t="shared" si="419"/>
        <v xml:space="preserve">No pick yet                                                 </v>
      </c>
      <c r="E2776" s="52">
        <f t="shared" si="420"/>
        <v>0</v>
      </c>
      <c r="F2776" s="18"/>
      <c r="L2776" s="21"/>
      <c r="N2776" s="22"/>
      <c r="O2776" s="22"/>
      <c r="P2776" s="18"/>
      <c r="Q2776" s="22"/>
      <c r="R2776" s="22"/>
      <c r="S2776" s="22"/>
      <c r="Z2776" s="53"/>
      <c r="AA2776"/>
      <c r="AH2776" t="str">
        <f t="shared" si="421"/>
        <v>k yet</v>
      </c>
    </row>
    <row r="2777" spans="1:39">
      <c r="A2777" s="42" t="s">
        <v>249</v>
      </c>
      <c r="B2777" s="40" t="str">
        <f t="shared" si="418"/>
        <v>No pick yet</v>
      </c>
      <c r="C2777" s="40" t="str">
        <f t="shared" si="417"/>
        <v>04-&gt;</v>
      </c>
      <c r="D2777" s="40" t="str">
        <f t="shared" si="419"/>
        <v xml:space="preserve">No pick yet                                                 </v>
      </c>
      <c r="E2777" s="52">
        <f t="shared" si="420"/>
        <v>0</v>
      </c>
      <c r="F2777" s="18"/>
      <c r="M2777" s="18"/>
      <c r="N2777" s="18"/>
      <c r="O2777" s="18"/>
      <c r="P2777" s="18"/>
      <c r="Q2777" s="22"/>
      <c r="R2777" s="21"/>
      <c r="S2777" s="21"/>
      <c r="T2777" s="21"/>
      <c r="AA2777"/>
      <c r="AH2777" t="str">
        <f t="shared" si="421"/>
        <v>k yet</v>
      </c>
    </row>
    <row r="2778" spans="1:39">
      <c r="A2778" s="42" t="s">
        <v>250</v>
      </c>
      <c r="B2778" s="40" t="str">
        <f t="shared" si="418"/>
        <v>No pick yet</v>
      </c>
      <c r="C2778" s="40" t="str">
        <f t="shared" si="417"/>
        <v>05-&gt;</v>
      </c>
      <c r="D2778" s="40" t="str">
        <f t="shared" si="419"/>
        <v xml:space="preserve">No pick yet                                                 </v>
      </c>
      <c r="E2778" s="52">
        <f t="shared" si="420"/>
        <v>0</v>
      </c>
      <c r="F2778" s="18"/>
      <c r="M2778" s="18"/>
      <c r="N2778" s="18"/>
      <c r="O2778" s="18"/>
      <c r="P2778" s="18"/>
      <c r="Q2778" s="22"/>
      <c r="R2778" s="21"/>
      <c r="S2778" s="21"/>
      <c r="T2778" s="21"/>
      <c r="AA2778"/>
      <c r="AH2778" t="str">
        <f t="shared" si="421"/>
        <v>k yet</v>
      </c>
    </row>
    <row r="2779" spans="1:39">
      <c r="A2779" s="42" t="s">
        <v>251</v>
      </c>
      <c r="B2779" s="40" t="str">
        <f t="shared" si="418"/>
        <v>No pick yet</v>
      </c>
      <c r="C2779" s="40" t="str">
        <f t="shared" si="417"/>
        <v>06-&gt;</v>
      </c>
      <c r="D2779" s="40" t="str">
        <f t="shared" si="419"/>
        <v xml:space="preserve">No pick yet                                                 </v>
      </c>
      <c r="E2779" s="52">
        <f t="shared" si="420"/>
        <v>0</v>
      </c>
      <c r="F2779" s="18"/>
      <c r="M2779" s="18"/>
      <c r="N2779" s="18"/>
      <c r="O2779" s="18"/>
      <c r="P2779" s="18"/>
      <c r="Q2779" s="22"/>
      <c r="R2779" s="21"/>
      <c r="S2779" s="21"/>
      <c r="T2779" s="21"/>
      <c r="AA2779"/>
      <c r="AH2779" t="str">
        <f t="shared" si="421"/>
        <v>k yet</v>
      </c>
    </row>
    <row r="2780" spans="1:39">
      <c r="A2780" s="42" t="s">
        <v>252</v>
      </c>
      <c r="B2780" s="40" t="str">
        <f t="shared" si="418"/>
        <v>No pick yet</v>
      </c>
      <c r="C2780" s="40" t="str">
        <f t="shared" si="417"/>
        <v>07-&gt;</v>
      </c>
      <c r="D2780" s="40" t="str">
        <f t="shared" si="419"/>
        <v xml:space="preserve">No pick yet                                                 </v>
      </c>
      <c r="E2780" s="52">
        <f t="shared" si="420"/>
        <v>0</v>
      </c>
      <c r="F2780" s="18"/>
      <c r="M2780" s="18"/>
      <c r="N2780" s="18"/>
      <c r="O2780" s="18"/>
      <c r="P2780" s="18"/>
      <c r="Q2780" s="22"/>
      <c r="R2780" s="21"/>
      <c r="S2780" s="21"/>
      <c r="T2780" s="21"/>
      <c r="AA2780"/>
      <c r="AH2780" t="str">
        <f t="shared" si="421"/>
        <v>k yet</v>
      </c>
    </row>
    <row r="2781" spans="1:39">
      <c r="A2781" s="42" t="s">
        <v>253</v>
      </c>
      <c r="B2781" s="40" t="str">
        <f t="shared" si="418"/>
        <v>No pick yet</v>
      </c>
      <c r="C2781" s="40" t="str">
        <f t="shared" si="417"/>
        <v>08-&gt;</v>
      </c>
      <c r="D2781" s="40" t="str">
        <f t="shared" si="419"/>
        <v xml:space="preserve">No pick yet                                                 </v>
      </c>
      <c r="E2781" s="52">
        <f t="shared" si="420"/>
        <v>0</v>
      </c>
      <c r="F2781" s="18"/>
      <c r="M2781" s="18"/>
      <c r="N2781" s="18"/>
      <c r="O2781" s="18"/>
      <c r="P2781" s="18"/>
      <c r="Q2781" s="22"/>
      <c r="R2781" s="21"/>
      <c r="S2781" s="21"/>
      <c r="T2781" s="21"/>
      <c r="AA2781"/>
      <c r="AH2781" t="str">
        <f t="shared" si="421"/>
        <v>k yet</v>
      </c>
    </row>
    <row r="2782" spans="1:39">
      <c r="A2782" s="42" t="s">
        <v>254</v>
      </c>
      <c r="B2782" s="40" t="str">
        <f t="shared" si="418"/>
        <v>No pick yet</v>
      </c>
      <c r="C2782" s="40" t="str">
        <f t="shared" si="417"/>
        <v>09-&gt;</v>
      </c>
      <c r="D2782" s="40" t="str">
        <f t="shared" si="419"/>
        <v xml:space="preserve">No pick yet                                                 </v>
      </c>
      <c r="E2782" s="52">
        <f t="shared" si="420"/>
        <v>0</v>
      </c>
      <c r="F2782" s="18"/>
      <c r="M2782" s="18"/>
      <c r="N2782" s="18"/>
      <c r="O2782" s="18"/>
      <c r="P2782" s="18"/>
      <c r="Q2782" s="22"/>
      <c r="R2782" s="21"/>
      <c r="S2782" s="21"/>
      <c r="T2782" s="21"/>
      <c r="AA2782"/>
      <c r="AH2782" t="str">
        <f t="shared" si="421"/>
        <v>k yet</v>
      </c>
    </row>
    <row r="2783" spans="1:39">
      <c r="A2783" s="42" t="s">
        <v>255</v>
      </c>
      <c r="B2783" s="40" t="str">
        <f t="shared" si="418"/>
        <v>No pick yet</v>
      </c>
      <c r="C2783" s="40" t="str">
        <f t="shared" si="417"/>
        <v>10-&gt;</v>
      </c>
      <c r="D2783" s="40" t="str">
        <f t="shared" si="419"/>
        <v xml:space="preserve">No pick yet                                                 </v>
      </c>
      <c r="E2783" s="52">
        <f t="shared" si="420"/>
        <v>0</v>
      </c>
      <c r="F2783" s="22"/>
      <c r="M2783" s="18"/>
      <c r="N2783" s="18"/>
      <c r="O2783" s="18"/>
      <c r="P2783" s="18"/>
      <c r="Q2783" s="22"/>
      <c r="R2783" s="21"/>
      <c r="S2783" s="21"/>
      <c r="T2783" s="21"/>
      <c r="AA2783"/>
      <c r="AH2783" t="str">
        <f t="shared" si="421"/>
        <v>k yet</v>
      </c>
    </row>
    <row r="2784" spans="1:39">
      <c r="A2784" s="42" t="s">
        <v>256</v>
      </c>
      <c r="B2784" s="40" t="str">
        <f t="shared" si="418"/>
        <v>No pick yet</v>
      </c>
      <c r="C2784" s="40" t="str">
        <f t="shared" si="417"/>
        <v>11-&gt;</v>
      </c>
      <c r="D2784" s="40" t="str">
        <f t="shared" si="419"/>
        <v xml:space="preserve">No pick yet                                                 </v>
      </c>
      <c r="E2784" s="52">
        <f t="shared" si="420"/>
        <v>0</v>
      </c>
      <c r="M2784" s="18"/>
      <c r="N2784" s="18"/>
      <c r="O2784" s="18"/>
      <c r="P2784" s="18"/>
      <c r="Q2784" s="22"/>
      <c r="R2784" s="21"/>
      <c r="S2784" s="21"/>
      <c r="T2784" s="21"/>
      <c r="AA2784"/>
      <c r="AH2784" t="str">
        <f t="shared" si="421"/>
        <v>k yet</v>
      </c>
    </row>
    <row r="2785" spans="1:39">
      <c r="A2785" s="42" t="s">
        <v>257</v>
      </c>
      <c r="B2785" s="40" t="str">
        <f t="shared" si="418"/>
        <v>No pick yet</v>
      </c>
      <c r="C2785" s="40" t="str">
        <f t="shared" si="417"/>
        <v>12-&gt;</v>
      </c>
      <c r="D2785" s="40" t="str">
        <f t="shared" si="419"/>
        <v xml:space="preserve">No pick yet                                                 </v>
      </c>
      <c r="E2785" s="52">
        <f t="shared" si="420"/>
        <v>0</v>
      </c>
      <c r="M2785" s="18"/>
      <c r="N2785" s="18"/>
      <c r="O2785" s="18"/>
      <c r="P2785" s="18"/>
      <c r="Q2785" s="22"/>
      <c r="R2785" s="21"/>
      <c r="S2785" s="21"/>
      <c r="T2785" s="21"/>
      <c r="AA2785"/>
      <c r="AH2785" t="str">
        <f t="shared" si="421"/>
        <v>k yet</v>
      </c>
    </row>
    <row r="2786" spans="1:39">
      <c r="A2786" s="42" t="s">
        <v>258</v>
      </c>
      <c r="B2786" s="40" t="str">
        <f t="shared" si="418"/>
        <v>No pick yet</v>
      </c>
      <c r="C2786" s="40" t="str">
        <f t="shared" si="417"/>
        <v>13-&gt;</v>
      </c>
      <c r="D2786" s="40" t="str">
        <f t="shared" si="419"/>
        <v xml:space="preserve">No pick yet                                                 </v>
      </c>
      <c r="E2786" s="52">
        <f t="shared" si="420"/>
        <v>0</v>
      </c>
      <c r="M2786" s="18"/>
      <c r="N2786" s="18"/>
      <c r="O2786" s="18"/>
      <c r="P2786" s="18"/>
      <c r="Q2786" s="22"/>
      <c r="R2786" s="21"/>
      <c r="S2786" s="21"/>
      <c r="T2786" s="21"/>
      <c r="AA2786"/>
      <c r="AH2786" t="str">
        <f t="shared" si="421"/>
        <v>k yet</v>
      </c>
    </row>
    <row r="2787" spans="1:39">
      <c r="A2787" s="42" t="s">
        <v>259</v>
      </c>
      <c r="B2787" s="40" t="str">
        <f t="shared" si="418"/>
        <v>No pick yet</v>
      </c>
      <c r="C2787" s="40" t="str">
        <f t="shared" si="417"/>
        <v>14-&gt;</v>
      </c>
      <c r="D2787" s="40" t="str">
        <f t="shared" si="419"/>
        <v xml:space="preserve">No pick yet                                                 </v>
      </c>
      <c r="E2787" s="52">
        <f t="shared" si="420"/>
        <v>0</v>
      </c>
      <c r="M2787" s="18"/>
      <c r="N2787" s="18"/>
      <c r="O2787" s="18"/>
      <c r="P2787" s="18"/>
      <c r="Q2787" s="22"/>
      <c r="R2787" s="21"/>
      <c r="S2787" s="21"/>
      <c r="T2787" s="21"/>
      <c r="AA2787"/>
      <c r="AH2787" t="str">
        <f t="shared" si="421"/>
        <v>k yet</v>
      </c>
    </row>
    <row r="2788" spans="1:39">
      <c r="A2788" s="42" t="s">
        <v>260</v>
      </c>
      <c r="B2788" s="40" t="str">
        <f t="shared" si="418"/>
        <v>No pick yet</v>
      </c>
      <c r="C2788" s="40" t="str">
        <f t="shared" si="417"/>
        <v>15-&gt;</v>
      </c>
      <c r="D2788" s="40" t="str">
        <f t="shared" si="419"/>
        <v xml:space="preserve">No pick yet                                                 </v>
      </c>
      <c r="E2788" s="52">
        <f t="shared" si="420"/>
        <v>0</v>
      </c>
      <c r="M2788" s="18"/>
      <c r="N2788" s="18"/>
      <c r="O2788" s="18"/>
      <c r="P2788" s="18"/>
      <c r="Q2788" s="22"/>
      <c r="R2788" s="21"/>
      <c r="S2788" s="21"/>
      <c r="T2788" s="21"/>
      <c r="AA2788"/>
      <c r="AH2788" t="str">
        <f t="shared" si="421"/>
        <v>k yet</v>
      </c>
    </row>
    <row r="2789" spans="1:39">
      <c r="A2789" s="42" t="s">
        <v>261</v>
      </c>
      <c r="B2789" s="40" t="str">
        <f t="shared" si="418"/>
        <v>No pick yet</v>
      </c>
      <c r="C2789" s="40" t="str">
        <f t="shared" si="417"/>
        <v>16-&gt;</v>
      </c>
      <c r="D2789" s="40" t="str">
        <f t="shared" si="419"/>
        <v xml:space="preserve">No pick yet                                                 </v>
      </c>
      <c r="E2789" s="52">
        <f t="shared" si="420"/>
        <v>0</v>
      </c>
      <c r="M2789" s="18"/>
      <c r="N2789" s="18"/>
      <c r="O2789" s="18"/>
      <c r="P2789" s="18"/>
      <c r="Q2789" s="22"/>
      <c r="R2789" s="21"/>
      <c r="S2789" s="21"/>
      <c r="T2789" s="21"/>
      <c r="AA2789"/>
      <c r="AH2789" t="str">
        <f t="shared" si="421"/>
        <v>k yet</v>
      </c>
    </row>
    <row r="2790" spans="1:39">
      <c r="A2790" s="42" t="s">
        <v>262</v>
      </c>
      <c r="B2790" s="40" t="str">
        <f t="shared" si="418"/>
        <v>No pick yet</v>
      </c>
      <c r="C2790" s="40" t="str">
        <f t="shared" si="417"/>
        <v>17-&gt;</v>
      </c>
      <c r="D2790" s="40" t="str">
        <f t="shared" si="419"/>
        <v xml:space="preserve">No pick yet                                                 </v>
      </c>
      <c r="E2790" s="52">
        <f t="shared" si="420"/>
        <v>0</v>
      </c>
      <c r="K2790" s="22"/>
      <c r="N2790" s="22"/>
      <c r="O2790" s="22"/>
      <c r="P2790" s="22"/>
      <c r="Q2790" s="22"/>
      <c r="R2790" s="22"/>
      <c r="S2790" s="22"/>
      <c r="Z2790" s="53"/>
      <c r="AA2790"/>
      <c r="AH2790" t="str">
        <f t="shared" si="421"/>
        <v>k yet</v>
      </c>
    </row>
    <row r="2791" spans="1:39">
      <c r="A2791" s="42" t="s">
        <v>263</v>
      </c>
      <c r="B2791" s="40" t="str">
        <f t="shared" si="418"/>
        <v>No pick yet</v>
      </c>
      <c r="C2791" s="40" t="str">
        <f t="shared" si="417"/>
        <v>18-&gt;</v>
      </c>
      <c r="D2791" s="40" t="str">
        <f t="shared" si="419"/>
        <v xml:space="preserve">No pick yet                                                 </v>
      </c>
      <c r="E2791" s="52">
        <f t="shared" si="420"/>
        <v>0</v>
      </c>
      <c r="F2791" s="18"/>
      <c r="L2791" s="21"/>
      <c r="N2791" s="22"/>
      <c r="O2791" s="22"/>
      <c r="P2791" s="18"/>
      <c r="Q2791" s="22"/>
      <c r="R2791" s="22"/>
      <c r="S2791" s="22"/>
      <c r="Z2791" s="53"/>
      <c r="AA2791"/>
      <c r="AH2791" t="str">
        <f t="shared" si="421"/>
        <v>k yet</v>
      </c>
    </row>
    <row r="2792" spans="1:39">
      <c r="A2792" s="42" t="s">
        <v>264</v>
      </c>
      <c r="B2792" s="40" t="str">
        <f t="shared" si="418"/>
        <v>No pick yet</v>
      </c>
      <c r="C2792" s="40" t="str">
        <f t="shared" si="417"/>
        <v>19-&gt;</v>
      </c>
      <c r="D2792" s="40" t="str">
        <f t="shared" si="419"/>
        <v xml:space="preserve">No pick yet                                                 </v>
      </c>
      <c r="E2792" s="52">
        <f t="shared" si="420"/>
        <v>0</v>
      </c>
      <c r="F2792" s="18"/>
      <c r="M2792" s="18"/>
      <c r="N2792" s="18"/>
      <c r="O2792" s="18"/>
      <c r="P2792" s="18"/>
      <c r="Q2792" s="22"/>
      <c r="R2792" s="21"/>
      <c r="S2792" s="21"/>
      <c r="T2792" s="21"/>
      <c r="AA2792"/>
      <c r="AH2792" t="str">
        <f t="shared" si="421"/>
        <v>k yet</v>
      </c>
    </row>
    <row r="2793" spans="1:39">
      <c r="A2793" s="42" t="s">
        <v>265</v>
      </c>
      <c r="B2793" s="40" t="str">
        <f t="shared" si="418"/>
        <v>No pick yet</v>
      </c>
      <c r="C2793" s="40" t="str">
        <f t="shared" si="417"/>
        <v>20-&gt;</v>
      </c>
      <c r="D2793" s="40" t="str">
        <f t="shared" si="419"/>
        <v xml:space="preserve">No pick yet                                                 </v>
      </c>
      <c r="E2793" s="52">
        <f t="shared" si="420"/>
        <v>0</v>
      </c>
      <c r="F2793" s="18"/>
      <c r="M2793" s="18"/>
      <c r="N2793" s="18"/>
      <c r="O2793" s="18"/>
      <c r="P2793" s="18"/>
      <c r="Q2793" s="22"/>
      <c r="R2793" s="21"/>
      <c r="S2793" s="21"/>
      <c r="T2793" s="21"/>
      <c r="AA2793"/>
      <c r="AH2793" t="str">
        <f t="shared" si="421"/>
        <v>k yet</v>
      </c>
    </row>
    <row r="2794" spans="1:39">
      <c r="A2794" s="42" t="s">
        <v>266</v>
      </c>
      <c r="B2794" s="40" t="str">
        <f t="shared" si="418"/>
        <v>No pick yet</v>
      </c>
      <c r="C2794" s="40" t="str">
        <f t="shared" si="417"/>
        <v>21-&gt;</v>
      </c>
      <c r="D2794" s="40" t="str">
        <f t="shared" si="419"/>
        <v xml:space="preserve">No pick yet                                                 </v>
      </c>
      <c r="E2794" s="52">
        <f t="shared" si="420"/>
        <v>0</v>
      </c>
      <c r="F2794" s="18"/>
      <c r="M2794" s="18"/>
      <c r="N2794" s="18"/>
      <c r="O2794" s="18"/>
      <c r="P2794" s="18"/>
      <c r="Q2794" s="22"/>
      <c r="R2794" s="21"/>
      <c r="S2794" s="21"/>
      <c r="T2794" s="21"/>
      <c r="AA2794"/>
      <c r="AH2794" t="str">
        <f t="shared" si="421"/>
        <v>k yet</v>
      </c>
    </row>
    <row r="2795" spans="1:39">
      <c r="A2795" s="42" t="s">
        <v>267</v>
      </c>
      <c r="B2795" s="40" t="str">
        <f t="shared" si="418"/>
        <v>No pick yet</v>
      </c>
      <c r="C2795" s="40" t="str">
        <f t="shared" si="417"/>
        <v>22-&gt;</v>
      </c>
      <c r="D2795" s="40" t="str">
        <f t="shared" si="419"/>
        <v xml:space="preserve">No pick yet                                                 </v>
      </c>
      <c r="E2795" s="52">
        <f t="shared" si="420"/>
        <v>0</v>
      </c>
      <c r="F2795" s="18"/>
      <c r="M2795" s="18"/>
      <c r="N2795" s="18"/>
      <c r="O2795" s="18"/>
      <c r="P2795" s="18"/>
      <c r="Q2795" s="22"/>
      <c r="R2795" s="21"/>
      <c r="S2795" s="21"/>
      <c r="T2795" s="21"/>
      <c r="AA2795"/>
      <c r="AH2795" t="str">
        <f t="shared" si="421"/>
        <v>k yet</v>
      </c>
    </row>
    <row r="2796" spans="1:39">
      <c r="A2796" s="42" t="s">
        <v>268</v>
      </c>
      <c r="B2796" s="40" t="str">
        <f t="shared" si="418"/>
        <v>No pick yet</v>
      </c>
      <c r="C2796" s="40" t="str">
        <f t="shared" si="417"/>
        <v>23-&gt;</v>
      </c>
      <c r="D2796" s="40" t="str">
        <f t="shared" si="419"/>
        <v xml:space="preserve">No pick yet                                                 </v>
      </c>
      <c r="E2796" s="52">
        <f t="shared" si="420"/>
        <v>0</v>
      </c>
      <c r="F2796" s="18"/>
      <c r="M2796" s="18"/>
      <c r="N2796" s="18"/>
      <c r="O2796" s="18"/>
      <c r="P2796" s="18"/>
      <c r="Q2796" s="22"/>
      <c r="R2796" s="21"/>
      <c r="S2796" s="21"/>
      <c r="T2796" s="21"/>
      <c r="AA2796"/>
      <c r="AH2796" t="str">
        <f t="shared" si="421"/>
        <v>k yet</v>
      </c>
    </row>
    <row r="2797" spans="1:39">
      <c r="A2797" s="42" t="s">
        <v>269</v>
      </c>
      <c r="B2797" s="40" t="str">
        <f t="shared" si="418"/>
        <v>No pick yet</v>
      </c>
      <c r="C2797" s="40" t="str">
        <f t="shared" si="417"/>
        <v>24-&gt;</v>
      </c>
      <c r="D2797" s="40" t="str">
        <f t="shared" si="419"/>
        <v xml:space="preserve">No pick yet                                                 </v>
      </c>
      <c r="E2797" s="52">
        <f t="shared" si="420"/>
        <v>0</v>
      </c>
      <c r="F2797" s="18"/>
      <c r="M2797" s="18"/>
      <c r="N2797" s="18"/>
      <c r="O2797" s="18"/>
      <c r="P2797" s="18"/>
      <c r="Q2797" s="22"/>
      <c r="R2797" s="21"/>
      <c r="S2797" s="21"/>
      <c r="T2797" s="21"/>
      <c r="AA2797"/>
      <c r="AH2797" t="str">
        <f t="shared" si="421"/>
        <v>k yet</v>
      </c>
    </row>
    <row r="2798" spans="1:39">
      <c r="A2798" s="42" t="s">
        <v>270</v>
      </c>
      <c r="B2798" s="40" t="str">
        <f t="shared" si="418"/>
        <v>No pick yet</v>
      </c>
      <c r="C2798" s="40" t="str">
        <f t="shared" si="417"/>
        <v>25-&gt;</v>
      </c>
      <c r="D2798" s="40" t="str">
        <f t="shared" si="419"/>
        <v xml:space="preserve">No pick yet                                                 </v>
      </c>
      <c r="E2798" s="52">
        <f t="shared" si="420"/>
        <v>0</v>
      </c>
      <c r="F2798" s="18"/>
      <c r="M2798" s="18"/>
      <c r="N2798" s="18"/>
      <c r="O2798" s="18"/>
      <c r="P2798" s="18"/>
      <c r="Q2798" s="22"/>
      <c r="R2798" s="21"/>
      <c r="S2798" s="21"/>
      <c r="T2798" s="21"/>
      <c r="AA2798"/>
      <c r="AH2798" t="str">
        <f t="shared" si="421"/>
        <v>k yet</v>
      </c>
    </row>
    <row r="2799" spans="1:39">
      <c r="A2799" s="42" t="s">
        <v>271</v>
      </c>
      <c r="B2799" s="40" t="str">
        <f t="shared" si="418"/>
        <v>No pick yet</v>
      </c>
      <c r="C2799" s="40" t="str">
        <f t="shared" si="417"/>
        <v>26-&gt;</v>
      </c>
      <c r="D2799" s="40" t="str">
        <f t="shared" si="419"/>
        <v xml:space="preserve">No pick yet                                                 </v>
      </c>
      <c r="E2799" s="52">
        <f t="shared" si="420"/>
        <v>0</v>
      </c>
      <c r="F2799" s="18"/>
      <c r="M2799" s="18"/>
      <c r="N2799" s="18"/>
      <c r="O2799" s="18"/>
      <c r="P2799" s="18"/>
      <c r="Q2799" s="22"/>
      <c r="R2799" s="21"/>
      <c r="S2799" s="21"/>
      <c r="T2799" s="21"/>
      <c r="AA2799"/>
      <c r="AH2799" t="str">
        <f t="shared" si="421"/>
        <v>k yet</v>
      </c>
    </row>
    <row r="2800" spans="1:39">
      <c r="A2800" s="38"/>
      <c r="B2800" s="40"/>
      <c r="C2800" s="40"/>
      <c r="D2800" s="49"/>
      <c r="E2800" s="41" t="s">
        <v>69</v>
      </c>
      <c r="F2800" s="18"/>
      <c r="K2800" s="22" t="s">
        <v>73</v>
      </c>
      <c r="L2800" s="18" t="s">
        <v>74</v>
      </c>
      <c r="M2800" s="22" t="s">
        <v>78</v>
      </c>
      <c r="N2800" s="22" t="s">
        <v>79</v>
      </c>
      <c r="O2800" s="22" t="s">
        <v>80</v>
      </c>
      <c r="P2800" s="22" t="s">
        <v>81</v>
      </c>
      <c r="Q2800" s="22" t="s">
        <v>82</v>
      </c>
      <c r="R2800" s="22" t="s">
        <v>83</v>
      </c>
      <c r="S2800" s="22" t="s">
        <v>84</v>
      </c>
      <c r="T2800" s="18" t="s">
        <v>85</v>
      </c>
      <c r="U2800" s="18" t="s">
        <v>86</v>
      </c>
      <c r="V2800" s="18" t="s">
        <v>87</v>
      </c>
      <c r="W2800" s="18" t="s">
        <v>88</v>
      </c>
      <c r="X2800" s="18" t="s">
        <v>89</v>
      </c>
      <c r="Y2800" s="18" t="s">
        <v>90</v>
      </c>
      <c r="Z2800" s="18" t="s">
        <v>91</v>
      </c>
      <c r="AA2800" s="18" t="s">
        <v>92</v>
      </c>
      <c r="AB2800" s="18" t="s">
        <v>93</v>
      </c>
      <c r="AC2800" s="18" t="s">
        <v>94</v>
      </c>
      <c r="AD2800" s="18" t="s">
        <v>235</v>
      </c>
      <c r="AE2800" s="18" t="s">
        <v>236</v>
      </c>
      <c r="AF2800" s="18" t="s">
        <v>237</v>
      </c>
      <c r="AG2800" s="18" t="s">
        <v>238</v>
      </c>
      <c r="AH2800" s="18" t="s">
        <v>239</v>
      </c>
      <c r="AI2800" s="18" t="s">
        <v>240</v>
      </c>
      <c r="AJ2800" s="18" t="s">
        <v>241</v>
      </c>
      <c r="AK2800" s="18" t="s">
        <v>242</v>
      </c>
      <c r="AL2800" s="18" t="s">
        <v>243</v>
      </c>
      <c r="AM2800" s="50" t="s">
        <v>244</v>
      </c>
    </row>
    <row r="2801" spans="1:39">
      <c r="A2801" s="40" t="s">
        <v>245</v>
      </c>
      <c r="B2801" s="51" t="str">
        <f>D99</f>
        <v/>
      </c>
      <c r="C2801" s="40" t="str">
        <f t="shared" ref="C2801:C2827" si="422">A2801</f>
        <v>#</v>
      </c>
      <c r="D2801" s="40" t="str">
        <f>"   "&amp;B2801&amp;REPT(" ",$AH$70-LEN(B2801)-3)</f>
        <v xml:space="preserve">                                                            </v>
      </c>
      <c r="E2801" s="38" t="str">
        <f>SUM(E2802:E2827)&amp;" pts[/b]"</f>
        <v>0 pts[/b]</v>
      </c>
      <c r="F2801" s="21">
        <f>SUM(E2802:E2827)</f>
        <v>0</v>
      </c>
      <c r="K2801" s="18">
        <f>COUNTIF(E2802:E2827,"&gt;0")</f>
        <v>0</v>
      </c>
      <c r="L2801" s="21">
        <f>AM2801-K2801</f>
        <v>0</v>
      </c>
      <c r="M2801" s="22">
        <f>MAX(E2802:E2827)</f>
        <v>0</v>
      </c>
      <c r="N2801" s="22">
        <f>LARGE(E2802:E2827,2)</f>
        <v>0</v>
      </c>
      <c r="O2801" s="22">
        <f>LARGE(E2802:E2827,3)</f>
        <v>0</v>
      </c>
      <c r="P2801" s="18">
        <f>LARGE(E2802:E2827,4)</f>
        <v>0</v>
      </c>
      <c r="Q2801" s="22">
        <f>LARGE(E2802:E2827,5)</f>
        <v>0</v>
      </c>
      <c r="R2801" s="22">
        <f>LARGE(E2802:E2827,6)</f>
        <v>0</v>
      </c>
      <c r="S2801" s="22">
        <f>LARGE(E2802:E2827,7)</f>
        <v>0</v>
      </c>
      <c r="T2801" s="18">
        <f>LARGE(E2802:E2827,8)</f>
        <v>0</v>
      </c>
      <c r="U2801" s="18">
        <f>LARGE(E2802:E2827,9)</f>
        <v>0</v>
      </c>
      <c r="V2801" s="18">
        <f>LARGE(E2802:E2827,10)</f>
        <v>0</v>
      </c>
      <c r="W2801" s="18">
        <f>LARGE(E2802:E2827,11)</f>
        <v>0</v>
      </c>
      <c r="X2801" s="18">
        <f>LARGE(E2802:E2827,12)</f>
        <v>0</v>
      </c>
      <c r="Y2801" s="18">
        <f>LARGE(E2802:E2827,13)</f>
        <v>0</v>
      </c>
      <c r="Z2801" s="18">
        <f>LARGE(E2802:E2827,14)</f>
        <v>0</v>
      </c>
      <c r="AA2801" s="18">
        <f>LARGE(E2802:E2827,15)</f>
        <v>0</v>
      </c>
      <c r="AB2801" s="18">
        <f>LARGE(E2802:E2827,16)</f>
        <v>0</v>
      </c>
      <c r="AC2801" s="18">
        <f>LARGE(E2802:E2827,17)</f>
        <v>0</v>
      </c>
      <c r="AD2801" s="18">
        <f>LARGE(E2802:E2828,13)</f>
        <v>0</v>
      </c>
      <c r="AE2801" s="18">
        <f>LARGE(E2802:E2827,19)</f>
        <v>0</v>
      </c>
      <c r="AF2801" s="18">
        <f>LARGE(E2802:E2827,20)</f>
        <v>0</v>
      </c>
      <c r="AG2801" s="18">
        <f>LARGE(E2802:E2827,21)</f>
        <v>0</v>
      </c>
      <c r="AH2801" s="18">
        <f>LARGE(E2802:E2827,22)</f>
        <v>0</v>
      </c>
      <c r="AI2801" s="18">
        <f>LARGE(E2802:E2827,23)</f>
        <v>0</v>
      </c>
      <c r="AJ2801" s="18">
        <f>LARGE(E2802:E2827,24)</f>
        <v>0</v>
      </c>
      <c r="AK2801" s="18">
        <f>LARGE(E2802:E2827,25)</f>
        <v>0</v>
      </c>
      <c r="AL2801" s="18">
        <f>LARGE(E2802:E2827,26)</f>
        <v>0</v>
      </c>
      <c r="AM2801" s="50">
        <f>COUNTIF(B2802:B2827,"&lt;&gt;"&amp;AH74)</f>
        <v>0</v>
      </c>
    </row>
    <row r="2802" spans="1:39">
      <c r="A2802" s="42" t="s">
        <v>246</v>
      </c>
      <c r="B2802" s="40" t="str">
        <f t="shared" ref="B2802:B2827" si="423">$AH$74</f>
        <v>No pick yet</v>
      </c>
      <c r="C2802" s="40" t="str">
        <f t="shared" si="422"/>
        <v>01-&gt;</v>
      </c>
      <c r="D2802" s="40" t="str">
        <f t="shared" ref="D2802:D2827" si="424">B2802&amp;REPT(" ",$AH$70-LEN(B2802))</f>
        <v xml:space="preserve">No pick yet                                                 </v>
      </c>
      <c r="E2802" s="52">
        <f t="shared" ref="E2802:E2827" si="425">VLOOKUP(RIGHT(B2802,LEN(B2802)-$AH$66),$H$138:$I$420,2,0)</f>
        <v>0</v>
      </c>
      <c r="F2802" s="18"/>
      <c r="M2802" s="18"/>
      <c r="N2802" s="18"/>
      <c r="O2802" s="18"/>
      <c r="P2802" s="18"/>
      <c r="Q2802" s="22"/>
      <c r="R2802" s="21"/>
      <c r="S2802" s="21"/>
      <c r="T2802" s="21"/>
      <c r="AA2802"/>
      <c r="AH2802" t="str">
        <f t="shared" ref="AH2802:AH2827" si="426">RIGHT(B2802,LEN(B2802)-$AH$66)</f>
        <v>k yet</v>
      </c>
    </row>
    <row r="2803" spans="1:39">
      <c r="A2803" s="42" t="s">
        <v>247</v>
      </c>
      <c r="B2803" s="40" t="str">
        <f t="shared" si="423"/>
        <v>No pick yet</v>
      </c>
      <c r="C2803" s="40" t="str">
        <f t="shared" si="422"/>
        <v>02-&gt;</v>
      </c>
      <c r="D2803" s="40" t="str">
        <f t="shared" si="424"/>
        <v xml:space="preserve">No pick yet                                                 </v>
      </c>
      <c r="E2803" s="52">
        <f t="shared" si="425"/>
        <v>0</v>
      </c>
      <c r="F2803" s="18"/>
      <c r="K2803" s="22"/>
      <c r="N2803" s="22"/>
      <c r="O2803" s="22"/>
      <c r="P2803" s="22"/>
      <c r="Q2803" s="22"/>
      <c r="R2803" s="22"/>
      <c r="S2803" s="22"/>
      <c r="Z2803" s="53"/>
      <c r="AA2803"/>
      <c r="AH2803" t="str">
        <f t="shared" si="426"/>
        <v>k yet</v>
      </c>
    </row>
    <row r="2804" spans="1:39">
      <c r="A2804" s="42" t="s">
        <v>248</v>
      </c>
      <c r="B2804" s="40" t="str">
        <f t="shared" si="423"/>
        <v>No pick yet</v>
      </c>
      <c r="C2804" s="40" t="str">
        <f t="shared" si="422"/>
        <v>03-&gt;</v>
      </c>
      <c r="D2804" s="40" t="str">
        <f t="shared" si="424"/>
        <v xml:space="preserve">No pick yet                                                 </v>
      </c>
      <c r="E2804" s="52">
        <f t="shared" si="425"/>
        <v>0</v>
      </c>
      <c r="F2804" s="18"/>
      <c r="L2804" s="21"/>
      <c r="N2804" s="22"/>
      <c r="O2804" s="22"/>
      <c r="P2804" s="18"/>
      <c r="Q2804" s="22"/>
      <c r="R2804" s="22"/>
      <c r="S2804" s="22"/>
      <c r="Z2804" s="53"/>
      <c r="AA2804"/>
      <c r="AH2804" t="str">
        <f t="shared" si="426"/>
        <v>k yet</v>
      </c>
    </row>
    <row r="2805" spans="1:39">
      <c r="A2805" s="42" t="s">
        <v>249</v>
      </c>
      <c r="B2805" s="40" t="str">
        <f t="shared" si="423"/>
        <v>No pick yet</v>
      </c>
      <c r="C2805" s="40" t="str">
        <f t="shared" si="422"/>
        <v>04-&gt;</v>
      </c>
      <c r="D2805" s="40" t="str">
        <f t="shared" si="424"/>
        <v xml:space="preserve">No pick yet                                                 </v>
      </c>
      <c r="E2805" s="52">
        <f t="shared" si="425"/>
        <v>0</v>
      </c>
      <c r="F2805" s="18"/>
      <c r="M2805" s="18"/>
      <c r="N2805" s="18"/>
      <c r="O2805" s="18"/>
      <c r="P2805" s="18"/>
      <c r="Q2805" s="22"/>
      <c r="R2805" s="21"/>
      <c r="S2805" s="21"/>
      <c r="T2805" s="21"/>
      <c r="AA2805"/>
      <c r="AH2805" t="str">
        <f t="shared" si="426"/>
        <v>k yet</v>
      </c>
    </row>
    <row r="2806" spans="1:39">
      <c r="A2806" s="42" t="s">
        <v>250</v>
      </c>
      <c r="B2806" s="40" t="str">
        <f t="shared" si="423"/>
        <v>No pick yet</v>
      </c>
      <c r="C2806" s="40" t="str">
        <f t="shared" si="422"/>
        <v>05-&gt;</v>
      </c>
      <c r="D2806" s="40" t="str">
        <f t="shared" si="424"/>
        <v xml:space="preserve">No pick yet                                                 </v>
      </c>
      <c r="E2806" s="52">
        <f t="shared" si="425"/>
        <v>0</v>
      </c>
      <c r="F2806" s="18"/>
      <c r="M2806" s="18"/>
      <c r="N2806" s="18"/>
      <c r="O2806" s="18"/>
      <c r="P2806" s="18"/>
      <c r="Q2806" s="22"/>
      <c r="R2806" s="21"/>
      <c r="S2806" s="21"/>
      <c r="T2806" s="21"/>
      <c r="AA2806"/>
      <c r="AH2806" t="str">
        <f t="shared" si="426"/>
        <v>k yet</v>
      </c>
    </row>
    <row r="2807" spans="1:39">
      <c r="A2807" s="42" t="s">
        <v>251</v>
      </c>
      <c r="B2807" s="40" t="str">
        <f t="shared" si="423"/>
        <v>No pick yet</v>
      </c>
      <c r="C2807" s="40" t="str">
        <f t="shared" si="422"/>
        <v>06-&gt;</v>
      </c>
      <c r="D2807" s="40" t="str">
        <f t="shared" si="424"/>
        <v xml:space="preserve">No pick yet                                                 </v>
      </c>
      <c r="E2807" s="52">
        <f t="shared" si="425"/>
        <v>0</v>
      </c>
      <c r="F2807" s="18"/>
      <c r="M2807" s="18"/>
      <c r="N2807" s="18"/>
      <c r="O2807" s="18"/>
      <c r="P2807" s="18"/>
      <c r="Q2807" s="22"/>
      <c r="R2807" s="21"/>
      <c r="S2807" s="21"/>
      <c r="T2807" s="21"/>
      <c r="AA2807"/>
      <c r="AH2807" t="str">
        <f t="shared" si="426"/>
        <v>k yet</v>
      </c>
    </row>
    <row r="2808" spans="1:39">
      <c r="A2808" s="42" t="s">
        <v>252</v>
      </c>
      <c r="B2808" s="40" t="str">
        <f t="shared" si="423"/>
        <v>No pick yet</v>
      </c>
      <c r="C2808" s="40" t="str">
        <f t="shared" si="422"/>
        <v>07-&gt;</v>
      </c>
      <c r="D2808" s="40" t="str">
        <f t="shared" si="424"/>
        <v xml:space="preserve">No pick yet                                                 </v>
      </c>
      <c r="E2808" s="52">
        <f t="shared" si="425"/>
        <v>0</v>
      </c>
      <c r="F2808" s="18"/>
      <c r="M2808" s="18"/>
      <c r="N2808" s="18"/>
      <c r="O2808" s="18"/>
      <c r="P2808" s="18"/>
      <c r="Q2808" s="22"/>
      <c r="R2808" s="21"/>
      <c r="S2808" s="21"/>
      <c r="T2808" s="21"/>
      <c r="AA2808"/>
      <c r="AH2808" t="str">
        <f t="shared" si="426"/>
        <v>k yet</v>
      </c>
    </row>
    <row r="2809" spans="1:39">
      <c r="A2809" s="42" t="s">
        <v>253</v>
      </c>
      <c r="B2809" s="40" t="str">
        <f t="shared" si="423"/>
        <v>No pick yet</v>
      </c>
      <c r="C2809" s="40" t="str">
        <f t="shared" si="422"/>
        <v>08-&gt;</v>
      </c>
      <c r="D2809" s="40" t="str">
        <f t="shared" si="424"/>
        <v xml:space="preserve">No pick yet                                                 </v>
      </c>
      <c r="E2809" s="52">
        <f t="shared" si="425"/>
        <v>0</v>
      </c>
      <c r="F2809" s="18"/>
      <c r="M2809" s="18"/>
      <c r="N2809" s="18"/>
      <c r="O2809" s="18"/>
      <c r="P2809" s="18"/>
      <c r="Q2809" s="22"/>
      <c r="R2809" s="21"/>
      <c r="S2809" s="21"/>
      <c r="T2809" s="21"/>
      <c r="AA2809"/>
      <c r="AH2809" t="str">
        <f t="shared" si="426"/>
        <v>k yet</v>
      </c>
    </row>
    <row r="2810" spans="1:39">
      <c r="A2810" s="42" t="s">
        <v>254</v>
      </c>
      <c r="B2810" s="40" t="str">
        <f t="shared" si="423"/>
        <v>No pick yet</v>
      </c>
      <c r="C2810" s="40" t="str">
        <f t="shared" si="422"/>
        <v>09-&gt;</v>
      </c>
      <c r="D2810" s="40" t="str">
        <f t="shared" si="424"/>
        <v xml:space="preserve">No pick yet                                                 </v>
      </c>
      <c r="E2810" s="52">
        <f t="shared" si="425"/>
        <v>0</v>
      </c>
      <c r="F2810" s="18"/>
      <c r="M2810" s="18"/>
      <c r="N2810" s="18"/>
      <c r="O2810" s="18"/>
      <c r="P2810" s="18"/>
      <c r="Q2810" s="22"/>
      <c r="R2810" s="21"/>
      <c r="S2810" s="21"/>
      <c r="T2810" s="21"/>
      <c r="AA2810"/>
      <c r="AH2810" t="str">
        <f t="shared" si="426"/>
        <v>k yet</v>
      </c>
    </row>
    <row r="2811" spans="1:39">
      <c r="A2811" s="42" t="s">
        <v>255</v>
      </c>
      <c r="B2811" s="40" t="str">
        <f t="shared" si="423"/>
        <v>No pick yet</v>
      </c>
      <c r="C2811" s="40" t="str">
        <f t="shared" si="422"/>
        <v>10-&gt;</v>
      </c>
      <c r="D2811" s="40" t="str">
        <f t="shared" si="424"/>
        <v xml:space="preserve">No pick yet                                                 </v>
      </c>
      <c r="E2811" s="52">
        <f t="shared" si="425"/>
        <v>0</v>
      </c>
      <c r="F2811" s="22"/>
      <c r="M2811" s="18"/>
      <c r="N2811" s="18"/>
      <c r="O2811" s="18"/>
      <c r="P2811" s="18"/>
      <c r="Q2811" s="22"/>
      <c r="R2811" s="21"/>
      <c r="S2811" s="21"/>
      <c r="T2811" s="21"/>
      <c r="AA2811"/>
      <c r="AH2811" t="str">
        <f t="shared" si="426"/>
        <v>k yet</v>
      </c>
    </row>
    <row r="2812" spans="1:39">
      <c r="A2812" s="42" t="s">
        <v>256</v>
      </c>
      <c r="B2812" s="40" t="str">
        <f t="shared" si="423"/>
        <v>No pick yet</v>
      </c>
      <c r="C2812" s="40" t="str">
        <f t="shared" si="422"/>
        <v>11-&gt;</v>
      </c>
      <c r="D2812" s="40" t="str">
        <f t="shared" si="424"/>
        <v xml:space="preserve">No pick yet                                                 </v>
      </c>
      <c r="E2812" s="52">
        <f t="shared" si="425"/>
        <v>0</v>
      </c>
      <c r="M2812" s="18"/>
      <c r="N2812" s="18"/>
      <c r="O2812" s="18"/>
      <c r="P2812" s="18"/>
      <c r="Q2812" s="22"/>
      <c r="R2812" s="21"/>
      <c r="S2812" s="21"/>
      <c r="T2812" s="21"/>
      <c r="AA2812"/>
      <c r="AH2812" t="str">
        <f t="shared" si="426"/>
        <v>k yet</v>
      </c>
    </row>
    <row r="2813" spans="1:39">
      <c r="A2813" s="42" t="s">
        <v>257</v>
      </c>
      <c r="B2813" s="40" t="str">
        <f t="shared" si="423"/>
        <v>No pick yet</v>
      </c>
      <c r="C2813" s="40" t="str">
        <f t="shared" si="422"/>
        <v>12-&gt;</v>
      </c>
      <c r="D2813" s="40" t="str">
        <f t="shared" si="424"/>
        <v xml:space="preserve">No pick yet                                                 </v>
      </c>
      <c r="E2813" s="52">
        <f t="shared" si="425"/>
        <v>0</v>
      </c>
      <c r="M2813" s="18"/>
      <c r="N2813" s="18"/>
      <c r="O2813" s="18"/>
      <c r="P2813" s="18"/>
      <c r="Q2813" s="22"/>
      <c r="R2813" s="21"/>
      <c r="S2813" s="21"/>
      <c r="T2813" s="21"/>
      <c r="AA2813"/>
      <c r="AH2813" t="str">
        <f t="shared" si="426"/>
        <v>k yet</v>
      </c>
    </row>
    <row r="2814" spans="1:39">
      <c r="A2814" s="42" t="s">
        <v>258</v>
      </c>
      <c r="B2814" s="40" t="str">
        <f t="shared" si="423"/>
        <v>No pick yet</v>
      </c>
      <c r="C2814" s="40" t="str">
        <f t="shared" si="422"/>
        <v>13-&gt;</v>
      </c>
      <c r="D2814" s="40" t="str">
        <f t="shared" si="424"/>
        <v xml:space="preserve">No pick yet                                                 </v>
      </c>
      <c r="E2814" s="52">
        <f t="shared" si="425"/>
        <v>0</v>
      </c>
      <c r="M2814" s="18"/>
      <c r="N2814" s="18"/>
      <c r="O2814" s="18"/>
      <c r="P2814" s="18"/>
      <c r="Q2814" s="22"/>
      <c r="R2814" s="21"/>
      <c r="S2814" s="21"/>
      <c r="T2814" s="21"/>
      <c r="AA2814"/>
      <c r="AH2814" t="str">
        <f t="shared" si="426"/>
        <v>k yet</v>
      </c>
    </row>
    <row r="2815" spans="1:39">
      <c r="A2815" s="42" t="s">
        <v>259</v>
      </c>
      <c r="B2815" s="40" t="str">
        <f t="shared" si="423"/>
        <v>No pick yet</v>
      </c>
      <c r="C2815" s="40" t="str">
        <f t="shared" si="422"/>
        <v>14-&gt;</v>
      </c>
      <c r="D2815" s="40" t="str">
        <f t="shared" si="424"/>
        <v xml:space="preserve">No pick yet                                                 </v>
      </c>
      <c r="E2815" s="52">
        <f t="shared" si="425"/>
        <v>0</v>
      </c>
      <c r="M2815" s="18"/>
      <c r="N2815" s="18"/>
      <c r="O2815" s="18"/>
      <c r="P2815" s="18"/>
      <c r="Q2815" s="22"/>
      <c r="R2815" s="21"/>
      <c r="S2815" s="21"/>
      <c r="T2815" s="21"/>
      <c r="AA2815"/>
      <c r="AH2815" t="str">
        <f t="shared" si="426"/>
        <v>k yet</v>
      </c>
    </row>
    <row r="2816" spans="1:39">
      <c r="A2816" s="42" t="s">
        <v>260</v>
      </c>
      <c r="B2816" s="40" t="str">
        <f t="shared" si="423"/>
        <v>No pick yet</v>
      </c>
      <c r="C2816" s="40" t="str">
        <f t="shared" si="422"/>
        <v>15-&gt;</v>
      </c>
      <c r="D2816" s="40" t="str">
        <f t="shared" si="424"/>
        <v xml:space="preserve">No pick yet                                                 </v>
      </c>
      <c r="E2816" s="52">
        <f t="shared" si="425"/>
        <v>0</v>
      </c>
      <c r="M2816" s="18"/>
      <c r="N2816" s="18"/>
      <c r="O2816" s="18"/>
      <c r="P2816" s="18"/>
      <c r="Q2816" s="22"/>
      <c r="R2816" s="21"/>
      <c r="S2816" s="21"/>
      <c r="T2816" s="21"/>
      <c r="AA2816"/>
      <c r="AH2816" t="str">
        <f t="shared" si="426"/>
        <v>k yet</v>
      </c>
    </row>
    <row r="2817" spans="1:39">
      <c r="A2817" s="42" t="s">
        <v>261</v>
      </c>
      <c r="B2817" s="40" t="str">
        <f t="shared" si="423"/>
        <v>No pick yet</v>
      </c>
      <c r="C2817" s="40" t="str">
        <f t="shared" si="422"/>
        <v>16-&gt;</v>
      </c>
      <c r="D2817" s="40" t="str">
        <f t="shared" si="424"/>
        <v xml:space="preserve">No pick yet                                                 </v>
      </c>
      <c r="E2817" s="52">
        <f t="shared" si="425"/>
        <v>0</v>
      </c>
      <c r="M2817" s="18"/>
      <c r="N2817" s="18"/>
      <c r="O2817" s="18"/>
      <c r="P2817" s="18"/>
      <c r="Q2817" s="22"/>
      <c r="R2817" s="21"/>
      <c r="S2817" s="21"/>
      <c r="T2817" s="21"/>
      <c r="AA2817"/>
      <c r="AH2817" t="str">
        <f t="shared" si="426"/>
        <v>k yet</v>
      </c>
    </row>
    <row r="2818" spans="1:39">
      <c r="A2818" s="42" t="s">
        <v>262</v>
      </c>
      <c r="B2818" s="40" t="str">
        <f t="shared" si="423"/>
        <v>No pick yet</v>
      </c>
      <c r="C2818" s="40" t="str">
        <f t="shared" si="422"/>
        <v>17-&gt;</v>
      </c>
      <c r="D2818" s="40" t="str">
        <f t="shared" si="424"/>
        <v xml:space="preserve">No pick yet                                                 </v>
      </c>
      <c r="E2818" s="52">
        <f t="shared" si="425"/>
        <v>0</v>
      </c>
      <c r="K2818" s="22"/>
      <c r="N2818" s="22"/>
      <c r="O2818" s="22"/>
      <c r="P2818" s="22"/>
      <c r="Q2818" s="22"/>
      <c r="R2818" s="22"/>
      <c r="S2818" s="22"/>
      <c r="Z2818" s="53"/>
      <c r="AA2818"/>
      <c r="AH2818" t="str">
        <f t="shared" si="426"/>
        <v>k yet</v>
      </c>
    </row>
    <row r="2819" spans="1:39">
      <c r="A2819" s="42" t="s">
        <v>263</v>
      </c>
      <c r="B2819" s="40" t="str">
        <f t="shared" si="423"/>
        <v>No pick yet</v>
      </c>
      <c r="C2819" s="40" t="str">
        <f t="shared" si="422"/>
        <v>18-&gt;</v>
      </c>
      <c r="D2819" s="40" t="str">
        <f t="shared" si="424"/>
        <v xml:space="preserve">No pick yet                                                 </v>
      </c>
      <c r="E2819" s="52">
        <f t="shared" si="425"/>
        <v>0</v>
      </c>
      <c r="F2819" s="18"/>
      <c r="L2819" s="21"/>
      <c r="N2819" s="22"/>
      <c r="O2819" s="22"/>
      <c r="P2819" s="18"/>
      <c r="Q2819" s="22"/>
      <c r="R2819" s="22"/>
      <c r="S2819" s="22"/>
      <c r="Z2819" s="53"/>
      <c r="AA2819"/>
      <c r="AH2819" t="str">
        <f t="shared" si="426"/>
        <v>k yet</v>
      </c>
    </row>
    <row r="2820" spans="1:39">
      <c r="A2820" s="42" t="s">
        <v>264</v>
      </c>
      <c r="B2820" s="40" t="str">
        <f t="shared" si="423"/>
        <v>No pick yet</v>
      </c>
      <c r="C2820" s="40" t="str">
        <f t="shared" si="422"/>
        <v>19-&gt;</v>
      </c>
      <c r="D2820" s="40" t="str">
        <f t="shared" si="424"/>
        <v xml:space="preserve">No pick yet                                                 </v>
      </c>
      <c r="E2820" s="52">
        <f t="shared" si="425"/>
        <v>0</v>
      </c>
      <c r="F2820" s="18"/>
      <c r="M2820" s="18"/>
      <c r="N2820" s="18"/>
      <c r="O2820" s="18"/>
      <c r="P2820" s="18"/>
      <c r="Q2820" s="22"/>
      <c r="R2820" s="21"/>
      <c r="S2820" s="21"/>
      <c r="T2820" s="21"/>
      <c r="AA2820"/>
      <c r="AH2820" t="str">
        <f t="shared" si="426"/>
        <v>k yet</v>
      </c>
    </row>
    <row r="2821" spans="1:39">
      <c r="A2821" s="42" t="s">
        <v>265</v>
      </c>
      <c r="B2821" s="40" t="str">
        <f t="shared" si="423"/>
        <v>No pick yet</v>
      </c>
      <c r="C2821" s="40" t="str">
        <f t="shared" si="422"/>
        <v>20-&gt;</v>
      </c>
      <c r="D2821" s="40" t="str">
        <f t="shared" si="424"/>
        <v xml:space="preserve">No pick yet                                                 </v>
      </c>
      <c r="E2821" s="52">
        <f t="shared" si="425"/>
        <v>0</v>
      </c>
      <c r="F2821" s="18"/>
      <c r="M2821" s="18"/>
      <c r="N2821" s="18"/>
      <c r="O2821" s="18"/>
      <c r="P2821" s="18"/>
      <c r="Q2821" s="22"/>
      <c r="R2821" s="21"/>
      <c r="S2821" s="21"/>
      <c r="T2821" s="21"/>
      <c r="AA2821"/>
      <c r="AH2821" t="str">
        <f t="shared" si="426"/>
        <v>k yet</v>
      </c>
    </row>
    <row r="2822" spans="1:39">
      <c r="A2822" s="42" t="s">
        <v>266</v>
      </c>
      <c r="B2822" s="40" t="str">
        <f t="shared" si="423"/>
        <v>No pick yet</v>
      </c>
      <c r="C2822" s="40" t="str">
        <f t="shared" si="422"/>
        <v>21-&gt;</v>
      </c>
      <c r="D2822" s="40" t="str">
        <f t="shared" si="424"/>
        <v xml:space="preserve">No pick yet                                                 </v>
      </c>
      <c r="E2822" s="52">
        <f t="shared" si="425"/>
        <v>0</v>
      </c>
      <c r="F2822" s="18"/>
      <c r="M2822" s="18"/>
      <c r="N2822" s="18"/>
      <c r="O2822" s="18"/>
      <c r="P2822" s="18"/>
      <c r="Q2822" s="22"/>
      <c r="R2822" s="21"/>
      <c r="S2822" s="21"/>
      <c r="T2822" s="21"/>
      <c r="AA2822"/>
      <c r="AH2822" t="str">
        <f t="shared" si="426"/>
        <v>k yet</v>
      </c>
    </row>
    <row r="2823" spans="1:39">
      <c r="A2823" s="42" t="s">
        <v>267</v>
      </c>
      <c r="B2823" s="40" t="str">
        <f t="shared" si="423"/>
        <v>No pick yet</v>
      </c>
      <c r="C2823" s="40" t="str">
        <f t="shared" si="422"/>
        <v>22-&gt;</v>
      </c>
      <c r="D2823" s="40" t="str">
        <f t="shared" si="424"/>
        <v xml:space="preserve">No pick yet                                                 </v>
      </c>
      <c r="E2823" s="52">
        <f t="shared" si="425"/>
        <v>0</v>
      </c>
      <c r="F2823" s="18"/>
      <c r="M2823" s="18"/>
      <c r="N2823" s="18"/>
      <c r="O2823" s="18"/>
      <c r="P2823" s="18"/>
      <c r="Q2823" s="22"/>
      <c r="R2823" s="21"/>
      <c r="S2823" s="21"/>
      <c r="T2823" s="21"/>
      <c r="AA2823"/>
      <c r="AH2823" t="str">
        <f t="shared" si="426"/>
        <v>k yet</v>
      </c>
    </row>
    <row r="2824" spans="1:39">
      <c r="A2824" s="42" t="s">
        <v>268</v>
      </c>
      <c r="B2824" s="40" t="str">
        <f t="shared" si="423"/>
        <v>No pick yet</v>
      </c>
      <c r="C2824" s="40" t="str">
        <f t="shared" si="422"/>
        <v>23-&gt;</v>
      </c>
      <c r="D2824" s="40" t="str">
        <f t="shared" si="424"/>
        <v xml:space="preserve">No pick yet                                                 </v>
      </c>
      <c r="E2824" s="52">
        <f t="shared" si="425"/>
        <v>0</v>
      </c>
      <c r="F2824" s="18"/>
      <c r="M2824" s="18"/>
      <c r="N2824" s="18"/>
      <c r="O2824" s="18"/>
      <c r="P2824" s="18"/>
      <c r="Q2824" s="22"/>
      <c r="R2824" s="21"/>
      <c r="S2824" s="21"/>
      <c r="T2824" s="21"/>
      <c r="AA2824"/>
      <c r="AH2824" t="str">
        <f t="shared" si="426"/>
        <v>k yet</v>
      </c>
    </row>
    <row r="2825" spans="1:39">
      <c r="A2825" s="42" t="s">
        <v>269</v>
      </c>
      <c r="B2825" s="40" t="str">
        <f t="shared" si="423"/>
        <v>No pick yet</v>
      </c>
      <c r="C2825" s="40" t="str">
        <f t="shared" si="422"/>
        <v>24-&gt;</v>
      </c>
      <c r="D2825" s="40" t="str">
        <f t="shared" si="424"/>
        <v xml:space="preserve">No pick yet                                                 </v>
      </c>
      <c r="E2825" s="52">
        <f t="shared" si="425"/>
        <v>0</v>
      </c>
      <c r="F2825" s="18"/>
      <c r="M2825" s="18"/>
      <c r="N2825" s="18"/>
      <c r="O2825" s="18"/>
      <c r="P2825" s="18"/>
      <c r="Q2825" s="22"/>
      <c r="R2825" s="21"/>
      <c r="S2825" s="21"/>
      <c r="T2825" s="21"/>
      <c r="AA2825"/>
      <c r="AH2825" t="str">
        <f t="shared" si="426"/>
        <v>k yet</v>
      </c>
    </row>
    <row r="2826" spans="1:39">
      <c r="A2826" s="42" t="s">
        <v>270</v>
      </c>
      <c r="B2826" s="40" t="str">
        <f t="shared" si="423"/>
        <v>No pick yet</v>
      </c>
      <c r="C2826" s="40" t="str">
        <f t="shared" si="422"/>
        <v>25-&gt;</v>
      </c>
      <c r="D2826" s="40" t="str">
        <f t="shared" si="424"/>
        <v xml:space="preserve">No pick yet                                                 </v>
      </c>
      <c r="E2826" s="52">
        <f t="shared" si="425"/>
        <v>0</v>
      </c>
      <c r="F2826" s="18"/>
      <c r="M2826" s="18"/>
      <c r="N2826" s="18"/>
      <c r="O2826" s="18"/>
      <c r="P2826" s="18"/>
      <c r="Q2826" s="22"/>
      <c r="R2826" s="21"/>
      <c r="S2826" s="21"/>
      <c r="T2826" s="21"/>
      <c r="AA2826"/>
      <c r="AH2826" t="str">
        <f t="shared" si="426"/>
        <v>k yet</v>
      </c>
    </row>
    <row r="2827" spans="1:39">
      <c r="A2827" s="42" t="s">
        <v>271</v>
      </c>
      <c r="B2827" s="40" t="str">
        <f t="shared" si="423"/>
        <v>No pick yet</v>
      </c>
      <c r="C2827" s="40" t="str">
        <f t="shared" si="422"/>
        <v>26-&gt;</v>
      </c>
      <c r="D2827" s="40" t="str">
        <f t="shared" si="424"/>
        <v xml:space="preserve">No pick yet                                                 </v>
      </c>
      <c r="E2827" s="52">
        <f t="shared" si="425"/>
        <v>0</v>
      </c>
      <c r="F2827" s="18"/>
      <c r="M2827" s="18"/>
      <c r="N2827" s="18"/>
      <c r="O2827" s="18"/>
      <c r="P2827" s="18"/>
      <c r="Q2827" s="22"/>
      <c r="R2827" s="21"/>
      <c r="S2827" s="21"/>
      <c r="T2827" s="21"/>
      <c r="AA2827"/>
      <c r="AH2827" t="str">
        <f t="shared" si="426"/>
        <v>k yet</v>
      </c>
    </row>
    <row r="2828" spans="1:39">
      <c r="A2828" s="38"/>
      <c r="B2828" s="40"/>
      <c r="C2828" s="40"/>
      <c r="D2828" s="49"/>
      <c r="E2828" s="41" t="s">
        <v>69</v>
      </c>
      <c r="F2828" s="18"/>
      <c r="K2828" s="22" t="s">
        <v>73</v>
      </c>
      <c r="L2828" s="18" t="s">
        <v>74</v>
      </c>
      <c r="M2828" s="22" t="s">
        <v>78</v>
      </c>
      <c r="N2828" s="22" t="s">
        <v>79</v>
      </c>
      <c r="O2828" s="22" t="s">
        <v>80</v>
      </c>
      <c r="P2828" s="22" t="s">
        <v>81</v>
      </c>
      <c r="Q2828" s="22" t="s">
        <v>82</v>
      </c>
      <c r="R2828" s="22" t="s">
        <v>83</v>
      </c>
      <c r="S2828" s="22" t="s">
        <v>84</v>
      </c>
      <c r="T2828" s="18" t="s">
        <v>85</v>
      </c>
      <c r="U2828" s="18" t="s">
        <v>86</v>
      </c>
      <c r="V2828" s="18" t="s">
        <v>87</v>
      </c>
      <c r="W2828" s="18" t="s">
        <v>88</v>
      </c>
      <c r="X2828" s="18" t="s">
        <v>89</v>
      </c>
      <c r="Y2828" s="18" t="s">
        <v>90</v>
      </c>
      <c r="Z2828" s="18" t="s">
        <v>91</v>
      </c>
      <c r="AA2828" s="18" t="s">
        <v>92</v>
      </c>
      <c r="AB2828" s="18" t="s">
        <v>93</v>
      </c>
      <c r="AC2828" s="18" t="s">
        <v>94</v>
      </c>
      <c r="AD2828" s="18" t="s">
        <v>235</v>
      </c>
      <c r="AE2828" s="18" t="s">
        <v>236</v>
      </c>
      <c r="AF2828" s="18" t="s">
        <v>237</v>
      </c>
      <c r="AG2828" s="18" t="s">
        <v>238</v>
      </c>
      <c r="AH2828" s="18" t="s">
        <v>239</v>
      </c>
      <c r="AI2828" s="18" t="s">
        <v>240</v>
      </c>
      <c r="AJ2828" s="18" t="s">
        <v>241</v>
      </c>
      <c r="AK2828" s="18" t="s">
        <v>242</v>
      </c>
      <c r="AL2828" s="18" t="s">
        <v>243</v>
      </c>
      <c r="AM2828" s="50" t="s">
        <v>244</v>
      </c>
    </row>
    <row r="2829" spans="1:39">
      <c r="A2829" s="40" t="s">
        <v>245</v>
      </c>
      <c r="B2829" s="51" t="str">
        <f>D100</f>
        <v/>
      </c>
      <c r="C2829" s="40" t="str">
        <f t="shared" ref="C2829:C2855" si="427">A2829</f>
        <v>#</v>
      </c>
      <c r="D2829" s="40" t="str">
        <f>"   "&amp;B2829&amp;REPT(" ",$AH$70-LEN(B2829)-3)</f>
        <v xml:space="preserve">                                                            </v>
      </c>
      <c r="E2829" s="38" t="str">
        <f>SUM(E2830:E2855)&amp;" pts[/b]"</f>
        <v>0 pts[/b]</v>
      </c>
      <c r="F2829" s="21">
        <f>SUM(E2830:E2855)</f>
        <v>0</v>
      </c>
      <c r="K2829" s="18">
        <f>COUNTIF(E2830:E2855,"&gt;0")</f>
        <v>0</v>
      </c>
      <c r="L2829" s="21">
        <f>AM2829-K2829</f>
        <v>0</v>
      </c>
      <c r="M2829" s="22">
        <f>MAX(E2830:E2855)</f>
        <v>0</v>
      </c>
      <c r="N2829" s="22">
        <f>LARGE(E2830:E2855,2)</f>
        <v>0</v>
      </c>
      <c r="O2829" s="22">
        <f>LARGE(E2830:E2855,3)</f>
        <v>0</v>
      </c>
      <c r="P2829" s="18">
        <f>LARGE(E2830:E2855,4)</f>
        <v>0</v>
      </c>
      <c r="Q2829" s="22">
        <f>LARGE(E2830:E2855,5)</f>
        <v>0</v>
      </c>
      <c r="R2829" s="22">
        <f>LARGE(E2830:E2855,6)</f>
        <v>0</v>
      </c>
      <c r="S2829" s="22">
        <f>LARGE(E2830:E2855,7)</f>
        <v>0</v>
      </c>
      <c r="T2829" s="18">
        <f>LARGE(E2830:E2855,8)</f>
        <v>0</v>
      </c>
      <c r="U2829" s="18">
        <f>LARGE(E2830:E2855,9)</f>
        <v>0</v>
      </c>
      <c r="V2829" s="18">
        <f>LARGE(E2830:E2855,10)</f>
        <v>0</v>
      </c>
      <c r="W2829" s="18">
        <f>LARGE(E2830:E2855,11)</f>
        <v>0</v>
      </c>
      <c r="X2829" s="18">
        <f>LARGE(E2830:E2855,12)</f>
        <v>0</v>
      </c>
      <c r="Y2829" s="18">
        <f>LARGE(E2830:E2855,13)</f>
        <v>0</v>
      </c>
      <c r="Z2829" s="18">
        <f>LARGE(E2830:E2855,14)</f>
        <v>0</v>
      </c>
      <c r="AA2829" s="18">
        <f>LARGE(E2830:E2855,15)</f>
        <v>0</v>
      </c>
      <c r="AB2829" s="18">
        <f>LARGE(E2830:E2855,16)</f>
        <v>0</v>
      </c>
      <c r="AC2829" s="18">
        <f>LARGE(E2830:E2855,17)</f>
        <v>0</v>
      </c>
      <c r="AD2829" s="18">
        <f>LARGE(E2830:E2856,13)</f>
        <v>0</v>
      </c>
      <c r="AE2829" s="18">
        <f>LARGE(E2830:E2855,19)</f>
        <v>0</v>
      </c>
      <c r="AF2829" s="18">
        <f>LARGE(E2830:E2855,20)</f>
        <v>0</v>
      </c>
      <c r="AG2829" s="18">
        <f>LARGE(E2830:E2855,21)</f>
        <v>0</v>
      </c>
      <c r="AH2829" s="18">
        <f>LARGE(E2830:E2855,22)</f>
        <v>0</v>
      </c>
      <c r="AI2829" s="18">
        <f>LARGE(E2830:E2855,23)</f>
        <v>0</v>
      </c>
      <c r="AJ2829" s="18">
        <f>LARGE(E2830:E2855,24)</f>
        <v>0</v>
      </c>
      <c r="AK2829" s="18">
        <f>LARGE(E2830:E2855,25)</f>
        <v>0</v>
      </c>
      <c r="AL2829" s="18">
        <f>LARGE(E2830:E2855,26)</f>
        <v>0</v>
      </c>
      <c r="AM2829" s="50">
        <f>COUNTIF(B2830:B2855,"&lt;&gt;"&amp;AH74)</f>
        <v>0</v>
      </c>
    </row>
    <row r="2830" spans="1:39">
      <c r="A2830" s="42" t="s">
        <v>246</v>
      </c>
      <c r="B2830" s="40" t="str">
        <f t="shared" ref="B2830:B2855" si="428">$AH$74</f>
        <v>No pick yet</v>
      </c>
      <c r="C2830" s="40" t="str">
        <f t="shared" si="427"/>
        <v>01-&gt;</v>
      </c>
      <c r="D2830" s="40" t="str">
        <f t="shared" ref="D2830:D2855" si="429">B2830&amp;REPT(" ",$AH$70-LEN(B2830))</f>
        <v xml:space="preserve">No pick yet                                                 </v>
      </c>
      <c r="E2830" s="52">
        <f t="shared" ref="E2830:E2855" si="430">VLOOKUP(RIGHT(B2830,LEN(B2830)-$AH$66),$H$138:$I$420,2,0)</f>
        <v>0</v>
      </c>
      <c r="F2830" s="18"/>
      <c r="M2830" s="18"/>
      <c r="N2830" s="18"/>
      <c r="O2830" s="18"/>
      <c r="P2830" s="18"/>
      <c r="Q2830" s="22"/>
      <c r="R2830" s="21"/>
      <c r="S2830" s="21"/>
      <c r="T2830" s="21"/>
      <c r="AA2830"/>
      <c r="AH2830" t="str">
        <f t="shared" ref="AH2830:AH2855" si="431">RIGHT(B2830,LEN(B2830)-$AH$66)</f>
        <v>k yet</v>
      </c>
    </row>
    <row r="2831" spans="1:39">
      <c r="A2831" s="42" t="s">
        <v>247</v>
      </c>
      <c r="B2831" s="40" t="str">
        <f t="shared" si="428"/>
        <v>No pick yet</v>
      </c>
      <c r="C2831" s="40" t="str">
        <f t="shared" si="427"/>
        <v>02-&gt;</v>
      </c>
      <c r="D2831" s="40" t="str">
        <f t="shared" si="429"/>
        <v xml:space="preserve">No pick yet                                                 </v>
      </c>
      <c r="E2831" s="52">
        <f t="shared" si="430"/>
        <v>0</v>
      </c>
      <c r="F2831" s="18"/>
      <c r="K2831" s="22"/>
      <c r="N2831" s="22"/>
      <c r="O2831" s="22"/>
      <c r="P2831" s="22"/>
      <c r="Q2831" s="22"/>
      <c r="R2831" s="22"/>
      <c r="S2831" s="22"/>
      <c r="Z2831" s="53"/>
      <c r="AA2831"/>
      <c r="AH2831" t="str">
        <f t="shared" si="431"/>
        <v>k yet</v>
      </c>
    </row>
    <row r="2832" spans="1:39">
      <c r="A2832" s="42" t="s">
        <v>248</v>
      </c>
      <c r="B2832" s="40" t="str">
        <f t="shared" si="428"/>
        <v>No pick yet</v>
      </c>
      <c r="C2832" s="40" t="str">
        <f t="shared" si="427"/>
        <v>03-&gt;</v>
      </c>
      <c r="D2832" s="40" t="str">
        <f t="shared" si="429"/>
        <v xml:space="preserve">No pick yet                                                 </v>
      </c>
      <c r="E2832" s="52">
        <f t="shared" si="430"/>
        <v>0</v>
      </c>
      <c r="F2832" s="18"/>
      <c r="L2832" s="21"/>
      <c r="N2832" s="22"/>
      <c r="O2832" s="22"/>
      <c r="P2832" s="18"/>
      <c r="Q2832" s="22"/>
      <c r="R2832" s="22"/>
      <c r="S2832" s="22"/>
      <c r="Z2832" s="53"/>
      <c r="AA2832"/>
      <c r="AH2832" t="str">
        <f t="shared" si="431"/>
        <v>k yet</v>
      </c>
    </row>
    <row r="2833" spans="1:34">
      <c r="A2833" s="42" t="s">
        <v>249</v>
      </c>
      <c r="B2833" s="40" t="str">
        <f t="shared" si="428"/>
        <v>No pick yet</v>
      </c>
      <c r="C2833" s="40" t="str">
        <f t="shared" si="427"/>
        <v>04-&gt;</v>
      </c>
      <c r="D2833" s="40" t="str">
        <f t="shared" si="429"/>
        <v xml:space="preserve">No pick yet                                                 </v>
      </c>
      <c r="E2833" s="52">
        <f t="shared" si="430"/>
        <v>0</v>
      </c>
      <c r="F2833" s="18"/>
      <c r="M2833" s="18"/>
      <c r="N2833" s="18"/>
      <c r="O2833" s="18"/>
      <c r="P2833" s="18"/>
      <c r="Q2833" s="22"/>
      <c r="R2833" s="21"/>
      <c r="S2833" s="21"/>
      <c r="T2833" s="21"/>
      <c r="AA2833"/>
      <c r="AH2833" t="str">
        <f t="shared" si="431"/>
        <v>k yet</v>
      </c>
    </row>
    <row r="2834" spans="1:34">
      <c r="A2834" s="42" t="s">
        <v>250</v>
      </c>
      <c r="B2834" s="40" t="str">
        <f t="shared" si="428"/>
        <v>No pick yet</v>
      </c>
      <c r="C2834" s="40" t="str">
        <f t="shared" si="427"/>
        <v>05-&gt;</v>
      </c>
      <c r="D2834" s="40" t="str">
        <f t="shared" si="429"/>
        <v xml:space="preserve">No pick yet                                                 </v>
      </c>
      <c r="E2834" s="52">
        <f t="shared" si="430"/>
        <v>0</v>
      </c>
      <c r="F2834" s="18"/>
      <c r="M2834" s="18"/>
      <c r="N2834" s="18"/>
      <c r="O2834" s="18"/>
      <c r="P2834" s="18"/>
      <c r="Q2834" s="22"/>
      <c r="R2834" s="21"/>
      <c r="S2834" s="21"/>
      <c r="T2834" s="21"/>
      <c r="AA2834"/>
      <c r="AH2834" t="str">
        <f t="shared" si="431"/>
        <v>k yet</v>
      </c>
    </row>
    <row r="2835" spans="1:34">
      <c r="A2835" s="42" t="s">
        <v>251</v>
      </c>
      <c r="B2835" s="40" t="str">
        <f t="shared" si="428"/>
        <v>No pick yet</v>
      </c>
      <c r="C2835" s="40" t="str">
        <f t="shared" si="427"/>
        <v>06-&gt;</v>
      </c>
      <c r="D2835" s="40" t="str">
        <f t="shared" si="429"/>
        <v xml:space="preserve">No pick yet                                                 </v>
      </c>
      <c r="E2835" s="52">
        <f t="shared" si="430"/>
        <v>0</v>
      </c>
      <c r="F2835" s="18"/>
      <c r="M2835" s="18"/>
      <c r="N2835" s="18"/>
      <c r="O2835" s="18"/>
      <c r="P2835" s="18"/>
      <c r="Q2835" s="22"/>
      <c r="R2835" s="21"/>
      <c r="S2835" s="21"/>
      <c r="T2835" s="21"/>
      <c r="AA2835"/>
      <c r="AH2835" t="str">
        <f t="shared" si="431"/>
        <v>k yet</v>
      </c>
    </row>
    <row r="2836" spans="1:34">
      <c r="A2836" s="42" t="s">
        <v>252</v>
      </c>
      <c r="B2836" s="40" t="str">
        <f t="shared" si="428"/>
        <v>No pick yet</v>
      </c>
      <c r="C2836" s="40" t="str">
        <f t="shared" si="427"/>
        <v>07-&gt;</v>
      </c>
      <c r="D2836" s="40" t="str">
        <f t="shared" si="429"/>
        <v xml:space="preserve">No pick yet                                                 </v>
      </c>
      <c r="E2836" s="52">
        <f t="shared" si="430"/>
        <v>0</v>
      </c>
      <c r="F2836" s="18"/>
      <c r="M2836" s="18"/>
      <c r="N2836" s="18"/>
      <c r="O2836" s="18"/>
      <c r="P2836" s="18"/>
      <c r="Q2836" s="22"/>
      <c r="R2836" s="21"/>
      <c r="S2836" s="21"/>
      <c r="T2836" s="21"/>
      <c r="AA2836"/>
      <c r="AH2836" t="str">
        <f t="shared" si="431"/>
        <v>k yet</v>
      </c>
    </row>
    <row r="2837" spans="1:34">
      <c r="A2837" s="42" t="s">
        <v>253</v>
      </c>
      <c r="B2837" s="40" t="str">
        <f t="shared" si="428"/>
        <v>No pick yet</v>
      </c>
      <c r="C2837" s="40" t="str">
        <f t="shared" si="427"/>
        <v>08-&gt;</v>
      </c>
      <c r="D2837" s="40" t="str">
        <f t="shared" si="429"/>
        <v xml:space="preserve">No pick yet                                                 </v>
      </c>
      <c r="E2837" s="52">
        <f t="shared" si="430"/>
        <v>0</v>
      </c>
      <c r="F2837" s="18"/>
      <c r="M2837" s="18"/>
      <c r="N2837" s="18"/>
      <c r="O2837" s="18"/>
      <c r="P2837" s="18"/>
      <c r="Q2837" s="22"/>
      <c r="R2837" s="21"/>
      <c r="S2837" s="21"/>
      <c r="T2837" s="21"/>
      <c r="AA2837"/>
      <c r="AH2837" t="str">
        <f t="shared" si="431"/>
        <v>k yet</v>
      </c>
    </row>
    <row r="2838" spans="1:34">
      <c r="A2838" s="42" t="s">
        <v>254</v>
      </c>
      <c r="B2838" s="40" t="str">
        <f t="shared" si="428"/>
        <v>No pick yet</v>
      </c>
      <c r="C2838" s="40" t="str">
        <f t="shared" si="427"/>
        <v>09-&gt;</v>
      </c>
      <c r="D2838" s="40" t="str">
        <f t="shared" si="429"/>
        <v xml:space="preserve">No pick yet                                                 </v>
      </c>
      <c r="E2838" s="52">
        <f t="shared" si="430"/>
        <v>0</v>
      </c>
      <c r="F2838" s="18"/>
      <c r="M2838" s="18"/>
      <c r="N2838" s="18"/>
      <c r="O2838" s="18"/>
      <c r="P2838" s="18"/>
      <c r="Q2838" s="22"/>
      <c r="R2838" s="21"/>
      <c r="S2838" s="21"/>
      <c r="T2838" s="21"/>
      <c r="AA2838"/>
      <c r="AH2838" t="str">
        <f t="shared" si="431"/>
        <v>k yet</v>
      </c>
    </row>
    <row r="2839" spans="1:34">
      <c r="A2839" s="42" t="s">
        <v>255</v>
      </c>
      <c r="B2839" s="40" t="str">
        <f t="shared" si="428"/>
        <v>No pick yet</v>
      </c>
      <c r="C2839" s="40" t="str">
        <f t="shared" si="427"/>
        <v>10-&gt;</v>
      </c>
      <c r="D2839" s="40" t="str">
        <f t="shared" si="429"/>
        <v xml:space="preserve">No pick yet                                                 </v>
      </c>
      <c r="E2839" s="52">
        <f t="shared" si="430"/>
        <v>0</v>
      </c>
      <c r="F2839" s="22"/>
      <c r="M2839" s="18"/>
      <c r="N2839" s="18"/>
      <c r="O2839" s="18"/>
      <c r="P2839" s="18"/>
      <c r="Q2839" s="22"/>
      <c r="R2839" s="21"/>
      <c r="S2839" s="21"/>
      <c r="T2839" s="21"/>
      <c r="AA2839"/>
      <c r="AH2839" t="str">
        <f t="shared" si="431"/>
        <v>k yet</v>
      </c>
    </row>
    <row r="2840" spans="1:34">
      <c r="A2840" s="42" t="s">
        <v>256</v>
      </c>
      <c r="B2840" s="40" t="str">
        <f t="shared" si="428"/>
        <v>No pick yet</v>
      </c>
      <c r="C2840" s="40" t="str">
        <f t="shared" si="427"/>
        <v>11-&gt;</v>
      </c>
      <c r="D2840" s="40" t="str">
        <f t="shared" si="429"/>
        <v xml:space="preserve">No pick yet                                                 </v>
      </c>
      <c r="E2840" s="52">
        <f t="shared" si="430"/>
        <v>0</v>
      </c>
      <c r="M2840" s="18"/>
      <c r="N2840" s="18"/>
      <c r="O2840" s="18"/>
      <c r="P2840" s="18"/>
      <c r="Q2840" s="22"/>
      <c r="R2840" s="21"/>
      <c r="S2840" s="21"/>
      <c r="T2840" s="21"/>
      <c r="AA2840"/>
      <c r="AH2840" t="str">
        <f t="shared" si="431"/>
        <v>k yet</v>
      </c>
    </row>
    <row r="2841" spans="1:34">
      <c r="A2841" s="42" t="s">
        <v>257</v>
      </c>
      <c r="B2841" s="40" t="str">
        <f t="shared" si="428"/>
        <v>No pick yet</v>
      </c>
      <c r="C2841" s="40" t="str">
        <f t="shared" si="427"/>
        <v>12-&gt;</v>
      </c>
      <c r="D2841" s="40" t="str">
        <f t="shared" si="429"/>
        <v xml:space="preserve">No pick yet                                                 </v>
      </c>
      <c r="E2841" s="52">
        <f t="shared" si="430"/>
        <v>0</v>
      </c>
      <c r="M2841" s="18"/>
      <c r="N2841" s="18"/>
      <c r="O2841" s="18"/>
      <c r="P2841" s="18"/>
      <c r="Q2841" s="22"/>
      <c r="R2841" s="21"/>
      <c r="S2841" s="21"/>
      <c r="T2841" s="21"/>
      <c r="AA2841"/>
      <c r="AH2841" t="str">
        <f t="shared" si="431"/>
        <v>k yet</v>
      </c>
    </row>
    <row r="2842" spans="1:34">
      <c r="A2842" s="42" t="s">
        <v>258</v>
      </c>
      <c r="B2842" s="40" t="str">
        <f t="shared" si="428"/>
        <v>No pick yet</v>
      </c>
      <c r="C2842" s="40" t="str">
        <f t="shared" si="427"/>
        <v>13-&gt;</v>
      </c>
      <c r="D2842" s="40" t="str">
        <f t="shared" si="429"/>
        <v xml:space="preserve">No pick yet                                                 </v>
      </c>
      <c r="E2842" s="52">
        <f t="shared" si="430"/>
        <v>0</v>
      </c>
      <c r="M2842" s="18"/>
      <c r="N2842" s="18"/>
      <c r="O2842" s="18"/>
      <c r="P2842" s="18"/>
      <c r="Q2842" s="22"/>
      <c r="R2842" s="21"/>
      <c r="S2842" s="21"/>
      <c r="T2842" s="21"/>
      <c r="AA2842"/>
      <c r="AH2842" t="str">
        <f t="shared" si="431"/>
        <v>k yet</v>
      </c>
    </row>
    <row r="2843" spans="1:34">
      <c r="A2843" s="42" t="s">
        <v>259</v>
      </c>
      <c r="B2843" s="40" t="str">
        <f t="shared" si="428"/>
        <v>No pick yet</v>
      </c>
      <c r="C2843" s="40" t="str">
        <f t="shared" si="427"/>
        <v>14-&gt;</v>
      </c>
      <c r="D2843" s="40" t="str">
        <f t="shared" si="429"/>
        <v xml:space="preserve">No pick yet                                                 </v>
      </c>
      <c r="E2843" s="52">
        <f t="shared" si="430"/>
        <v>0</v>
      </c>
      <c r="M2843" s="18"/>
      <c r="N2843" s="18"/>
      <c r="O2843" s="18"/>
      <c r="P2843" s="18"/>
      <c r="Q2843" s="22"/>
      <c r="R2843" s="21"/>
      <c r="S2843" s="21"/>
      <c r="T2843" s="21"/>
      <c r="AA2843"/>
      <c r="AH2843" t="str">
        <f t="shared" si="431"/>
        <v>k yet</v>
      </c>
    </row>
    <row r="2844" spans="1:34">
      <c r="A2844" s="42" t="s">
        <v>260</v>
      </c>
      <c r="B2844" s="40" t="str">
        <f t="shared" si="428"/>
        <v>No pick yet</v>
      </c>
      <c r="C2844" s="40" t="str">
        <f t="shared" si="427"/>
        <v>15-&gt;</v>
      </c>
      <c r="D2844" s="40" t="str">
        <f t="shared" si="429"/>
        <v xml:space="preserve">No pick yet                                                 </v>
      </c>
      <c r="E2844" s="52">
        <f t="shared" si="430"/>
        <v>0</v>
      </c>
      <c r="M2844" s="18"/>
      <c r="N2844" s="18"/>
      <c r="O2844" s="18"/>
      <c r="P2844" s="18"/>
      <c r="Q2844" s="22"/>
      <c r="R2844" s="21"/>
      <c r="S2844" s="21"/>
      <c r="T2844" s="21"/>
      <c r="AA2844"/>
      <c r="AH2844" t="str">
        <f t="shared" si="431"/>
        <v>k yet</v>
      </c>
    </row>
    <row r="2845" spans="1:34">
      <c r="A2845" s="42" t="s">
        <v>261</v>
      </c>
      <c r="B2845" s="40" t="str">
        <f t="shared" si="428"/>
        <v>No pick yet</v>
      </c>
      <c r="C2845" s="40" t="str">
        <f t="shared" si="427"/>
        <v>16-&gt;</v>
      </c>
      <c r="D2845" s="40" t="str">
        <f t="shared" si="429"/>
        <v xml:space="preserve">No pick yet                                                 </v>
      </c>
      <c r="E2845" s="52">
        <f t="shared" si="430"/>
        <v>0</v>
      </c>
      <c r="M2845" s="18"/>
      <c r="N2845" s="18"/>
      <c r="O2845" s="18"/>
      <c r="P2845" s="18"/>
      <c r="Q2845" s="22"/>
      <c r="R2845" s="21"/>
      <c r="S2845" s="21"/>
      <c r="T2845" s="21"/>
      <c r="AA2845"/>
      <c r="AH2845" t="str">
        <f t="shared" si="431"/>
        <v>k yet</v>
      </c>
    </row>
    <row r="2846" spans="1:34">
      <c r="A2846" s="42" t="s">
        <v>262</v>
      </c>
      <c r="B2846" s="40" t="str">
        <f t="shared" si="428"/>
        <v>No pick yet</v>
      </c>
      <c r="C2846" s="40" t="str">
        <f t="shared" si="427"/>
        <v>17-&gt;</v>
      </c>
      <c r="D2846" s="40" t="str">
        <f t="shared" si="429"/>
        <v xml:space="preserve">No pick yet                                                 </v>
      </c>
      <c r="E2846" s="52">
        <f t="shared" si="430"/>
        <v>0</v>
      </c>
      <c r="K2846" s="22"/>
      <c r="N2846" s="22"/>
      <c r="O2846" s="22"/>
      <c r="P2846" s="22"/>
      <c r="Q2846" s="22"/>
      <c r="R2846" s="22"/>
      <c r="S2846" s="22"/>
      <c r="Z2846" s="53"/>
      <c r="AA2846"/>
      <c r="AH2846" t="str">
        <f t="shared" si="431"/>
        <v>k yet</v>
      </c>
    </row>
    <row r="2847" spans="1:34">
      <c r="A2847" s="42" t="s">
        <v>263</v>
      </c>
      <c r="B2847" s="40" t="str">
        <f t="shared" si="428"/>
        <v>No pick yet</v>
      </c>
      <c r="C2847" s="40" t="str">
        <f t="shared" si="427"/>
        <v>18-&gt;</v>
      </c>
      <c r="D2847" s="40" t="str">
        <f t="shared" si="429"/>
        <v xml:space="preserve">No pick yet                                                 </v>
      </c>
      <c r="E2847" s="52">
        <f t="shared" si="430"/>
        <v>0</v>
      </c>
      <c r="F2847" s="18"/>
      <c r="L2847" s="21"/>
      <c r="N2847" s="22"/>
      <c r="O2847" s="22"/>
      <c r="P2847" s="18"/>
      <c r="Q2847" s="22"/>
      <c r="R2847" s="22"/>
      <c r="S2847" s="22"/>
      <c r="Z2847" s="53"/>
      <c r="AA2847"/>
      <c r="AH2847" t="str">
        <f t="shared" si="431"/>
        <v>k yet</v>
      </c>
    </row>
    <row r="2848" spans="1:34">
      <c r="A2848" s="42" t="s">
        <v>264</v>
      </c>
      <c r="B2848" s="40" t="str">
        <f t="shared" si="428"/>
        <v>No pick yet</v>
      </c>
      <c r="C2848" s="40" t="str">
        <f t="shared" si="427"/>
        <v>19-&gt;</v>
      </c>
      <c r="D2848" s="40" t="str">
        <f t="shared" si="429"/>
        <v xml:space="preserve">No pick yet                                                 </v>
      </c>
      <c r="E2848" s="52">
        <f t="shared" si="430"/>
        <v>0</v>
      </c>
      <c r="F2848" s="18"/>
      <c r="M2848" s="18"/>
      <c r="N2848" s="18"/>
      <c r="O2848" s="18"/>
      <c r="P2848" s="18"/>
      <c r="Q2848" s="22"/>
      <c r="R2848" s="21"/>
      <c r="S2848" s="21"/>
      <c r="T2848" s="21"/>
      <c r="AA2848"/>
      <c r="AH2848" t="str">
        <f t="shared" si="431"/>
        <v>k yet</v>
      </c>
    </row>
    <row r="2849" spans="1:39">
      <c r="A2849" s="42" t="s">
        <v>265</v>
      </c>
      <c r="B2849" s="40" t="str">
        <f t="shared" si="428"/>
        <v>No pick yet</v>
      </c>
      <c r="C2849" s="40" t="str">
        <f t="shared" si="427"/>
        <v>20-&gt;</v>
      </c>
      <c r="D2849" s="40" t="str">
        <f t="shared" si="429"/>
        <v xml:space="preserve">No pick yet                                                 </v>
      </c>
      <c r="E2849" s="52">
        <f t="shared" si="430"/>
        <v>0</v>
      </c>
      <c r="F2849" s="18"/>
      <c r="M2849" s="18"/>
      <c r="N2849" s="18"/>
      <c r="O2849" s="18"/>
      <c r="P2849" s="18"/>
      <c r="Q2849" s="22"/>
      <c r="R2849" s="21"/>
      <c r="S2849" s="21"/>
      <c r="T2849" s="21"/>
      <c r="AA2849"/>
      <c r="AH2849" t="str">
        <f t="shared" si="431"/>
        <v>k yet</v>
      </c>
    </row>
    <row r="2850" spans="1:39">
      <c r="A2850" s="42" t="s">
        <v>266</v>
      </c>
      <c r="B2850" s="40" t="str">
        <f t="shared" si="428"/>
        <v>No pick yet</v>
      </c>
      <c r="C2850" s="40" t="str">
        <f t="shared" si="427"/>
        <v>21-&gt;</v>
      </c>
      <c r="D2850" s="40" t="str">
        <f t="shared" si="429"/>
        <v xml:space="preserve">No pick yet                                                 </v>
      </c>
      <c r="E2850" s="52">
        <f t="shared" si="430"/>
        <v>0</v>
      </c>
      <c r="F2850" s="18"/>
      <c r="M2850" s="18"/>
      <c r="N2850" s="18"/>
      <c r="O2850" s="18"/>
      <c r="P2850" s="18"/>
      <c r="Q2850" s="22"/>
      <c r="R2850" s="21"/>
      <c r="S2850" s="21"/>
      <c r="T2850" s="21"/>
      <c r="AA2850"/>
      <c r="AH2850" t="str">
        <f t="shared" si="431"/>
        <v>k yet</v>
      </c>
    </row>
    <row r="2851" spans="1:39">
      <c r="A2851" s="42" t="s">
        <v>267</v>
      </c>
      <c r="B2851" s="40" t="str">
        <f t="shared" si="428"/>
        <v>No pick yet</v>
      </c>
      <c r="C2851" s="40" t="str">
        <f t="shared" si="427"/>
        <v>22-&gt;</v>
      </c>
      <c r="D2851" s="40" t="str">
        <f t="shared" si="429"/>
        <v xml:space="preserve">No pick yet                                                 </v>
      </c>
      <c r="E2851" s="52">
        <f t="shared" si="430"/>
        <v>0</v>
      </c>
      <c r="F2851" s="18"/>
      <c r="M2851" s="18"/>
      <c r="N2851" s="18"/>
      <c r="O2851" s="18"/>
      <c r="P2851" s="18"/>
      <c r="Q2851" s="22"/>
      <c r="R2851" s="21"/>
      <c r="S2851" s="21"/>
      <c r="T2851" s="21"/>
      <c r="AA2851"/>
      <c r="AH2851" t="str">
        <f t="shared" si="431"/>
        <v>k yet</v>
      </c>
    </row>
    <row r="2852" spans="1:39">
      <c r="A2852" s="42" t="s">
        <v>268</v>
      </c>
      <c r="B2852" s="40" t="str">
        <f t="shared" si="428"/>
        <v>No pick yet</v>
      </c>
      <c r="C2852" s="40" t="str">
        <f t="shared" si="427"/>
        <v>23-&gt;</v>
      </c>
      <c r="D2852" s="40" t="str">
        <f t="shared" si="429"/>
        <v xml:space="preserve">No pick yet                                                 </v>
      </c>
      <c r="E2852" s="52">
        <f t="shared" si="430"/>
        <v>0</v>
      </c>
      <c r="F2852" s="18"/>
      <c r="M2852" s="18"/>
      <c r="N2852" s="18"/>
      <c r="O2852" s="18"/>
      <c r="P2852" s="18"/>
      <c r="Q2852" s="22"/>
      <c r="R2852" s="21"/>
      <c r="S2852" s="21"/>
      <c r="T2852" s="21"/>
      <c r="AA2852"/>
      <c r="AH2852" t="str">
        <f t="shared" si="431"/>
        <v>k yet</v>
      </c>
    </row>
    <row r="2853" spans="1:39">
      <c r="A2853" s="42" t="s">
        <v>269</v>
      </c>
      <c r="B2853" s="40" t="str">
        <f t="shared" si="428"/>
        <v>No pick yet</v>
      </c>
      <c r="C2853" s="40" t="str">
        <f t="shared" si="427"/>
        <v>24-&gt;</v>
      </c>
      <c r="D2853" s="40" t="str">
        <f t="shared" si="429"/>
        <v xml:space="preserve">No pick yet                                                 </v>
      </c>
      <c r="E2853" s="52">
        <f t="shared" si="430"/>
        <v>0</v>
      </c>
      <c r="F2853" s="18"/>
      <c r="M2853" s="18"/>
      <c r="N2853" s="18"/>
      <c r="O2853" s="18"/>
      <c r="P2853" s="18"/>
      <c r="Q2853" s="22"/>
      <c r="R2853" s="21"/>
      <c r="S2853" s="21"/>
      <c r="T2853" s="21"/>
      <c r="AA2853"/>
      <c r="AH2853" t="str">
        <f t="shared" si="431"/>
        <v>k yet</v>
      </c>
    </row>
    <row r="2854" spans="1:39">
      <c r="A2854" s="42" t="s">
        <v>270</v>
      </c>
      <c r="B2854" s="40" t="str">
        <f t="shared" si="428"/>
        <v>No pick yet</v>
      </c>
      <c r="C2854" s="40" t="str">
        <f t="shared" si="427"/>
        <v>25-&gt;</v>
      </c>
      <c r="D2854" s="40" t="str">
        <f t="shared" si="429"/>
        <v xml:space="preserve">No pick yet                                                 </v>
      </c>
      <c r="E2854" s="52">
        <f t="shared" si="430"/>
        <v>0</v>
      </c>
      <c r="F2854" s="18"/>
      <c r="M2854" s="18"/>
      <c r="N2854" s="18"/>
      <c r="O2854" s="18"/>
      <c r="P2854" s="18"/>
      <c r="Q2854" s="22"/>
      <c r="R2854" s="21"/>
      <c r="S2854" s="21"/>
      <c r="T2854" s="21"/>
      <c r="AA2854"/>
      <c r="AH2854" t="str">
        <f t="shared" si="431"/>
        <v>k yet</v>
      </c>
    </row>
    <row r="2855" spans="1:39">
      <c r="A2855" s="42" t="s">
        <v>271</v>
      </c>
      <c r="B2855" s="40" t="str">
        <f t="shared" si="428"/>
        <v>No pick yet</v>
      </c>
      <c r="C2855" s="40" t="str">
        <f t="shared" si="427"/>
        <v>26-&gt;</v>
      </c>
      <c r="D2855" s="40" t="str">
        <f t="shared" si="429"/>
        <v xml:space="preserve">No pick yet                                                 </v>
      </c>
      <c r="E2855" s="52">
        <f t="shared" si="430"/>
        <v>0</v>
      </c>
      <c r="F2855" s="18"/>
      <c r="M2855" s="18"/>
      <c r="N2855" s="18"/>
      <c r="O2855" s="18"/>
      <c r="P2855" s="18"/>
      <c r="Q2855" s="22"/>
      <c r="R2855" s="21"/>
      <c r="S2855" s="21"/>
      <c r="T2855" s="21"/>
      <c r="AA2855"/>
      <c r="AH2855" t="str">
        <f t="shared" si="431"/>
        <v>k yet</v>
      </c>
    </row>
    <row r="2856" spans="1:39">
      <c r="A2856" s="38"/>
      <c r="B2856" s="40"/>
      <c r="C2856" s="40"/>
      <c r="D2856" s="49"/>
      <c r="E2856" s="41" t="s">
        <v>69</v>
      </c>
      <c r="F2856" s="18"/>
      <c r="K2856" s="22" t="s">
        <v>73</v>
      </c>
      <c r="L2856" s="18" t="s">
        <v>74</v>
      </c>
      <c r="M2856" s="22" t="s">
        <v>78</v>
      </c>
      <c r="N2856" s="22" t="s">
        <v>79</v>
      </c>
      <c r="O2856" s="22" t="s">
        <v>80</v>
      </c>
      <c r="P2856" s="22" t="s">
        <v>81</v>
      </c>
      <c r="Q2856" s="22" t="s">
        <v>82</v>
      </c>
      <c r="R2856" s="22" t="s">
        <v>83</v>
      </c>
      <c r="S2856" s="22" t="s">
        <v>84</v>
      </c>
      <c r="T2856" s="18" t="s">
        <v>85</v>
      </c>
      <c r="U2856" s="18" t="s">
        <v>86</v>
      </c>
      <c r="V2856" s="18" t="s">
        <v>87</v>
      </c>
      <c r="W2856" s="18" t="s">
        <v>88</v>
      </c>
      <c r="X2856" s="18" t="s">
        <v>89</v>
      </c>
      <c r="Y2856" s="18" t="s">
        <v>90</v>
      </c>
      <c r="Z2856" s="18" t="s">
        <v>91</v>
      </c>
      <c r="AA2856" s="18" t="s">
        <v>92</v>
      </c>
      <c r="AB2856" s="18" t="s">
        <v>93</v>
      </c>
      <c r="AC2856" s="18" t="s">
        <v>94</v>
      </c>
      <c r="AD2856" s="18" t="s">
        <v>235</v>
      </c>
      <c r="AE2856" s="18" t="s">
        <v>236</v>
      </c>
      <c r="AF2856" s="18" t="s">
        <v>237</v>
      </c>
      <c r="AG2856" s="18" t="s">
        <v>238</v>
      </c>
      <c r="AH2856" s="18" t="s">
        <v>239</v>
      </c>
      <c r="AI2856" s="18" t="s">
        <v>240</v>
      </c>
      <c r="AJ2856" s="18" t="s">
        <v>241</v>
      </c>
      <c r="AK2856" s="18" t="s">
        <v>242</v>
      </c>
      <c r="AL2856" s="18" t="s">
        <v>243</v>
      </c>
      <c r="AM2856" s="50" t="s">
        <v>244</v>
      </c>
    </row>
    <row r="2857" spans="1:39">
      <c r="A2857" s="40" t="s">
        <v>245</v>
      </c>
      <c r="B2857" s="51" t="str">
        <f>D101</f>
        <v/>
      </c>
      <c r="C2857" s="40" t="str">
        <f t="shared" ref="C2857:C2883" si="432">A2857</f>
        <v>#</v>
      </c>
      <c r="D2857" s="40" t="str">
        <f>"   "&amp;B2857&amp;REPT(" ",$AH$70-LEN(B2857)-3)</f>
        <v xml:space="preserve">                                                            </v>
      </c>
      <c r="E2857" s="38" t="str">
        <f>SUM(E2858:E2883)&amp;" pts[/b]"</f>
        <v>0 pts[/b]</v>
      </c>
      <c r="F2857" s="21">
        <f>SUM(E2858:E2883)</f>
        <v>0</v>
      </c>
      <c r="K2857" s="18">
        <f>COUNTIF(E2858:E2883,"&gt;0")</f>
        <v>0</v>
      </c>
      <c r="L2857" s="21">
        <f>AM2857-K2857</f>
        <v>0</v>
      </c>
      <c r="M2857" s="22">
        <f>MAX(E2858:E2883)</f>
        <v>0</v>
      </c>
      <c r="N2857" s="22">
        <f>LARGE(E2858:E2883,2)</f>
        <v>0</v>
      </c>
      <c r="O2857" s="22">
        <f>LARGE(E2858:E2883,3)</f>
        <v>0</v>
      </c>
      <c r="P2857" s="18">
        <f>LARGE(E2858:E2883,4)</f>
        <v>0</v>
      </c>
      <c r="Q2857" s="22">
        <f>LARGE(E2858:E2883,5)</f>
        <v>0</v>
      </c>
      <c r="R2857" s="22">
        <f>LARGE(E2858:E2883,6)</f>
        <v>0</v>
      </c>
      <c r="S2857" s="22">
        <f>LARGE(E2858:E2883,7)</f>
        <v>0</v>
      </c>
      <c r="T2857" s="18">
        <f>LARGE(E2858:E2883,8)</f>
        <v>0</v>
      </c>
      <c r="U2857" s="18">
        <f>LARGE(E2858:E2883,9)</f>
        <v>0</v>
      </c>
      <c r="V2857" s="18">
        <f>LARGE(E2858:E2883,10)</f>
        <v>0</v>
      </c>
      <c r="W2857" s="18">
        <f>LARGE(E2858:E2883,11)</f>
        <v>0</v>
      </c>
      <c r="X2857" s="18">
        <f>LARGE(E2858:E2883,12)</f>
        <v>0</v>
      </c>
      <c r="Y2857" s="18">
        <f>LARGE(E2858:E2883,13)</f>
        <v>0</v>
      </c>
      <c r="Z2857" s="18">
        <f>LARGE(E2858:E2883,14)</f>
        <v>0</v>
      </c>
      <c r="AA2857" s="18">
        <f>LARGE(E2858:E2883,15)</f>
        <v>0</v>
      </c>
      <c r="AB2857" s="18">
        <f>LARGE(E2858:E2883,16)</f>
        <v>0</v>
      </c>
      <c r="AC2857" s="18">
        <f>LARGE(E2858:E2883,17)</f>
        <v>0</v>
      </c>
      <c r="AD2857" s="18">
        <f>LARGE(E2858:E2884,13)</f>
        <v>0</v>
      </c>
      <c r="AE2857" s="18">
        <f>LARGE(E2858:E2883,19)</f>
        <v>0</v>
      </c>
      <c r="AF2857" s="18">
        <f>LARGE(E2858:E2883,20)</f>
        <v>0</v>
      </c>
      <c r="AG2857" s="18">
        <f>LARGE(E2858:E2883,21)</f>
        <v>0</v>
      </c>
      <c r="AH2857" s="18">
        <f>LARGE(E2858:E2883,22)</f>
        <v>0</v>
      </c>
      <c r="AI2857" s="18">
        <f>LARGE(E2858:E2883,23)</f>
        <v>0</v>
      </c>
      <c r="AJ2857" s="18">
        <f>LARGE(E2858:E2883,24)</f>
        <v>0</v>
      </c>
      <c r="AK2857" s="18">
        <f>LARGE(E2858:E2883,25)</f>
        <v>0</v>
      </c>
      <c r="AL2857" s="18">
        <f>LARGE(E2858:E2883,26)</f>
        <v>0</v>
      </c>
      <c r="AM2857" s="50">
        <f>COUNTIF(B2858:B2883,"&lt;&gt;"&amp;AH74)</f>
        <v>0</v>
      </c>
    </row>
    <row r="2858" spans="1:39">
      <c r="A2858" s="42" t="s">
        <v>246</v>
      </c>
      <c r="B2858" s="40" t="str">
        <f t="shared" ref="B2858:B2883" si="433">$AH$74</f>
        <v>No pick yet</v>
      </c>
      <c r="C2858" s="40" t="str">
        <f t="shared" si="432"/>
        <v>01-&gt;</v>
      </c>
      <c r="D2858" s="40" t="str">
        <f t="shared" ref="D2858:D2883" si="434">B2858&amp;REPT(" ",$AH$70-LEN(B2858))</f>
        <v xml:space="preserve">No pick yet                                                 </v>
      </c>
      <c r="E2858" s="52">
        <f t="shared" ref="E2858:E2883" si="435">VLOOKUP(RIGHT(B2858,LEN(B2858)-$AH$66),$H$138:$I$420,2,0)</f>
        <v>0</v>
      </c>
      <c r="F2858" s="18"/>
      <c r="M2858" s="18"/>
      <c r="N2858" s="18"/>
      <c r="O2858" s="18"/>
      <c r="P2858" s="18"/>
      <c r="Q2858" s="22"/>
      <c r="R2858" s="21"/>
      <c r="S2858" s="21"/>
      <c r="T2858" s="21"/>
      <c r="AA2858"/>
      <c r="AH2858" t="str">
        <f t="shared" ref="AH2858:AH2883" si="436">RIGHT(B2858,LEN(B2858)-$AH$66)</f>
        <v>k yet</v>
      </c>
    </row>
    <row r="2859" spans="1:39">
      <c r="A2859" s="42" t="s">
        <v>247</v>
      </c>
      <c r="B2859" s="40" t="str">
        <f t="shared" si="433"/>
        <v>No pick yet</v>
      </c>
      <c r="C2859" s="40" t="str">
        <f t="shared" si="432"/>
        <v>02-&gt;</v>
      </c>
      <c r="D2859" s="40" t="str">
        <f t="shared" si="434"/>
        <v xml:space="preserve">No pick yet                                                 </v>
      </c>
      <c r="E2859" s="52">
        <f t="shared" si="435"/>
        <v>0</v>
      </c>
      <c r="F2859" s="18"/>
      <c r="K2859" s="22"/>
      <c r="N2859" s="22"/>
      <c r="O2859" s="22"/>
      <c r="P2859" s="22"/>
      <c r="Q2859" s="22"/>
      <c r="R2859" s="22"/>
      <c r="S2859" s="22"/>
      <c r="Z2859" s="53"/>
      <c r="AA2859"/>
      <c r="AH2859" t="str">
        <f t="shared" si="436"/>
        <v>k yet</v>
      </c>
    </row>
    <row r="2860" spans="1:39">
      <c r="A2860" s="42" t="s">
        <v>248</v>
      </c>
      <c r="B2860" s="40" t="str">
        <f t="shared" si="433"/>
        <v>No pick yet</v>
      </c>
      <c r="C2860" s="40" t="str">
        <f t="shared" si="432"/>
        <v>03-&gt;</v>
      </c>
      <c r="D2860" s="40" t="str">
        <f t="shared" si="434"/>
        <v xml:space="preserve">No pick yet                                                 </v>
      </c>
      <c r="E2860" s="52">
        <f t="shared" si="435"/>
        <v>0</v>
      </c>
      <c r="F2860" s="18"/>
      <c r="L2860" s="21"/>
      <c r="N2860" s="22"/>
      <c r="O2860" s="22"/>
      <c r="P2860" s="18"/>
      <c r="Q2860" s="22"/>
      <c r="R2860" s="22"/>
      <c r="S2860" s="22"/>
      <c r="Z2860" s="53"/>
      <c r="AA2860"/>
      <c r="AH2860" t="str">
        <f t="shared" si="436"/>
        <v>k yet</v>
      </c>
    </row>
    <row r="2861" spans="1:39">
      <c r="A2861" s="42" t="s">
        <v>249</v>
      </c>
      <c r="B2861" s="40" t="str">
        <f t="shared" si="433"/>
        <v>No pick yet</v>
      </c>
      <c r="C2861" s="40" t="str">
        <f t="shared" si="432"/>
        <v>04-&gt;</v>
      </c>
      <c r="D2861" s="40" t="str">
        <f t="shared" si="434"/>
        <v xml:space="preserve">No pick yet                                                 </v>
      </c>
      <c r="E2861" s="52">
        <f t="shared" si="435"/>
        <v>0</v>
      </c>
      <c r="F2861" s="18"/>
      <c r="M2861" s="18"/>
      <c r="N2861" s="18"/>
      <c r="O2861" s="18"/>
      <c r="P2861" s="18"/>
      <c r="Q2861" s="22"/>
      <c r="R2861" s="21"/>
      <c r="S2861" s="21"/>
      <c r="T2861" s="21"/>
      <c r="AA2861"/>
      <c r="AH2861" t="str">
        <f t="shared" si="436"/>
        <v>k yet</v>
      </c>
    </row>
    <row r="2862" spans="1:39">
      <c r="A2862" s="42" t="s">
        <v>250</v>
      </c>
      <c r="B2862" s="40" t="str">
        <f t="shared" si="433"/>
        <v>No pick yet</v>
      </c>
      <c r="C2862" s="40" t="str">
        <f t="shared" si="432"/>
        <v>05-&gt;</v>
      </c>
      <c r="D2862" s="40" t="str">
        <f t="shared" si="434"/>
        <v xml:space="preserve">No pick yet                                                 </v>
      </c>
      <c r="E2862" s="52">
        <f t="shared" si="435"/>
        <v>0</v>
      </c>
      <c r="F2862" s="18"/>
      <c r="M2862" s="18"/>
      <c r="N2862" s="18"/>
      <c r="O2862" s="18"/>
      <c r="P2862" s="18"/>
      <c r="Q2862" s="22"/>
      <c r="R2862" s="21"/>
      <c r="S2862" s="21"/>
      <c r="T2862" s="21"/>
      <c r="AA2862"/>
      <c r="AH2862" t="str">
        <f t="shared" si="436"/>
        <v>k yet</v>
      </c>
    </row>
    <row r="2863" spans="1:39">
      <c r="A2863" s="42" t="s">
        <v>251</v>
      </c>
      <c r="B2863" s="40" t="str">
        <f t="shared" si="433"/>
        <v>No pick yet</v>
      </c>
      <c r="C2863" s="40" t="str">
        <f t="shared" si="432"/>
        <v>06-&gt;</v>
      </c>
      <c r="D2863" s="40" t="str">
        <f t="shared" si="434"/>
        <v xml:space="preserve">No pick yet                                                 </v>
      </c>
      <c r="E2863" s="52">
        <f t="shared" si="435"/>
        <v>0</v>
      </c>
      <c r="F2863" s="18"/>
      <c r="M2863" s="18"/>
      <c r="N2863" s="18"/>
      <c r="O2863" s="18"/>
      <c r="P2863" s="18"/>
      <c r="Q2863" s="22"/>
      <c r="R2863" s="21"/>
      <c r="S2863" s="21"/>
      <c r="T2863" s="21"/>
      <c r="AA2863"/>
      <c r="AH2863" t="str">
        <f t="shared" si="436"/>
        <v>k yet</v>
      </c>
    </row>
    <row r="2864" spans="1:39">
      <c r="A2864" s="42" t="s">
        <v>252</v>
      </c>
      <c r="B2864" s="40" t="str">
        <f t="shared" si="433"/>
        <v>No pick yet</v>
      </c>
      <c r="C2864" s="40" t="str">
        <f t="shared" si="432"/>
        <v>07-&gt;</v>
      </c>
      <c r="D2864" s="40" t="str">
        <f t="shared" si="434"/>
        <v xml:space="preserve">No pick yet                                                 </v>
      </c>
      <c r="E2864" s="52">
        <f t="shared" si="435"/>
        <v>0</v>
      </c>
      <c r="F2864" s="18"/>
      <c r="M2864" s="18"/>
      <c r="N2864" s="18"/>
      <c r="O2864" s="18"/>
      <c r="P2864" s="18"/>
      <c r="Q2864" s="22"/>
      <c r="R2864" s="21"/>
      <c r="S2864" s="21"/>
      <c r="T2864" s="21"/>
      <c r="AA2864"/>
      <c r="AH2864" t="str">
        <f t="shared" si="436"/>
        <v>k yet</v>
      </c>
    </row>
    <row r="2865" spans="1:34">
      <c r="A2865" s="42" t="s">
        <v>253</v>
      </c>
      <c r="B2865" s="40" t="str">
        <f t="shared" si="433"/>
        <v>No pick yet</v>
      </c>
      <c r="C2865" s="40" t="str">
        <f t="shared" si="432"/>
        <v>08-&gt;</v>
      </c>
      <c r="D2865" s="40" t="str">
        <f t="shared" si="434"/>
        <v xml:space="preserve">No pick yet                                                 </v>
      </c>
      <c r="E2865" s="52">
        <f t="shared" si="435"/>
        <v>0</v>
      </c>
      <c r="F2865" s="18"/>
      <c r="M2865" s="18"/>
      <c r="N2865" s="18"/>
      <c r="O2865" s="18"/>
      <c r="P2865" s="18"/>
      <c r="Q2865" s="22"/>
      <c r="R2865" s="21"/>
      <c r="S2865" s="21"/>
      <c r="T2865" s="21"/>
      <c r="AA2865"/>
      <c r="AH2865" t="str">
        <f t="shared" si="436"/>
        <v>k yet</v>
      </c>
    </row>
    <row r="2866" spans="1:34">
      <c r="A2866" s="42" t="s">
        <v>254</v>
      </c>
      <c r="B2866" s="40" t="str">
        <f t="shared" si="433"/>
        <v>No pick yet</v>
      </c>
      <c r="C2866" s="40" t="str">
        <f t="shared" si="432"/>
        <v>09-&gt;</v>
      </c>
      <c r="D2866" s="40" t="str">
        <f t="shared" si="434"/>
        <v xml:space="preserve">No pick yet                                                 </v>
      </c>
      <c r="E2866" s="52">
        <f t="shared" si="435"/>
        <v>0</v>
      </c>
      <c r="F2866" s="18"/>
      <c r="M2866" s="18"/>
      <c r="N2866" s="18"/>
      <c r="O2866" s="18"/>
      <c r="P2866" s="18"/>
      <c r="Q2866" s="22"/>
      <c r="R2866" s="21"/>
      <c r="S2866" s="21"/>
      <c r="T2866" s="21"/>
      <c r="AA2866"/>
      <c r="AH2866" t="str">
        <f t="shared" si="436"/>
        <v>k yet</v>
      </c>
    </row>
    <row r="2867" spans="1:34">
      <c r="A2867" s="42" t="s">
        <v>255</v>
      </c>
      <c r="B2867" s="40" t="str">
        <f t="shared" si="433"/>
        <v>No pick yet</v>
      </c>
      <c r="C2867" s="40" t="str">
        <f t="shared" si="432"/>
        <v>10-&gt;</v>
      </c>
      <c r="D2867" s="40" t="str">
        <f t="shared" si="434"/>
        <v xml:space="preserve">No pick yet                                                 </v>
      </c>
      <c r="E2867" s="52">
        <f t="shared" si="435"/>
        <v>0</v>
      </c>
      <c r="F2867" s="22"/>
      <c r="M2867" s="18"/>
      <c r="N2867" s="18"/>
      <c r="O2867" s="18"/>
      <c r="P2867" s="18"/>
      <c r="Q2867" s="22"/>
      <c r="R2867" s="21"/>
      <c r="S2867" s="21"/>
      <c r="T2867" s="21"/>
      <c r="AA2867"/>
      <c r="AH2867" t="str">
        <f t="shared" si="436"/>
        <v>k yet</v>
      </c>
    </row>
    <row r="2868" spans="1:34">
      <c r="A2868" s="42" t="s">
        <v>256</v>
      </c>
      <c r="B2868" s="40" t="str">
        <f t="shared" si="433"/>
        <v>No pick yet</v>
      </c>
      <c r="C2868" s="40" t="str">
        <f t="shared" si="432"/>
        <v>11-&gt;</v>
      </c>
      <c r="D2868" s="40" t="str">
        <f t="shared" si="434"/>
        <v xml:space="preserve">No pick yet                                                 </v>
      </c>
      <c r="E2868" s="52">
        <f t="shared" si="435"/>
        <v>0</v>
      </c>
      <c r="M2868" s="18"/>
      <c r="N2868" s="18"/>
      <c r="O2868" s="18"/>
      <c r="P2868" s="18"/>
      <c r="Q2868" s="22"/>
      <c r="R2868" s="21"/>
      <c r="S2868" s="21"/>
      <c r="T2868" s="21"/>
      <c r="AA2868"/>
      <c r="AH2868" t="str">
        <f t="shared" si="436"/>
        <v>k yet</v>
      </c>
    </row>
    <row r="2869" spans="1:34">
      <c r="A2869" s="42" t="s">
        <v>257</v>
      </c>
      <c r="B2869" s="40" t="str">
        <f t="shared" si="433"/>
        <v>No pick yet</v>
      </c>
      <c r="C2869" s="40" t="str">
        <f t="shared" si="432"/>
        <v>12-&gt;</v>
      </c>
      <c r="D2869" s="40" t="str">
        <f t="shared" si="434"/>
        <v xml:space="preserve">No pick yet                                                 </v>
      </c>
      <c r="E2869" s="52">
        <f t="shared" si="435"/>
        <v>0</v>
      </c>
      <c r="M2869" s="18"/>
      <c r="N2869" s="18"/>
      <c r="O2869" s="18"/>
      <c r="P2869" s="18"/>
      <c r="Q2869" s="22"/>
      <c r="R2869" s="21"/>
      <c r="S2869" s="21"/>
      <c r="T2869" s="21"/>
      <c r="AA2869"/>
      <c r="AH2869" t="str">
        <f t="shared" si="436"/>
        <v>k yet</v>
      </c>
    </row>
    <row r="2870" spans="1:34">
      <c r="A2870" s="42" t="s">
        <v>258</v>
      </c>
      <c r="B2870" s="40" t="str">
        <f t="shared" si="433"/>
        <v>No pick yet</v>
      </c>
      <c r="C2870" s="40" t="str">
        <f t="shared" si="432"/>
        <v>13-&gt;</v>
      </c>
      <c r="D2870" s="40" t="str">
        <f t="shared" si="434"/>
        <v xml:space="preserve">No pick yet                                                 </v>
      </c>
      <c r="E2870" s="52">
        <f t="shared" si="435"/>
        <v>0</v>
      </c>
      <c r="M2870" s="18"/>
      <c r="N2870" s="18"/>
      <c r="O2870" s="18"/>
      <c r="P2870" s="18"/>
      <c r="Q2870" s="22"/>
      <c r="R2870" s="21"/>
      <c r="S2870" s="21"/>
      <c r="T2870" s="21"/>
      <c r="AA2870"/>
      <c r="AH2870" t="str">
        <f t="shared" si="436"/>
        <v>k yet</v>
      </c>
    </row>
    <row r="2871" spans="1:34">
      <c r="A2871" s="42" t="s">
        <v>259</v>
      </c>
      <c r="B2871" s="40" t="str">
        <f t="shared" si="433"/>
        <v>No pick yet</v>
      </c>
      <c r="C2871" s="40" t="str">
        <f t="shared" si="432"/>
        <v>14-&gt;</v>
      </c>
      <c r="D2871" s="40" t="str">
        <f t="shared" si="434"/>
        <v xml:space="preserve">No pick yet                                                 </v>
      </c>
      <c r="E2871" s="52">
        <f t="shared" si="435"/>
        <v>0</v>
      </c>
      <c r="M2871" s="18"/>
      <c r="N2871" s="18"/>
      <c r="O2871" s="18"/>
      <c r="P2871" s="18"/>
      <c r="Q2871" s="22"/>
      <c r="R2871" s="21"/>
      <c r="S2871" s="21"/>
      <c r="T2871" s="21"/>
      <c r="AA2871"/>
      <c r="AH2871" t="str">
        <f t="shared" si="436"/>
        <v>k yet</v>
      </c>
    </row>
    <row r="2872" spans="1:34">
      <c r="A2872" s="42" t="s">
        <v>260</v>
      </c>
      <c r="B2872" s="40" t="str">
        <f t="shared" si="433"/>
        <v>No pick yet</v>
      </c>
      <c r="C2872" s="40" t="str">
        <f t="shared" si="432"/>
        <v>15-&gt;</v>
      </c>
      <c r="D2872" s="40" t="str">
        <f t="shared" si="434"/>
        <v xml:space="preserve">No pick yet                                                 </v>
      </c>
      <c r="E2872" s="52">
        <f t="shared" si="435"/>
        <v>0</v>
      </c>
      <c r="M2872" s="18"/>
      <c r="N2872" s="18"/>
      <c r="O2872" s="18"/>
      <c r="P2872" s="18"/>
      <c r="Q2872" s="22"/>
      <c r="R2872" s="21"/>
      <c r="S2872" s="21"/>
      <c r="T2872" s="21"/>
      <c r="AA2872"/>
      <c r="AH2872" t="str">
        <f t="shared" si="436"/>
        <v>k yet</v>
      </c>
    </row>
    <row r="2873" spans="1:34">
      <c r="A2873" s="42" t="s">
        <v>261</v>
      </c>
      <c r="B2873" s="40" t="str">
        <f t="shared" si="433"/>
        <v>No pick yet</v>
      </c>
      <c r="C2873" s="40" t="str">
        <f t="shared" si="432"/>
        <v>16-&gt;</v>
      </c>
      <c r="D2873" s="40" t="str">
        <f t="shared" si="434"/>
        <v xml:space="preserve">No pick yet                                                 </v>
      </c>
      <c r="E2873" s="52">
        <f t="shared" si="435"/>
        <v>0</v>
      </c>
      <c r="M2873" s="18"/>
      <c r="N2873" s="18"/>
      <c r="O2873" s="18"/>
      <c r="P2873" s="18"/>
      <c r="Q2873" s="22"/>
      <c r="R2873" s="21"/>
      <c r="S2873" s="21"/>
      <c r="T2873" s="21"/>
      <c r="AA2873"/>
      <c r="AH2873" t="str">
        <f t="shared" si="436"/>
        <v>k yet</v>
      </c>
    </row>
    <row r="2874" spans="1:34">
      <c r="A2874" s="42" t="s">
        <v>262</v>
      </c>
      <c r="B2874" s="40" t="str">
        <f t="shared" si="433"/>
        <v>No pick yet</v>
      </c>
      <c r="C2874" s="40" t="str">
        <f t="shared" si="432"/>
        <v>17-&gt;</v>
      </c>
      <c r="D2874" s="40" t="str">
        <f t="shared" si="434"/>
        <v xml:space="preserve">No pick yet                                                 </v>
      </c>
      <c r="E2874" s="52">
        <f t="shared" si="435"/>
        <v>0</v>
      </c>
      <c r="K2874" s="22"/>
      <c r="N2874" s="22"/>
      <c r="O2874" s="22"/>
      <c r="P2874" s="22"/>
      <c r="Q2874" s="22"/>
      <c r="R2874" s="22"/>
      <c r="S2874" s="22"/>
      <c r="Z2874" s="53"/>
      <c r="AA2874"/>
      <c r="AH2874" t="str">
        <f t="shared" si="436"/>
        <v>k yet</v>
      </c>
    </row>
    <row r="2875" spans="1:34">
      <c r="A2875" s="42" t="s">
        <v>263</v>
      </c>
      <c r="B2875" s="40" t="str">
        <f t="shared" si="433"/>
        <v>No pick yet</v>
      </c>
      <c r="C2875" s="40" t="str">
        <f t="shared" si="432"/>
        <v>18-&gt;</v>
      </c>
      <c r="D2875" s="40" t="str">
        <f t="shared" si="434"/>
        <v xml:space="preserve">No pick yet                                                 </v>
      </c>
      <c r="E2875" s="52">
        <f t="shared" si="435"/>
        <v>0</v>
      </c>
      <c r="F2875" s="18"/>
      <c r="L2875" s="21"/>
      <c r="N2875" s="22"/>
      <c r="O2875" s="22"/>
      <c r="P2875" s="18"/>
      <c r="Q2875" s="22"/>
      <c r="R2875" s="22"/>
      <c r="S2875" s="22"/>
      <c r="Z2875" s="53"/>
      <c r="AA2875"/>
      <c r="AH2875" t="str">
        <f t="shared" si="436"/>
        <v>k yet</v>
      </c>
    </row>
    <row r="2876" spans="1:34">
      <c r="A2876" s="42" t="s">
        <v>264</v>
      </c>
      <c r="B2876" s="40" t="str">
        <f t="shared" si="433"/>
        <v>No pick yet</v>
      </c>
      <c r="C2876" s="40" t="str">
        <f t="shared" si="432"/>
        <v>19-&gt;</v>
      </c>
      <c r="D2876" s="40" t="str">
        <f t="shared" si="434"/>
        <v xml:space="preserve">No pick yet                                                 </v>
      </c>
      <c r="E2876" s="52">
        <f t="shared" si="435"/>
        <v>0</v>
      </c>
      <c r="F2876" s="18"/>
      <c r="M2876" s="18"/>
      <c r="N2876" s="18"/>
      <c r="O2876" s="18"/>
      <c r="P2876" s="18"/>
      <c r="Q2876" s="22"/>
      <c r="R2876" s="21"/>
      <c r="S2876" s="21"/>
      <c r="T2876" s="21"/>
      <c r="AA2876"/>
      <c r="AH2876" t="str">
        <f t="shared" si="436"/>
        <v>k yet</v>
      </c>
    </row>
    <row r="2877" spans="1:34">
      <c r="A2877" s="42" t="s">
        <v>265</v>
      </c>
      <c r="B2877" s="40" t="str">
        <f t="shared" si="433"/>
        <v>No pick yet</v>
      </c>
      <c r="C2877" s="40" t="str">
        <f t="shared" si="432"/>
        <v>20-&gt;</v>
      </c>
      <c r="D2877" s="40" t="str">
        <f t="shared" si="434"/>
        <v xml:space="preserve">No pick yet                                                 </v>
      </c>
      <c r="E2877" s="52">
        <f t="shared" si="435"/>
        <v>0</v>
      </c>
      <c r="F2877" s="18"/>
      <c r="M2877" s="18"/>
      <c r="N2877" s="18"/>
      <c r="O2877" s="18"/>
      <c r="P2877" s="18"/>
      <c r="Q2877" s="22"/>
      <c r="R2877" s="21"/>
      <c r="S2877" s="21"/>
      <c r="T2877" s="21"/>
      <c r="AA2877"/>
      <c r="AH2877" t="str">
        <f t="shared" si="436"/>
        <v>k yet</v>
      </c>
    </row>
    <row r="2878" spans="1:34">
      <c r="A2878" s="42" t="s">
        <v>266</v>
      </c>
      <c r="B2878" s="40" t="str">
        <f t="shared" si="433"/>
        <v>No pick yet</v>
      </c>
      <c r="C2878" s="40" t="str">
        <f t="shared" si="432"/>
        <v>21-&gt;</v>
      </c>
      <c r="D2878" s="40" t="str">
        <f t="shared" si="434"/>
        <v xml:space="preserve">No pick yet                                                 </v>
      </c>
      <c r="E2878" s="52">
        <f t="shared" si="435"/>
        <v>0</v>
      </c>
      <c r="F2878" s="18"/>
      <c r="M2878" s="18"/>
      <c r="N2878" s="18"/>
      <c r="O2878" s="18"/>
      <c r="P2878" s="18"/>
      <c r="Q2878" s="22"/>
      <c r="R2878" s="21"/>
      <c r="S2878" s="21"/>
      <c r="T2878" s="21"/>
      <c r="AA2878"/>
      <c r="AH2878" t="str">
        <f t="shared" si="436"/>
        <v>k yet</v>
      </c>
    </row>
    <row r="2879" spans="1:34">
      <c r="A2879" s="42" t="s">
        <v>267</v>
      </c>
      <c r="B2879" s="40" t="str">
        <f t="shared" si="433"/>
        <v>No pick yet</v>
      </c>
      <c r="C2879" s="40" t="str">
        <f t="shared" si="432"/>
        <v>22-&gt;</v>
      </c>
      <c r="D2879" s="40" t="str">
        <f t="shared" si="434"/>
        <v xml:space="preserve">No pick yet                                                 </v>
      </c>
      <c r="E2879" s="52">
        <f t="shared" si="435"/>
        <v>0</v>
      </c>
      <c r="F2879" s="18"/>
      <c r="M2879" s="18"/>
      <c r="N2879" s="18"/>
      <c r="O2879" s="18"/>
      <c r="P2879" s="18"/>
      <c r="Q2879" s="22"/>
      <c r="R2879" s="21"/>
      <c r="S2879" s="21"/>
      <c r="T2879" s="21"/>
      <c r="AA2879"/>
      <c r="AH2879" t="str">
        <f t="shared" si="436"/>
        <v>k yet</v>
      </c>
    </row>
    <row r="2880" spans="1:34">
      <c r="A2880" s="42" t="s">
        <v>268</v>
      </c>
      <c r="B2880" s="40" t="str">
        <f t="shared" si="433"/>
        <v>No pick yet</v>
      </c>
      <c r="C2880" s="40" t="str">
        <f t="shared" si="432"/>
        <v>23-&gt;</v>
      </c>
      <c r="D2880" s="40" t="str">
        <f t="shared" si="434"/>
        <v xml:space="preserve">No pick yet                                                 </v>
      </c>
      <c r="E2880" s="52">
        <f t="shared" si="435"/>
        <v>0</v>
      </c>
      <c r="F2880" s="18"/>
      <c r="M2880" s="18"/>
      <c r="N2880" s="18"/>
      <c r="O2880" s="18"/>
      <c r="P2880" s="18"/>
      <c r="Q2880" s="22"/>
      <c r="R2880" s="21"/>
      <c r="S2880" s="21"/>
      <c r="T2880" s="21"/>
      <c r="AA2880"/>
      <c r="AH2880" t="str">
        <f t="shared" si="436"/>
        <v>k yet</v>
      </c>
    </row>
    <row r="2881" spans="1:39">
      <c r="A2881" s="42" t="s">
        <v>269</v>
      </c>
      <c r="B2881" s="40" t="str">
        <f t="shared" si="433"/>
        <v>No pick yet</v>
      </c>
      <c r="C2881" s="40" t="str">
        <f t="shared" si="432"/>
        <v>24-&gt;</v>
      </c>
      <c r="D2881" s="40" t="str">
        <f t="shared" si="434"/>
        <v xml:space="preserve">No pick yet                                                 </v>
      </c>
      <c r="E2881" s="52">
        <f t="shared" si="435"/>
        <v>0</v>
      </c>
      <c r="F2881" s="18"/>
      <c r="M2881" s="18"/>
      <c r="N2881" s="18"/>
      <c r="O2881" s="18"/>
      <c r="P2881" s="18"/>
      <c r="Q2881" s="22"/>
      <c r="R2881" s="21"/>
      <c r="S2881" s="21"/>
      <c r="T2881" s="21"/>
      <c r="AA2881"/>
      <c r="AH2881" t="str">
        <f t="shared" si="436"/>
        <v>k yet</v>
      </c>
    </row>
    <row r="2882" spans="1:39">
      <c r="A2882" s="42" t="s">
        <v>270</v>
      </c>
      <c r="B2882" s="40" t="str">
        <f t="shared" si="433"/>
        <v>No pick yet</v>
      </c>
      <c r="C2882" s="40" t="str">
        <f t="shared" si="432"/>
        <v>25-&gt;</v>
      </c>
      <c r="D2882" s="40" t="str">
        <f t="shared" si="434"/>
        <v xml:space="preserve">No pick yet                                                 </v>
      </c>
      <c r="E2882" s="52">
        <f t="shared" si="435"/>
        <v>0</v>
      </c>
      <c r="F2882" s="18"/>
      <c r="M2882" s="18"/>
      <c r="N2882" s="18"/>
      <c r="O2882" s="18"/>
      <c r="P2882" s="18"/>
      <c r="Q2882" s="22"/>
      <c r="R2882" s="21"/>
      <c r="S2882" s="21"/>
      <c r="T2882" s="21"/>
      <c r="AA2882"/>
      <c r="AH2882" t="str">
        <f t="shared" si="436"/>
        <v>k yet</v>
      </c>
    </row>
    <row r="2883" spans="1:39">
      <c r="A2883" s="42" t="s">
        <v>271</v>
      </c>
      <c r="B2883" s="40" t="str">
        <f t="shared" si="433"/>
        <v>No pick yet</v>
      </c>
      <c r="C2883" s="40" t="str">
        <f t="shared" si="432"/>
        <v>26-&gt;</v>
      </c>
      <c r="D2883" s="40" t="str">
        <f t="shared" si="434"/>
        <v xml:space="preserve">No pick yet                                                 </v>
      </c>
      <c r="E2883" s="52">
        <f t="shared" si="435"/>
        <v>0</v>
      </c>
      <c r="F2883" s="18"/>
      <c r="M2883" s="18"/>
      <c r="N2883" s="18"/>
      <c r="O2883" s="18"/>
      <c r="P2883" s="18"/>
      <c r="Q2883" s="22"/>
      <c r="R2883" s="21"/>
      <c r="S2883" s="21"/>
      <c r="T2883" s="21"/>
      <c r="AA2883"/>
      <c r="AH2883" t="str">
        <f t="shared" si="436"/>
        <v>k yet</v>
      </c>
    </row>
    <row r="2884" spans="1:39">
      <c r="A2884" s="38"/>
      <c r="B2884" s="40"/>
      <c r="C2884" s="40"/>
      <c r="D2884" s="49"/>
      <c r="E2884" s="41" t="s">
        <v>69</v>
      </c>
      <c r="F2884" s="18"/>
      <c r="K2884" s="22" t="s">
        <v>73</v>
      </c>
      <c r="L2884" s="18" t="s">
        <v>74</v>
      </c>
      <c r="M2884" s="22" t="s">
        <v>78</v>
      </c>
      <c r="N2884" s="22" t="s">
        <v>79</v>
      </c>
      <c r="O2884" s="22" t="s">
        <v>80</v>
      </c>
      <c r="P2884" s="22" t="s">
        <v>81</v>
      </c>
      <c r="Q2884" s="22" t="s">
        <v>82</v>
      </c>
      <c r="R2884" s="22" t="s">
        <v>83</v>
      </c>
      <c r="S2884" s="22" t="s">
        <v>84</v>
      </c>
      <c r="T2884" s="18" t="s">
        <v>85</v>
      </c>
      <c r="U2884" s="18" t="s">
        <v>86</v>
      </c>
      <c r="V2884" s="18" t="s">
        <v>87</v>
      </c>
      <c r="W2884" s="18" t="s">
        <v>88</v>
      </c>
      <c r="X2884" s="18" t="s">
        <v>89</v>
      </c>
      <c r="Y2884" s="18" t="s">
        <v>90</v>
      </c>
      <c r="Z2884" s="18" t="s">
        <v>91</v>
      </c>
      <c r="AA2884" s="18" t="s">
        <v>92</v>
      </c>
      <c r="AB2884" s="18" t="s">
        <v>93</v>
      </c>
      <c r="AC2884" s="18" t="s">
        <v>94</v>
      </c>
      <c r="AD2884" s="18" t="s">
        <v>235</v>
      </c>
      <c r="AE2884" s="18" t="s">
        <v>236</v>
      </c>
      <c r="AF2884" s="18" t="s">
        <v>237</v>
      </c>
      <c r="AG2884" s="18" t="s">
        <v>238</v>
      </c>
      <c r="AH2884" s="18" t="s">
        <v>239</v>
      </c>
      <c r="AI2884" s="18" t="s">
        <v>240</v>
      </c>
      <c r="AJ2884" s="18" t="s">
        <v>241</v>
      </c>
      <c r="AK2884" s="18" t="s">
        <v>242</v>
      </c>
      <c r="AL2884" s="18" t="s">
        <v>243</v>
      </c>
      <c r="AM2884" s="50" t="s">
        <v>244</v>
      </c>
    </row>
    <row r="2885" spans="1:39">
      <c r="A2885" s="40" t="s">
        <v>245</v>
      </c>
      <c r="B2885" s="51" t="str">
        <f>D102</f>
        <v/>
      </c>
      <c r="C2885" s="40" t="str">
        <f t="shared" ref="C2885:C2911" si="437">A2885</f>
        <v>#</v>
      </c>
      <c r="D2885" s="40" t="str">
        <f>"   "&amp;B2885&amp;REPT(" ",$AH$70-LEN(B2885)-3)</f>
        <v xml:space="preserve">                                                            </v>
      </c>
      <c r="E2885" s="38" t="str">
        <f>SUM(E2886:E2911)&amp;" pts[/b]"</f>
        <v>0 pts[/b]</v>
      </c>
      <c r="F2885" s="21">
        <f>SUM(E2886:E2911)</f>
        <v>0</v>
      </c>
      <c r="K2885" s="18">
        <f>COUNTIF(E2886:E2911,"&gt;0")</f>
        <v>0</v>
      </c>
      <c r="L2885" s="21">
        <f>AM2885-K2885</f>
        <v>0</v>
      </c>
      <c r="M2885" s="22">
        <f>MAX(E2886:E2911)</f>
        <v>0</v>
      </c>
      <c r="N2885" s="22">
        <f>LARGE(E2886:E2911,2)</f>
        <v>0</v>
      </c>
      <c r="O2885" s="22">
        <f>LARGE(E2886:E2911,3)</f>
        <v>0</v>
      </c>
      <c r="P2885" s="18">
        <f>LARGE(E2886:E2911,4)</f>
        <v>0</v>
      </c>
      <c r="Q2885" s="22">
        <f>LARGE(E2886:E2911,5)</f>
        <v>0</v>
      </c>
      <c r="R2885" s="22">
        <f>LARGE(E2886:E2911,6)</f>
        <v>0</v>
      </c>
      <c r="S2885" s="22">
        <f>LARGE(E2886:E2911,7)</f>
        <v>0</v>
      </c>
      <c r="T2885" s="18">
        <f>LARGE(E2886:E2911,8)</f>
        <v>0</v>
      </c>
      <c r="U2885" s="18">
        <f>LARGE(E2886:E2911,9)</f>
        <v>0</v>
      </c>
      <c r="V2885" s="18">
        <f>LARGE(E2886:E2911,10)</f>
        <v>0</v>
      </c>
      <c r="W2885" s="18">
        <f>LARGE(E2886:E2911,11)</f>
        <v>0</v>
      </c>
      <c r="X2885" s="18">
        <f>LARGE(E2886:E2911,12)</f>
        <v>0</v>
      </c>
      <c r="Y2885" s="18">
        <f>LARGE(E2886:E2911,13)</f>
        <v>0</v>
      </c>
      <c r="Z2885" s="18">
        <f>LARGE(E2886:E2911,14)</f>
        <v>0</v>
      </c>
      <c r="AA2885" s="18">
        <f>LARGE(E2886:E2911,15)</f>
        <v>0</v>
      </c>
      <c r="AB2885" s="18">
        <f>LARGE(E2886:E2911,16)</f>
        <v>0</v>
      </c>
      <c r="AC2885" s="18">
        <f>LARGE(E2886:E2911,17)</f>
        <v>0</v>
      </c>
      <c r="AD2885" s="18">
        <f>LARGE(E2886:E2912,13)</f>
        <v>0</v>
      </c>
      <c r="AE2885" s="18">
        <f>LARGE(E2886:E2911,19)</f>
        <v>0</v>
      </c>
      <c r="AF2885" s="18">
        <f>LARGE(E2886:E2911,20)</f>
        <v>0</v>
      </c>
      <c r="AG2885" s="18">
        <f>LARGE(E2886:E2911,21)</f>
        <v>0</v>
      </c>
      <c r="AH2885" s="18">
        <f>LARGE(E2886:E2911,22)</f>
        <v>0</v>
      </c>
      <c r="AI2885" s="18">
        <f>LARGE(E2886:E2911,23)</f>
        <v>0</v>
      </c>
      <c r="AJ2885" s="18">
        <f>LARGE(E2886:E2911,24)</f>
        <v>0</v>
      </c>
      <c r="AK2885" s="18">
        <f>LARGE(E2886:E2911,25)</f>
        <v>0</v>
      </c>
      <c r="AL2885" s="18">
        <f>LARGE(E2886:E2911,26)</f>
        <v>0</v>
      </c>
      <c r="AM2885" s="50">
        <f>COUNTIF(B2886:B2911,"&lt;&gt;"&amp;AH74)</f>
        <v>0</v>
      </c>
    </row>
    <row r="2886" spans="1:39">
      <c r="A2886" s="42" t="s">
        <v>246</v>
      </c>
      <c r="B2886" s="40" t="str">
        <f t="shared" ref="B2886:B2911" si="438">$AH$74</f>
        <v>No pick yet</v>
      </c>
      <c r="C2886" s="40" t="str">
        <f t="shared" si="437"/>
        <v>01-&gt;</v>
      </c>
      <c r="D2886" s="40" t="str">
        <f t="shared" ref="D2886:D2911" si="439">B2886&amp;REPT(" ",$AH$70-LEN(B2886))</f>
        <v xml:space="preserve">No pick yet                                                 </v>
      </c>
      <c r="E2886" s="52">
        <f t="shared" ref="E2886:E2911" si="440">VLOOKUP(RIGHT(B2886,LEN(B2886)-$AH$66),$H$138:$I$420,2,0)</f>
        <v>0</v>
      </c>
      <c r="F2886" s="18"/>
      <c r="M2886" s="18"/>
      <c r="N2886" s="18"/>
      <c r="O2886" s="18"/>
      <c r="P2886" s="18"/>
      <c r="Q2886" s="22"/>
      <c r="R2886" s="21"/>
      <c r="S2886" s="21"/>
      <c r="T2886" s="21"/>
      <c r="AA2886"/>
      <c r="AH2886" t="str">
        <f t="shared" ref="AH2886:AH2911" si="441">RIGHT(B2886,LEN(B2886)-$AH$66)</f>
        <v>k yet</v>
      </c>
    </row>
    <row r="2887" spans="1:39">
      <c r="A2887" s="42" t="s">
        <v>247</v>
      </c>
      <c r="B2887" s="40" t="str">
        <f t="shared" si="438"/>
        <v>No pick yet</v>
      </c>
      <c r="C2887" s="40" t="str">
        <f t="shared" si="437"/>
        <v>02-&gt;</v>
      </c>
      <c r="D2887" s="40" t="str">
        <f t="shared" si="439"/>
        <v xml:space="preserve">No pick yet                                                 </v>
      </c>
      <c r="E2887" s="52">
        <f t="shared" si="440"/>
        <v>0</v>
      </c>
      <c r="F2887" s="18"/>
      <c r="K2887" s="22"/>
      <c r="N2887" s="22"/>
      <c r="O2887" s="22"/>
      <c r="P2887" s="22"/>
      <c r="Q2887" s="22"/>
      <c r="R2887" s="22"/>
      <c r="S2887" s="22"/>
      <c r="Z2887" s="53"/>
      <c r="AA2887"/>
      <c r="AH2887" t="str">
        <f t="shared" si="441"/>
        <v>k yet</v>
      </c>
    </row>
    <row r="2888" spans="1:39">
      <c r="A2888" s="42" t="s">
        <v>248</v>
      </c>
      <c r="B2888" s="40" t="str">
        <f t="shared" si="438"/>
        <v>No pick yet</v>
      </c>
      <c r="C2888" s="40" t="str">
        <f t="shared" si="437"/>
        <v>03-&gt;</v>
      </c>
      <c r="D2888" s="40" t="str">
        <f t="shared" si="439"/>
        <v xml:space="preserve">No pick yet                                                 </v>
      </c>
      <c r="E2888" s="52">
        <f t="shared" si="440"/>
        <v>0</v>
      </c>
      <c r="F2888" s="18"/>
      <c r="L2888" s="21"/>
      <c r="N2888" s="22"/>
      <c r="O2888" s="22"/>
      <c r="P2888" s="18"/>
      <c r="Q2888" s="22"/>
      <c r="R2888" s="22"/>
      <c r="S2888" s="22"/>
      <c r="Z2888" s="53"/>
      <c r="AA2888"/>
      <c r="AH2888" t="str">
        <f t="shared" si="441"/>
        <v>k yet</v>
      </c>
    </row>
    <row r="2889" spans="1:39">
      <c r="A2889" s="42" t="s">
        <v>249</v>
      </c>
      <c r="B2889" s="40" t="str">
        <f t="shared" si="438"/>
        <v>No pick yet</v>
      </c>
      <c r="C2889" s="40" t="str">
        <f t="shared" si="437"/>
        <v>04-&gt;</v>
      </c>
      <c r="D2889" s="40" t="str">
        <f t="shared" si="439"/>
        <v xml:space="preserve">No pick yet                                                 </v>
      </c>
      <c r="E2889" s="52">
        <f t="shared" si="440"/>
        <v>0</v>
      </c>
      <c r="F2889" s="18"/>
      <c r="M2889" s="18"/>
      <c r="N2889" s="18"/>
      <c r="O2889" s="18"/>
      <c r="P2889" s="18"/>
      <c r="Q2889" s="22"/>
      <c r="R2889" s="21"/>
      <c r="S2889" s="21"/>
      <c r="T2889" s="21"/>
      <c r="AA2889"/>
      <c r="AH2889" t="str">
        <f t="shared" si="441"/>
        <v>k yet</v>
      </c>
    </row>
    <row r="2890" spans="1:39">
      <c r="A2890" s="42" t="s">
        <v>250</v>
      </c>
      <c r="B2890" s="40" t="str">
        <f t="shared" si="438"/>
        <v>No pick yet</v>
      </c>
      <c r="C2890" s="40" t="str">
        <f t="shared" si="437"/>
        <v>05-&gt;</v>
      </c>
      <c r="D2890" s="40" t="str">
        <f t="shared" si="439"/>
        <v xml:space="preserve">No pick yet                                                 </v>
      </c>
      <c r="E2890" s="52">
        <f t="shared" si="440"/>
        <v>0</v>
      </c>
      <c r="F2890" s="18"/>
      <c r="M2890" s="18"/>
      <c r="N2890" s="18"/>
      <c r="O2890" s="18"/>
      <c r="P2890" s="18"/>
      <c r="Q2890" s="22"/>
      <c r="R2890" s="21"/>
      <c r="S2890" s="21"/>
      <c r="T2890" s="21"/>
      <c r="AA2890"/>
      <c r="AH2890" t="str">
        <f t="shared" si="441"/>
        <v>k yet</v>
      </c>
    </row>
    <row r="2891" spans="1:39">
      <c r="A2891" s="42" t="s">
        <v>251</v>
      </c>
      <c r="B2891" s="40" t="str">
        <f t="shared" si="438"/>
        <v>No pick yet</v>
      </c>
      <c r="C2891" s="40" t="str">
        <f t="shared" si="437"/>
        <v>06-&gt;</v>
      </c>
      <c r="D2891" s="40" t="str">
        <f t="shared" si="439"/>
        <v xml:space="preserve">No pick yet                                                 </v>
      </c>
      <c r="E2891" s="52">
        <f t="shared" si="440"/>
        <v>0</v>
      </c>
      <c r="F2891" s="18"/>
      <c r="M2891" s="18"/>
      <c r="N2891" s="18"/>
      <c r="O2891" s="18"/>
      <c r="P2891" s="18"/>
      <c r="Q2891" s="22"/>
      <c r="R2891" s="21"/>
      <c r="S2891" s="21"/>
      <c r="T2891" s="21"/>
      <c r="AA2891"/>
      <c r="AH2891" t="str">
        <f t="shared" si="441"/>
        <v>k yet</v>
      </c>
    </row>
    <row r="2892" spans="1:39">
      <c r="A2892" s="42" t="s">
        <v>252</v>
      </c>
      <c r="B2892" s="40" t="str">
        <f t="shared" si="438"/>
        <v>No pick yet</v>
      </c>
      <c r="C2892" s="40" t="str">
        <f t="shared" si="437"/>
        <v>07-&gt;</v>
      </c>
      <c r="D2892" s="40" t="str">
        <f t="shared" si="439"/>
        <v xml:space="preserve">No pick yet                                                 </v>
      </c>
      <c r="E2892" s="52">
        <f t="shared" si="440"/>
        <v>0</v>
      </c>
      <c r="F2892" s="18"/>
      <c r="M2892" s="18"/>
      <c r="N2892" s="18"/>
      <c r="O2892" s="18"/>
      <c r="P2892" s="18"/>
      <c r="Q2892" s="22"/>
      <c r="R2892" s="21"/>
      <c r="S2892" s="21"/>
      <c r="T2892" s="21"/>
      <c r="AA2892"/>
      <c r="AH2892" t="str">
        <f t="shared" si="441"/>
        <v>k yet</v>
      </c>
    </row>
    <row r="2893" spans="1:39">
      <c r="A2893" s="42" t="s">
        <v>253</v>
      </c>
      <c r="B2893" s="40" t="str">
        <f t="shared" si="438"/>
        <v>No pick yet</v>
      </c>
      <c r="C2893" s="40" t="str">
        <f t="shared" si="437"/>
        <v>08-&gt;</v>
      </c>
      <c r="D2893" s="40" t="str">
        <f t="shared" si="439"/>
        <v xml:space="preserve">No pick yet                                                 </v>
      </c>
      <c r="E2893" s="52">
        <f t="shared" si="440"/>
        <v>0</v>
      </c>
      <c r="F2893" s="18"/>
      <c r="M2893" s="18"/>
      <c r="N2893" s="18"/>
      <c r="O2893" s="18"/>
      <c r="P2893" s="18"/>
      <c r="Q2893" s="22"/>
      <c r="R2893" s="21"/>
      <c r="S2893" s="21"/>
      <c r="T2893" s="21"/>
      <c r="AA2893"/>
      <c r="AH2893" t="str">
        <f t="shared" si="441"/>
        <v>k yet</v>
      </c>
    </row>
    <row r="2894" spans="1:39">
      <c r="A2894" s="42" t="s">
        <v>254</v>
      </c>
      <c r="B2894" s="40" t="str">
        <f t="shared" si="438"/>
        <v>No pick yet</v>
      </c>
      <c r="C2894" s="40" t="str">
        <f t="shared" si="437"/>
        <v>09-&gt;</v>
      </c>
      <c r="D2894" s="40" t="str">
        <f t="shared" si="439"/>
        <v xml:space="preserve">No pick yet                                                 </v>
      </c>
      <c r="E2894" s="52">
        <f t="shared" si="440"/>
        <v>0</v>
      </c>
      <c r="F2894" s="18"/>
      <c r="M2894" s="18"/>
      <c r="N2894" s="18"/>
      <c r="O2894" s="18"/>
      <c r="P2894" s="18"/>
      <c r="Q2894" s="22"/>
      <c r="R2894" s="21"/>
      <c r="S2894" s="21"/>
      <c r="T2894" s="21"/>
      <c r="AA2894"/>
      <c r="AH2894" t="str">
        <f t="shared" si="441"/>
        <v>k yet</v>
      </c>
    </row>
    <row r="2895" spans="1:39">
      <c r="A2895" s="42" t="s">
        <v>255</v>
      </c>
      <c r="B2895" s="40" t="str">
        <f t="shared" si="438"/>
        <v>No pick yet</v>
      </c>
      <c r="C2895" s="40" t="str">
        <f t="shared" si="437"/>
        <v>10-&gt;</v>
      </c>
      <c r="D2895" s="40" t="str">
        <f t="shared" si="439"/>
        <v xml:space="preserve">No pick yet                                                 </v>
      </c>
      <c r="E2895" s="52">
        <f t="shared" si="440"/>
        <v>0</v>
      </c>
      <c r="F2895" s="22"/>
      <c r="M2895" s="18"/>
      <c r="N2895" s="18"/>
      <c r="O2895" s="18"/>
      <c r="P2895" s="18"/>
      <c r="Q2895" s="22"/>
      <c r="R2895" s="21"/>
      <c r="S2895" s="21"/>
      <c r="T2895" s="21"/>
      <c r="AA2895"/>
      <c r="AH2895" t="str">
        <f t="shared" si="441"/>
        <v>k yet</v>
      </c>
    </row>
    <row r="2896" spans="1:39">
      <c r="A2896" s="42" t="s">
        <v>256</v>
      </c>
      <c r="B2896" s="40" t="str">
        <f t="shared" si="438"/>
        <v>No pick yet</v>
      </c>
      <c r="C2896" s="40" t="str">
        <f t="shared" si="437"/>
        <v>11-&gt;</v>
      </c>
      <c r="D2896" s="40" t="str">
        <f t="shared" si="439"/>
        <v xml:space="preserve">No pick yet                                                 </v>
      </c>
      <c r="E2896" s="52">
        <f t="shared" si="440"/>
        <v>0</v>
      </c>
      <c r="M2896" s="18"/>
      <c r="N2896" s="18"/>
      <c r="O2896" s="18"/>
      <c r="P2896" s="18"/>
      <c r="Q2896" s="22"/>
      <c r="R2896" s="21"/>
      <c r="S2896" s="21"/>
      <c r="T2896" s="21"/>
      <c r="AA2896"/>
      <c r="AH2896" t="str">
        <f t="shared" si="441"/>
        <v>k yet</v>
      </c>
    </row>
    <row r="2897" spans="1:39">
      <c r="A2897" s="42" t="s">
        <v>257</v>
      </c>
      <c r="B2897" s="40" t="str">
        <f t="shared" si="438"/>
        <v>No pick yet</v>
      </c>
      <c r="C2897" s="40" t="str">
        <f t="shared" si="437"/>
        <v>12-&gt;</v>
      </c>
      <c r="D2897" s="40" t="str">
        <f t="shared" si="439"/>
        <v xml:space="preserve">No pick yet                                                 </v>
      </c>
      <c r="E2897" s="52">
        <f t="shared" si="440"/>
        <v>0</v>
      </c>
      <c r="M2897" s="18"/>
      <c r="N2897" s="18"/>
      <c r="O2897" s="18"/>
      <c r="P2897" s="18"/>
      <c r="Q2897" s="22"/>
      <c r="R2897" s="21"/>
      <c r="S2897" s="21"/>
      <c r="T2897" s="21"/>
      <c r="AA2897"/>
      <c r="AH2897" t="str">
        <f t="shared" si="441"/>
        <v>k yet</v>
      </c>
    </row>
    <row r="2898" spans="1:39">
      <c r="A2898" s="42" t="s">
        <v>258</v>
      </c>
      <c r="B2898" s="40" t="str">
        <f t="shared" si="438"/>
        <v>No pick yet</v>
      </c>
      <c r="C2898" s="40" t="str">
        <f t="shared" si="437"/>
        <v>13-&gt;</v>
      </c>
      <c r="D2898" s="40" t="str">
        <f t="shared" si="439"/>
        <v xml:space="preserve">No pick yet                                                 </v>
      </c>
      <c r="E2898" s="52">
        <f t="shared" si="440"/>
        <v>0</v>
      </c>
      <c r="M2898" s="18"/>
      <c r="N2898" s="18"/>
      <c r="O2898" s="18"/>
      <c r="P2898" s="18"/>
      <c r="Q2898" s="22"/>
      <c r="R2898" s="21"/>
      <c r="S2898" s="21"/>
      <c r="T2898" s="21"/>
      <c r="AA2898"/>
      <c r="AH2898" t="str">
        <f t="shared" si="441"/>
        <v>k yet</v>
      </c>
    </row>
    <row r="2899" spans="1:39">
      <c r="A2899" s="42" t="s">
        <v>259</v>
      </c>
      <c r="B2899" s="40" t="str">
        <f t="shared" si="438"/>
        <v>No pick yet</v>
      </c>
      <c r="C2899" s="40" t="str">
        <f t="shared" si="437"/>
        <v>14-&gt;</v>
      </c>
      <c r="D2899" s="40" t="str">
        <f t="shared" si="439"/>
        <v xml:space="preserve">No pick yet                                                 </v>
      </c>
      <c r="E2899" s="52">
        <f t="shared" si="440"/>
        <v>0</v>
      </c>
      <c r="M2899" s="18"/>
      <c r="N2899" s="18"/>
      <c r="O2899" s="18"/>
      <c r="P2899" s="18"/>
      <c r="Q2899" s="22"/>
      <c r="R2899" s="21"/>
      <c r="S2899" s="21"/>
      <c r="T2899" s="21"/>
      <c r="AA2899"/>
      <c r="AH2899" t="str">
        <f t="shared" si="441"/>
        <v>k yet</v>
      </c>
    </row>
    <row r="2900" spans="1:39">
      <c r="A2900" s="42" t="s">
        <v>260</v>
      </c>
      <c r="B2900" s="40" t="str">
        <f t="shared" si="438"/>
        <v>No pick yet</v>
      </c>
      <c r="C2900" s="40" t="str">
        <f t="shared" si="437"/>
        <v>15-&gt;</v>
      </c>
      <c r="D2900" s="40" t="str">
        <f t="shared" si="439"/>
        <v xml:space="preserve">No pick yet                                                 </v>
      </c>
      <c r="E2900" s="52">
        <f t="shared" si="440"/>
        <v>0</v>
      </c>
      <c r="M2900" s="18"/>
      <c r="N2900" s="18"/>
      <c r="O2900" s="18"/>
      <c r="P2900" s="18"/>
      <c r="Q2900" s="22"/>
      <c r="R2900" s="21"/>
      <c r="S2900" s="21"/>
      <c r="T2900" s="21"/>
      <c r="AA2900"/>
      <c r="AH2900" t="str">
        <f t="shared" si="441"/>
        <v>k yet</v>
      </c>
    </row>
    <row r="2901" spans="1:39">
      <c r="A2901" s="42" t="s">
        <v>261</v>
      </c>
      <c r="B2901" s="40" t="str">
        <f t="shared" si="438"/>
        <v>No pick yet</v>
      </c>
      <c r="C2901" s="40" t="str">
        <f t="shared" si="437"/>
        <v>16-&gt;</v>
      </c>
      <c r="D2901" s="40" t="str">
        <f t="shared" si="439"/>
        <v xml:space="preserve">No pick yet                                                 </v>
      </c>
      <c r="E2901" s="52">
        <f t="shared" si="440"/>
        <v>0</v>
      </c>
      <c r="M2901" s="18"/>
      <c r="N2901" s="18"/>
      <c r="O2901" s="18"/>
      <c r="P2901" s="18"/>
      <c r="Q2901" s="22"/>
      <c r="R2901" s="21"/>
      <c r="S2901" s="21"/>
      <c r="T2901" s="21"/>
      <c r="AA2901"/>
      <c r="AH2901" t="str">
        <f t="shared" si="441"/>
        <v>k yet</v>
      </c>
    </row>
    <row r="2902" spans="1:39">
      <c r="A2902" s="42" t="s">
        <v>262</v>
      </c>
      <c r="B2902" s="40" t="str">
        <f t="shared" si="438"/>
        <v>No pick yet</v>
      </c>
      <c r="C2902" s="40" t="str">
        <f t="shared" si="437"/>
        <v>17-&gt;</v>
      </c>
      <c r="D2902" s="40" t="str">
        <f t="shared" si="439"/>
        <v xml:space="preserve">No pick yet                                                 </v>
      </c>
      <c r="E2902" s="52">
        <f t="shared" si="440"/>
        <v>0</v>
      </c>
      <c r="K2902" s="22"/>
      <c r="N2902" s="22"/>
      <c r="O2902" s="22"/>
      <c r="P2902" s="22"/>
      <c r="Q2902" s="22"/>
      <c r="R2902" s="22"/>
      <c r="S2902" s="22"/>
      <c r="Z2902" s="53"/>
      <c r="AA2902"/>
      <c r="AH2902" t="str">
        <f t="shared" si="441"/>
        <v>k yet</v>
      </c>
    </row>
    <row r="2903" spans="1:39">
      <c r="A2903" s="42" t="s">
        <v>263</v>
      </c>
      <c r="B2903" s="40" t="str">
        <f t="shared" si="438"/>
        <v>No pick yet</v>
      </c>
      <c r="C2903" s="40" t="str">
        <f t="shared" si="437"/>
        <v>18-&gt;</v>
      </c>
      <c r="D2903" s="40" t="str">
        <f t="shared" si="439"/>
        <v xml:space="preserve">No pick yet                                                 </v>
      </c>
      <c r="E2903" s="52">
        <f t="shared" si="440"/>
        <v>0</v>
      </c>
      <c r="F2903" s="18"/>
      <c r="L2903" s="21"/>
      <c r="N2903" s="22"/>
      <c r="O2903" s="22"/>
      <c r="P2903" s="18"/>
      <c r="Q2903" s="22"/>
      <c r="R2903" s="22"/>
      <c r="S2903" s="22"/>
      <c r="Z2903" s="53"/>
      <c r="AA2903"/>
      <c r="AH2903" t="str">
        <f t="shared" si="441"/>
        <v>k yet</v>
      </c>
    </row>
    <row r="2904" spans="1:39">
      <c r="A2904" s="42" t="s">
        <v>264</v>
      </c>
      <c r="B2904" s="40" t="str">
        <f t="shared" si="438"/>
        <v>No pick yet</v>
      </c>
      <c r="C2904" s="40" t="str">
        <f t="shared" si="437"/>
        <v>19-&gt;</v>
      </c>
      <c r="D2904" s="40" t="str">
        <f t="shared" si="439"/>
        <v xml:space="preserve">No pick yet                                                 </v>
      </c>
      <c r="E2904" s="52">
        <f t="shared" si="440"/>
        <v>0</v>
      </c>
      <c r="F2904" s="18"/>
      <c r="M2904" s="18"/>
      <c r="N2904" s="18"/>
      <c r="O2904" s="18"/>
      <c r="P2904" s="18"/>
      <c r="Q2904" s="22"/>
      <c r="R2904" s="21"/>
      <c r="S2904" s="21"/>
      <c r="T2904" s="21"/>
      <c r="AA2904"/>
      <c r="AH2904" t="str">
        <f t="shared" si="441"/>
        <v>k yet</v>
      </c>
    </row>
    <row r="2905" spans="1:39">
      <c r="A2905" s="42" t="s">
        <v>265</v>
      </c>
      <c r="B2905" s="40" t="str">
        <f t="shared" si="438"/>
        <v>No pick yet</v>
      </c>
      <c r="C2905" s="40" t="str">
        <f t="shared" si="437"/>
        <v>20-&gt;</v>
      </c>
      <c r="D2905" s="40" t="str">
        <f t="shared" si="439"/>
        <v xml:space="preserve">No pick yet                                                 </v>
      </c>
      <c r="E2905" s="52">
        <f t="shared" si="440"/>
        <v>0</v>
      </c>
      <c r="F2905" s="18"/>
      <c r="M2905" s="18"/>
      <c r="N2905" s="18"/>
      <c r="O2905" s="18"/>
      <c r="P2905" s="18"/>
      <c r="Q2905" s="22"/>
      <c r="R2905" s="21"/>
      <c r="S2905" s="21"/>
      <c r="T2905" s="21"/>
      <c r="AA2905"/>
      <c r="AH2905" t="str">
        <f t="shared" si="441"/>
        <v>k yet</v>
      </c>
    </row>
    <row r="2906" spans="1:39">
      <c r="A2906" s="42" t="s">
        <v>266</v>
      </c>
      <c r="B2906" s="40" t="str">
        <f t="shared" si="438"/>
        <v>No pick yet</v>
      </c>
      <c r="C2906" s="40" t="str">
        <f t="shared" si="437"/>
        <v>21-&gt;</v>
      </c>
      <c r="D2906" s="40" t="str">
        <f t="shared" si="439"/>
        <v xml:space="preserve">No pick yet                                                 </v>
      </c>
      <c r="E2906" s="52">
        <f t="shared" si="440"/>
        <v>0</v>
      </c>
      <c r="F2906" s="18"/>
      <c r="M2906" s="18"/>
      <c r="N2906" s="18"/>
      <c r="O2906" s="18"/>
      <c r="P2906" s="18"/>
      <c r="Q2906" s="22"/>
      <c r="R2906" s="21"/>
      <c r="S2906" s="21"/>
      <c r="T2906" s="21"/>
      <c r="AA2906"/>
      <c r="AH2906" t="str">
        <f t="shared" si="441"/>
        <v>k yet</v>
      </c>
    </row>
    <row r="2907" spans="1:39">
      <c r="A2907" s="42" t="s">
        <v>267</v>
      </c>
      <c r="B2907" s="40" t="str">
        <f t="shared" si="438"/>
        <v>No pick yet</v>
      </c>
      <c r="C2907" s="40" t="str">
        <f t="shared" si="437"/>
        <v>22-&gt;</v>
      </c>
      <c r="D2907" s="40" t="str">
        <f t="shared" si="439"/>
        <v xml:space="preserve">No pick yet                                                 </v>
      </c>
      <c r="E2907" s="52">
        <f t="shared" si="440"/>
        <v>0</v>
      </c>
      <c r="F2907" s="18"/>
      <c r="M2907" s="18"/>
      <c r="N2907" s="18"/>
      <c r="O2907" s="18"/>
      <c r="P2907" s="18"/>
      <c r="Q2907" s="22"/>
      <c r="R2907" s="21"/>
      <c r="S2907" s="21"/>
      <c r="T2907" s="21"/>
      <c r="AA2907"/>
      <c r="AH2907" t="str">
        <f t="shared" si="441"/>
        <v>k yet</v>
      </c>
    </row>
    <row r="2908" spans="1:39">
      <c r="A2908" s="42" t="s">
        <v>268</v>
      </c>
      <c r="B2908" s="40" t="str">
        <f t="shared" si="438"/>
        <v>No pick yet</v>
      </c>
      <c r="C2908" s="40" t="str">
        <f t="shared" si="437"/>
        <v>23-&gt;</v>
      </c>
      <c r="D2908" s="40" t="str">
        <f t="shared" si="439"/>
        <v xml:space="preserve">No pick yet                                                 </v>
      </c>
      <c r="E2908" s="52">
        <f t="shared" si="440"/>
        <v>0</v>
      </c>
      <c r="F2908" s="18"/>
      <c r="M2908" s="18"/>
      <c r="N2908" s="18"/>
      <c r="O2908" s="18"/>
      <c r="P2908" s="18"/>
      <c r="Q2908" s="22"/>
      <c r="R2908" s="21"/>
      <c r="S2908" s="21"/>
      <c r="T2908" s="21"/>
      <c r="AA2908"/>
      <c r="AH2908" t="str">
        <f t="shared" si="441"/>
        <v>k yet</v>
      </c>
    </row>
    <row r="2909" spans="1:39">
      <c r="A2909" s="42" t="s">
        <v>269</v>
      </c>
      <c r="B2909" s="40" t="str">
        <f t="shared" si="438"/>
        <v>No pick yet</v>
      </c>
      <c r="C2909" s="40" t="str">
        <f t="shared" si="437"/>
        <v>24-&gt;</v>
      </c>
      <c r="D2909" s="40" t="str">
        <f t="shared" si="439"/>
        <v xml:space="preserve">No pick yet                                                 </v>
      </c>
      <c r="E2909" s="52">
        <f t="shared" si="440"/>
        <v>0</v>
      </c>
      <c r="F2909" s="18"/>
      <c r="M2909" s="18"/>
      <c r="N2909" s="18"/>
      <c r="O2909" s="18"/>
      <c r="P2909" s="18"/>
      <c r="Q2909" s="22"/>
      <c r="R2909" s="21"/>
      <c r="S2909" s="21"/>
      <c r="T2909" s="21"/>
      <c r="AA2909"/>
      <c r="AH2909" t="str">
        <f t="shared" si="441"/>
        <v>k yet</v>
      </c>
    </row>
    <row r="2910" spans="1:39">
      <c r="A2910" s="42" t="s">
        <v>270</v>
      </c>
      <c r="B2910" s="40" t="str">
        <f t="shared" si="438"/>
        <v>No pick yet</v>
      </c>
      <c r="C2910" s="40" t="str">
        <f t="shared" si="437"/>
        <v>25-&gt;</v>
      </c>
      <c r="D2910" s="40" t="str">
        <f t="shared" si="439"/>
        <v xml:space="preserve">No pick yet                                                 </v>
      </c>
      <c r="E2910" s="52">
        <f t="shared" si="440"/>
        <v>0</v>
      </c>
      <c r="F2910" s="18"/>
      <c r="M2910" s="18"/>
      <c r="N2910" s="18"/>
      <c r="O2910" s="18"/>
      <c r="P2910" s="18"/>
      <c r="Q2910" s="22"/>
      <c r="R2910" s="21"/>
      <c r="S2910" s="21"/>
      <c r="T2910" s="21"/>
      <c r="AA2910"/>
      <c r="AH2910" t="str">
        <f t="shared" si="441"/>
        <v>k yet</v>
      </c>
    </row>
    <row r="2911" spans="1:39">
      <c r="A2911" s="42" t="s">
        <v>271</v>
      </c>
      <c r="B2911" s="40" t="str">
        <f t="shared" si="438"/>
        <v>No pick yet</v>
      </c>
      <c r="C2911" s="40" t="str">
        <f t="shared" si="437"/>
        <v>26-&gt;</v>
      </c>
      <c r="D2911" s="40" t="str">
        <f t="shared" si="439"/>
        <v xml:space="preserve">No pick yet                                                 </v>
      </c>
      <c r="E2911" s="52">
        <f t="shared" si="440"/>
        <v>0</v>
      </c>
      <c r="F2911" s="18"/>
      <c r="M2911" s="18"/>
      <c r="N2911" s="18"/>
      <c r="O2911" s="18"/>
      <c r="P2911" s="18"/>
      <c r="Q2911" s="22"/>
      <c r="R2911" s="21"/>
      <c r="S2911" s="21"/>
      <c r="T2911" s="21"/>
      <c r="AA2911"/>
      <c r="AH2911" t="str">
        <f t="shared" si="441"/>
        <v>k yet</v>
      </c>
    </row>
    <row r="2912" spans="1:39">
      <c r="A2912" s="38"/>
      <c r="B2912" s="40"/>
      <c r="C2912" s="40"/>
      <c r="D2912" s="49"/>
      <c r="E2912" s="41" t="s">
        <v>69</v>
      </c>
      <c r="F2912" s="18"/>
      <c r="K2912" s="22" t="s">
        <v>73</v>
      </c>
      <c r="L2912" s="18" t="s">
        <v>74</v>
      </c>
      <c r="M2912" s="22" t="s">
        <v>78</v>
      </c>
      <c r="N2912" s="22" t="s">
        <v>79</v>
      </c>
      <c r="O2912" s="22" t="s">
        <v>80</v>
      </c>
      <c r="P2912" s="22" t="s">
        <v>81</v>
      </c>
      <c r="Q2912" s="22" t="s">
        <v>82</v>
      </c>
      <c r="R2912" s="22" t="s">
        <v>83</v>
      </c>
      <c r="S2912" s="22" t="s">
        <v>84</v>
      </c>
      <c r="T2912" s="18" t="s">
        <v>85</v>
      </c>
      <c r="U2912" s="18" t="s">
        <v>86</v>
      </c>
      <c r="V2912" s="18" t="s">
        <v>87</v>
      </c>
      <c r="W2912" s="18" t="s">
        <v>88</v>
      </c>
      <c r="X2912" s="18" t="s">
        <v>89</v>
      </c>
      <c r="Y2912" s="18" t="s">
        <v>90</v>
      </c>
      <c r="Z2912" s="18" t="s">
        <v>91</v>
      </c>
      <c r="AA2912" s="18" t="s">
        <v>92</v>
      </c>
      <c r="AB2912" s="18" t="s">
        <v>93</v>
      </c>
      <c r="AC2912" s="18" t="s">
        <v>94</v>
      </c>
      <c r="AD2912" s="18" t="s">
        <v>235</v>
      </c>
      <c r="AE2912" s="18" t="s">
        <v>236</v>
      </c>
      <c r="AF2912" s="18" t="s">
        <v>237</v>
      </c>
      <c r="AG2912" s="18" t="s">
        <v>238</v>
      </c>
      <c r="AH2912" s="18" t="s">
        <v>239</v>
      </c>
      <c r="AI2912" s="18" t="s">
        <v>240</v>
      </c>
      <c r="AJ2912" s="18" t="s">
        <v>241</v>
      </c>
      <c r="AK2912" s="18" t="s">
        <v>242</v>
      </c>
      <c r="AL2912" s="18" t="s">
        <v>243</v>
      </c>
      <c r="AM2912" s="50" t="s">
        <v>244</v>
      </c>
    </row>
    <row r="2913" spans="1:39">
      <c r="A2913" s="40" t="s">
        <v>245</v>
      </c>
      <c r="B2913" s="51" t="str">
        <f>D103</f>
        <v/>
      </c>
      <c r="C2913" s="40" t="str">
        <f t="shared" ref="C2913:C2939" si="442">A2913</f>
        <v>#</v>
      </c>
      <c r="D2913" s="40" t="str">
        <f>"   "&amp;B2913&amp;REPT(" ",$AH$70-LEN(B2913)-3)</f>
        <v xml:space="preserve">                                                            </v>
      </c>
      <c r="E2913" s="38" t="str">
        <f>SUM(E2914:E2939)&amp;" pts[/b]"</f>
        <v>0 pts[/b]</v>
      </c>
      <c r="F2913" s="21">
        <f>SUM(E2914:E2939)</f>
        <v>0</v>
      </c>
      <c r="K2913" s="18">
        <f>COUNTIF(E2914:E2939,"&gt;0")</f>
        <v>0</v>
      </c>
      <c r="L2913" s="21">
        <f>AM2913-K2913</f>
        <v>0</v>
      </c>
      <c r="M2913" s="22">
        <f>MAX(E2914:E2939)</f>
        <v>0</v>
      </c>
      <c r="N2913" s="22">
        <f>LARGE(E2914:E2939,2)</f>
        <v>0</v>
      </c>
      <c r="O2913" s="22">
        <f>LARGE(E2914:E2939,3)</f>
        <v>0</v>
      </c>
      <c r="P2913" s="18">
        <f>LARGE(E2914:E2939,4)</f>
        <v>0</v>
      </c>
      <c r="Q2913" s="22">
        <f>LARGE(E2914:E2939,5)</f>
        <v>0</v>
      </c>
      <c r="R2913" s="22">
        <f>LARGE(E2914:E2939,6)</f>
        <v>0</v>
      </c>
      <c r="S2913" s="22">
        <f>LARGE(E2914:E2939,7)</f>
        <v>0</v>
      </c>
      <c r="T2913" s="18">
        <f>LARGE(E2914:E2939,8)</f>
        <v>0</v>
      </c>
      <c r="U2913" s="18">
        <f>LARGE(E2914:E2939,9)</f>
        <v>0</v>
      </c>
      <c r="V2913" s="18">
        <f>LARGE(E2914:E2939,10)</f>
        <v>0</v>
      </c>
      <c r="W2913" s="18">
        <f>LARGE(E2914:E2939,11)</f>
        <v>0</v>
      </c>
      <c r="X2913" s="18">
        <f>LARGE(E2914:E2939,12)</f>
        <v>0</v>
      </c>
      <c r="Y2913" s="18">
        <f>LARGE(E2914:E2939,13)</f>
        <v>0</v>
      </c>
      <c r="Z2913" s="18">
        <f>LARGE(E2914:E2939,14)</f>
        <v>0</v>
      </c>
      <c r="AA2913" s="18">
        <f>LARGE(E2914:E2939,15)</f>
        <v>0</v>
      </c>
      <c r="AB2913" s="18">
        <f>LARGE(E2914:E2939,16)</f>
        <v>0</v>
      </c>
      <c r="AC2913" s="18">
        <f>LARGE(E2914:E2939,17)</f>
        <v>0</v>
      </c>
      <c r="AD2913" s="18">
        <f>LARGE(E2914:E2940,13)</f>
        <v>0</v>
      </c>
      <c r="AE2913" s="18">
        <f>LARGE(E2914:E2939,19)</f>
        <v>0</v>
      </c>
      <c r="AF2913" s="18">
        <f>LARGE(E2914:E2939,20)</f>
        <v>0</v>
      </c>
      <c r="AG2913" s="18">
        <f>LARGE(E2914:E2939,21)</f>
        <v>0</v>
      </c>
      <c r="AH2913" s="18">
        <f>LARGE(E2914:E2939,22)</f>
        <v>0</v>
      </c>
      <c r="AI2913" s="18">
        <f>LARGE(E2914:E2939,23)</f>
        <v>0</v>
      </c>
      <c r="AJ2913" s="18">
        <f>LARGE(E2914:E2939,24)</f>
        <v>0</v>
      </c>
      <c r="AK2913" s="18">
        <f>LARGE(E2914:E2939,25)</f>
        <v>0</v>
      </c>
      <c r="AL2913" s="18">
        <f>LARGE(E2914:E2939,26)</f>
        <v>0</v>
      </c>
      <c r="AM2913" s="50">
        <f>COUNTIF(B2914:B2939,"&lt;&gt;"&amp;AH74)</f>
        <v>0</v>
      </c>
    </row>
    <row r="2914" spans="1:39">
      <c r="A2914" s="42" t="s">
        <v>246</v>
      </c>
      <c r="B2914" s="40" t="str">
        <f t="shared" ref="B2914:B2939" si="443">$AH$74</f>
        <v>No pick yet</v>
      </c>
      <c r="C2914" s="40" t="str">
        <f t="shared" si="442"/>
        <v>01-&gt;</v>
      </c>
      <c r="D2914" s="40" t="str">
        <f t="shared" ref="D2914:D2939" si="444">B2914&amp;REPT(" ",$AH$70-LEN(B2914))</f>
        <v xml:space="preserve">No pick yet                                                 </v>
      </c>
      <c r="E2914" s="52">
        <f t="shared" ref="E2914:E2939" si="445">VLOOKUP(RIGHT(B2914,LEN(B2914)-$AH$66),$H$138:$I$420,2,0)</f>
        <v>0</v>
      </c>
      <c r="F2914" s="18"/>
      <c r="M2914" s="18"/>
      <c r="N2914" s="18"/>
      <c r="O2914" s="18"/>
      <c r="P2914" s="18"/>
      <c r="Q2914" s="22"/>
      <c r="R2914" s="21"/>
      <c r="S2914" s="21"/>
      <c r="T2914" s="21"/>
      <c r="AA2914"/>
      <c r="AH2914" t="str">
        <f t="shared" ref="AH2914:AH2939" si="446">RIGHT(B2914,LEN(B2914)-$AH$66)</f>
        <v>k yet</v>
      </c>
    </row>
    <row r="2915" spans="1:39">
      <c r="A2915" s="42" t="s">
        <v>247</v>
      </c>
      <c r="B2915" s="40" t="str">
        <f t="shared" si="443"/>
        <v>No pick yet</v>
      </c>
      <c r="C2915" s="40" t="str">
        <f t="shared" si="442"/>
        <v>02-&gt;</v>
      </c>
      <c r="D2915" s="40" t="str">
        <f t="shared" si="444"/>
        <v xml:space="preserve">No pick yet                                                 </v>
      </c>
      <c r="E2915" s="52">
        <f t="shared" si="445"/>
        <v>0</v>
      </c>
      <c r="F2915" s="18"/>
      <c r="K2915" s="22"/>
      <c r="N2915" s="22"/>
      <c r="O2915" s="22"/>
      <c r="P2915" s="22"/>
      <c r="Q2915" s="22"/>
      <c r="R2915" s="22"/>
      <c r="S2915" s="22"/>
      <c r="Z2915" s="53"/>
      <c r="AA2915"/>
      <c r="AH2915" t="str">
        <f t="shared" si="446"/>
        <v>k yet</v>
      </c>
    </row>
    <row r="2916" spans="1:39">
      <c r="A2916" s="42" t="s">
        <v>248</v>
      </c>
      <c r="B2916" s="40" t="str">
        <f t="shared" si="443"/>
        <v>No pick yet</v>
      </c>
      <c r="C2916" s="40" t="str">
        <f t="shared" si="442"/>
        <v>03-&gt;</v>
      </c>
      <c r="D2916" s="40" t="str">
        <f t="shared" si="444"/>
        <v xml:space="preserve">No pick yet                                                 </v>
      </c>
      <c r="E2916" s="52">
        <f t="shared" si="445"/>
        <v>0</v>
      </c>
      <c r="F2916" s="18"/>
      <c r="L2916" s="21"/>
      <c r="N2916" s="22"/>
      <c r="O2916" s="22"/>
      <c r="P2916" s="18"/>
      <c r="Q2916" s="22"/>
      <c r="R2916" s="22"/>
      <c r="S2916" s="22"/>
      <c r="Z2916" s="53"/>
      <c r="AA2916"/>
      <c r="AH2916" t="str">
        <f t="shared" si="446"/>
        <v>k yet</v>
      </c>
    </row>
    <row r="2917" spans="1:39">
      <c r="A2917" s="42" t="s">
        <v>249</v>
      </c>
      <c r="B2917" s="40" t="str">
        <f t="shared" si="443"/>
        <v>No pick yet</v>
      </c>
      <c r="C2917" s="40" t="str">
        <f t="shared" si="442"/>
        <v>04-&gt;</v>
      </c>
      <c r="D2917" s="40" t="str">
        <f t="shared" si="444"/>
        <v xml:space="preserve">No pick yet                                                 </v>
      </c>
      <c r="E2917" s="52">
        <f t="shared" si="445"/>
        <v>0</v>
      </c>
      <c r="F2917" s="18"/>
      <c r="M2917" s="18"/>
      <c r="N2917" s="18"/>
      <c r="O2917" s="18"/>
      <c r="P2917" s="18"/>
      <c r="Q2917" s="22"/>
      <c r="R2917" s="21"/>
      <c r="S2917" s="21"/>
      <c r="T2917" s="21"/>
      <c r="AA2917"/>
      <c r="AH2917" t="str">
        <f t="shared" si="446"/>
        <v>k yet</v>
      </c>
    </row>
    <row r="2918" spans="1:39">
      <c r="A2918" s="42" t="s">
        <v>250</v>
      </c>
      <c r="B2918" s="40" t="str">
        <f t="shared" si="443"/>
        <v>No pick yet</v>
      </c>
      <c r="C2918" s="40" t="str">
        <f t="shared" si="442"/>
        <v>05-&gt;</v>
      </c>
      <c r="D2918" s="40" t="str">
        <f t="shared" si="444"/>
        <v xml:space="preserve">No pick yet                                                 </v>
      </c>
      <c r="E2918" s="52">
        <f t="shared" si="445"/>
        <v>0</v>
      </c>
      <c r="F2918" s="18"/>
      <c r="M2918" s="18"/>
      <c r="N2918" s="18"/>
      <c r="O2918" s="18"/>
      <c r="P2918" s="18"/>
      <c r="Q2918" s="22"/>
      <c r="R2918" s="21"/>
      <c r="S2918" s="21"/>
      <c r="T2918" s="21"/>
      <c r="AA2918"/>
      <c r="AH2918" t="str">
        <f t="shared" si="446"/>
        <v>k yet</v>
      </c>
    </row>
    <row r="2919" spans="1:39">
      <c r="A2919" s="42" t="s">
        <v>251</v>
      </c>
      <c r="B2919" s="40" t="str">
        <f t="shared" si="443"/>
        <v>No pick yet</v>
      </c>
      <c r="C2919" s="40" t="str">
        <f t="shared" si="442"/>
        <v>06-&gt;</v>
      </c>
      <c r="D2919" s="40" t="str">
        <f t="shared" si="444"/>
        <v xml:space="preserve">No pick yet                                                 </v>
      </c>
      <c r="E2919" s="52">
        <f t="shared" si="445"/>
        <v>0</v>
      </c>
      <c r="F2919" s="18"/>
      <c r="M2919" s="18"/>
      <c r="N2919" s="18"/>
      <c r="O2919" s="18"/>
      <c r="P2919" s="18"/>
      <c r="Q2919" s="22"/>
      <c r="R2919" s="21"/>
      <c r="S2919" s="21"/>
      <c r="T2919" s="21"/>
      <c r="AA2919"/>
      <c r="AH2919" t="str">
        <f t="shared" si="446"/>
        <v>k yet</v>
      </c>
    </row>
    <row r="2920" spans="1:39">
      <c r="A2920" s="42" t="s">
        <v>252</v>
      </c>
      <c r="B2920" s="40" t="str">
        <f t="shared" si="443"/>
        <v>No pick yet</v>
      </c>
      <c r="C2920" s="40" t="str">
        <f t="shared" si="442"/>
        <v>07-&gt;</v>
      </c>
      <c r="D2920" s="40" t="str">
        <f t="shared" si="444"/>
        <v xml:space="preserve">No pick yet                                                 </v>
      </c>
      <c r="E2920" s="52">
        <f t="shared" si="445"/>
        <v>0</v>
      </c>
      <c r="F2920" s="18"/>
      <c r="M2920" s="18"/>
      <c r="N2920" s="18"/>
      <c r="O2920" s="18"/>
      <c r="P2920" s="18"/>
      <c r="Q2920" s="22"/>
      <c r="R2920" s="21"/>
      <c r="S2920" s="21"/>
      <c r="T2920" s="21"/>
      <c r="AA2920"/>
      <c r="AH2920" t="str">
        <f t="shared" si="446"/>
        <v>k yet</v>
      </c>
    </row>
    <row r="2921" spans="1:39">
      <c r="A2921" s="42" t="s">
        <v>253</v>
      </c>
      <c r="B2921" s="40" t="str">
        <f t="shared" si="443"/>
        <v>No pick yet</v>
      </c>
      <c r="C2921" s="40" t="str">
        <f t="shared" si="442"/>
        <v>08-&gt;</v>
      </c>
      <c r="D2921" s="40" t="str">
        <f t="shared" si="444"/>
        <v xml:space="preserve">No pick yet                                                 </v>
      </c>
      <c r="E2921" s="52">
        <f t="shared" si="445"/>
        <v>0</v>
      </c>
      <c r="F2921" s="18"/>
      <c r="M2921" s="18"/>
      <c r="N2921" s="18"/>
      <c r="O2921" s="18"/>
      <c r="P2921" s="18"/>
      <c r="Q2921" s="22"/>
      <c r="R2921" s="21"/>
      <c r="S2921" s="21"/>
      <c r="T2921" s="21"/>
      <c r="AA2921"/>
      <c r="AH2921" t="str">
        <f t="shared" si="446"/>
        <v>k yet</v>
      </c>
    </row>
    <row r="2922" spans="1:39">
      <c r="A2922" s="42" t="s">
        <v>254</v>
      </c>
      <c r="B2922" s="40" t="str">
        <f t="shared" si="443"/>
        <v>No pick yet</v>
      </c>
      <c r="C2922" s="40" t="str">
        <f t="shared" si="442"/>
        <v>09-&gt;</v>
      </c>
      <c r="D2922" s="40" t="str">
        <f t="shared" si="444"/>
        <v xml:space="preserve">No pick yet                                                 </v>
      </c>
      <c r="E2922" s="52">
        <f t="shared" si="445"/>
        <v>0</v>
      </c>
      <c r="F2922" s="18"/>
      <c r="M2922" s="18"/>
      <c r="N2922" s="18"/>
      <c r="O2922" s="18"/>
      <c r="P2922" s="18"/>
      <c r="Q2922" s="22"/>
      <c r="R2922" s="21"/>
      <c r="S2922" s="21"/>
      <c r="T2922" s="21"/>
      <c r="AA2922"/>
      <c r="AH2922" t="str">
        <f t="shared" si="446"/>
        <v>k yet</v>
      </c>
    </row>
    <row r="2923" spans="1:39">
      <c r="A2923" s="42" t="s">
        <v>255</v>
      </c>
      <c r="B2923" s="40" t="str">
        <f t="shared" si="443"/>
        <v>No pick yet</v>
      </c>
      <c r="C2923" s="40" t="str">
        <f t="shared" si="442"/>
        <v>10-&gt;</v>
      </c>
      <c r="D2923" s="40" t="str">
        <f t="shared" si="444"/>
        <v xml:space="preserve">No pick yet                                                 </v>
      </c>
      <c r="E2923" s="52">
        <f t="shared" si="445"/>
        <v>0</v>
      </c>
      <c r="F2923" s="22"/>
      <c r="M2923" s="18"/>
      <c r="N2923" s="18"/>
      <c r="O2923" s="18"/>
      <c r="P2923" s="18"/>
      <c r="Q2923" s="22"/>
      <c r="R2923" s="21"/>
      <c r="S2923" s="21"/>
      <c r="T2923" s="21"/>
      <c r="AA2923"/>
      <c r="AH2923" t="str">
        <f t="shared" si="446"/>
        <v>k yet</v>
      </c>
    </row>
    <row r="2924" spans="1:39">
      <c r="A2924" s="42" t="s">
        <v>256</v>
      </c>
      <c r="B2924" s="40" t="str">
        <f t="shared" si="443"/>
        <v>No pick yet</v>
      </c>
      <c r="C2924" s="40" t="str">
        <f t="shared" si="442"/>
        <v>11-&gt;</v>
      </c>
      <c r="D2924" s="40" t="str">
        <f t="shared" si="444"/>
        <v xml:space="preserve">No pick yet                                                 </v>
      </c>
      <c r="E2924" s="52">
        <f t="shared" si="445"/>
        <v>0</v>
      </c>
      <c r="M2924" s="18"/>
      <c r="N2924" s="18"/>
      <c r="O2924" s="18"/>
      <c r="P2924" s="18"/>
      <c r="Q2924" s="22"/>
      <c r="R2924" s="21"/>
      <c r="S2924" s="21"/>
      <c r="T2924" s="21"/>
      <c r="AA2924"/>
      <c r="AH2924" t="str">
        <f t="shared" si="446"/>
        <v>k yet</v>
      </c>
    </row>
    <row r="2925" spans="1:39">
      <c r="A2925" s="42" t="s">
        <v>257</v>
      </c>
      <c r="B2925" s="40" t="str">
        <f t="shared" si="443"/>
        <v>No pick yet</v>
      </c>
      <c r="C2925" s="40" t="str">
        <f t="shared" si="442"/>
        <v>12-&gt;</v>
      </c>
      <c r="D2925" s="40" t="str">
        <f t="shared" si="444"/>
        <v xml:space="preserve">No pick yet                                                 </v>
      </c>
      <c r="E2925" s="52">
        <f t="shared" si="445"/>
        <v>0</v>
      </c>
      <c r="M2925" s="18"/>
      <c r="N2925" s="18"/>
      <c r="O2925" s="18"/>
      <c r="P2925" s="18"/>
      <c r="Q2925" s="22"/>
      <c r="R2925" s="21"/>
      <c r="S2925" s="21"/>
      <c r="T2925" s="21"/>
      <c r="AA2925"/>
      <c r="AH2925" t="str">
        <f t="shared" si="446"/>
        <v>k yet</v>
      </c>
    </row>
    <row r="2926" spans="1:39">
      <c r="A2926" s="42" t="s">
        <v>258</v>
      </c>
      <c r="B2926" s="40" t="str">
        <f t="shared" si="443"/>
        <v>No pick yet</v>
      </c>
      <c r="C2926" s="40" t="str">
        <f t="shared" si="442"/>
        <v>13-&gt;</v>
      </c>
      <c r="D2926" s="40" t="str">
        <f t="shared" si="444"/>
        <v xml:space="preserve">No pick yet                                                 </v>
      </c>
      <c r="E2926" s="52">
        <f t="shared" si="445"/>
        <v>0</v>
      </c>
      <c r="M2926" s="18"/>
      <c r="N2926" s="18"/>
      <c r="O2926" s="18"/>
      <c r="P2926" s="18"/>
      <c r="Q2926" s="22"/>
      <c r="R2926" s="21"/>
      <c r="S2926" s="21"/>
      <c r="T2926" s="21"/>
      <c r="AA2926"/>
      <c r="AH2926" t="str">
        <f t="shared" si="446"/>
        <v>k yet</v>
      </c>
    </row>
    <row r="2927" spans="1:39">
      <c r="A2927" s="42" t="s">
        <v>259</v>
      </c>
      <c r="B2927" s="40" t="str">
        <f t="shared" si="443"/>
        <v>No pick yet</v>
      </c>
      <c r="C2927" s="40" t="str">
        <f t="shared" si="442"/>
        <v>14-&gt;</v>
      </c>
      <c r="D2927" s="40" t="str">
        <f t="shared" si="444"/>
        <v xml:space="preserve">No pick yet                                                 </v>
      </c>
      <c r="E2927" s="52">
        <f t="shared" si="445"/>
        <v>0</v>
      </c>
      <c r="M2927" s="18"/>
      <c r="N2927" s="18"/>
      <c r="O2927" s="18"/>
      <c r="P2927" s="18"/>
      <c r="Q2927" s="22"/>
      <c r="R2927" s="21"/>
      <c r="S2927" s="21"/>
      <c r="T2927" s="21"/>
      <c r="AA2927"/>
      <c r="AH2927" t="str">
        <f t="shared" si="446"/>
        <v>k yet</v>
      </c>
    </row>
    <row r="2928" spans="1:39">
      <c r="A2928" s="42" t="s">
        <v>260</v>
      </c>
      <c r="B2928" s="40" t="str">
        <f t="shared" si="443"/>
        <v>No pick yet</v>
      </c>
      <c r="C2928" s="40" t="str">
        <f t="shared" si="442"/>
        <v>15-&gt;</v>
      </c>
      <c r="D2928" s="40" t="str">
        <f t="shared" si="444"/>
        <v xml:space="preserve">No pick yet                                                 </v>
      </c>
      <c r="E2928" s="52">
        <f t="shared" si="445"/>
        <v>0</v>
      </c>
      <c r="M2928" s="18"/>
      <c r="N2928" s="18"/>
      <c r="O2928" s="18"/>
      <c r="P2928" s="18"/>
      <c r="Q2928" s="22"/>
      <c r="R2928" s="21"/>
      <c r="S2928" s="21"/>
      <c r="T2928" s="21"/>
      <c r="AA2928"/>
      <c r="AH2928" t="str">
        <f t="shared" si="446"/>
        <v>k yet</v>
      </c>
    </row>
    <row r="2929" spans="1:39">
      <c r="A2929" s="42" t="s">
        <v>261</v>
      </c>
      <c r="B2929" s="40" t="str">
        <f t="shared" si="443"/>
        <v>No pick yet</v>
      </c>
      <c r="C2929" s="40" t="str">
        <f t="shared" si="442"/>
        <v>16-&gt;</v>
      </c>
      <c r="D2929" s="40" t="str">
        <f t="shared" si="444"/>
        <v xml:space="preserve">No pick yet                                                 </v>
      </c>
      <c r="E2929" s="52">
        <f t="shared" si="445"/>
        <v>0</v>
      </c>
      <c r="M2929" s="18"/>
      <c r="N2929" s="18"/>
      <c r="O2929" s="18"/>
      <c r="P2929" s="18"/>
      <c r="Q2929" s="22"/>
      <c r="R2929" s="21"/>
      <c r="S2929" s="21"/>
      <c r="T2929" s="21"/>
      <c r="AA2929"/>
      <c r="AH2929" t="str">
        <f t="shared" si="446"/>
        <v>k yet</v>
      </c>
    </row>
    <row r="2930" spans="1:39">
      <c r="A2930" s="42" t="s">
        <v>262</v>
      </c>
      <c r="B2930" s="40" t="str">
        <f t="shared" si="443"/>
        <v>No pick yet</v>
      </c>
      <c r="C2930" s="40" t="str">
        <f t="shared" si="442"/>
        <v>17-&gt;</v>
      </c>
      <c r="D2930" s="40" t="str">
        <f t="shared" si="444"/>
        <v xml:space="preserve">No pick yet                                                 </v>
      </c>
      <c r="E2930" s="52">
        <f t="shared" si="445"/>
        <v>0</v>
      </c>
      <c r="K2930" s="22"/>
      <c r="N2930" s="22"/>
      <c r="O2930" s="22"/>
      <c r="P2930" s="22"/>
      <c r="Q2930" s="22"/>
      <c r="R2930" s="22"/>
      <c r="S2930" s="22"/>
      <c r="Z2930" s="53"/>
      <c r="AA2930"/>
      <c r="AH2930" t="str">
        <f t="shared" si="446"/>
        <v>k yet</v>
      </c>
    </row>
    <row r="2931" spans="1:39">
      <c r="A2931" s="42" t="s">
        <v>263</v>
      </c>
      <c r="B2931" s="40" t="str">
        <f t="shared" si="443"/>
        <v>No pick yet</v>
      </c>
      <c r="C2931" s="40" t="str">
        <f t="shared" si="442"/>
        <v>18-&gt;</v>
      </c>
      <c r="D2931" s="40" t="str">
        <f t="shared" si="444"/>
        <v xml:space="preserve">No pick yet                                                 </v>
      </c>
      <c r="E2931" s="52">
        <f t="shared" si="445"/>
        <v>0</v>
      </c>
      <c r="F2931" s="18"/>
      <c r="L2931" s="21"/>
      <c r="N2931" s="22"/>
      <c r="O2931" s="22"/>
      <c r="P2931" s="18"/>
      <c r="Q2931" s="22"/>
      <c r="R2931" s="22"/>
      <c r="S2931" s="22"/>
      <c r="Z2931" s="53"/>
      <c r="AA2931"/>
      <c r="AH2931" t="str">
        <f t="shared" si="446"/>
        <v>k yet</v>
      </c>
    </row>
    <row r="2932" spans="1:39">
      <c r="A2932" s="42" t="s">
        <v>264</v>
      </c>
      <c r="B2932" s="40" t="str">
        <f t="shared" si="443"/>
        <v>No pick yet</v>
      </c>
      <c r="C2932" s="40" t="str">
        <f t="shared" si="442"/>
        <v>19-&gt;</v>
      </c>
      <c r="D2932" s="40" t="str">
        <f t="shared" si="444"/>
        <v xml:space="preserve">No pick yet                                                 </v>
      </c>
      <c r="E2932" s="52">
        <f t="shared" si="445"/>
        <v>0</v>
      </c>
      <c r="F2932" s="18"/>
      <c r="M2932" s="18"/>
      <c r="N2932" s="18"/>
      <c r="O2932" s="18"/>
      <c r="P2932" s="18"/>
      <c r="Q2932" s="22"/>
      <c r="R2932" s="21"/>
      <c r="S2932" s="21"/>
      <c r="T2932" s="21"/>
      <c r="AA2932"/>
      <c r="AH2932" t="str">
        <f t="shared" si="446"/>
        <v>k yet</v>
      </c>
    </row>
    <row r="2933" spans="1:39">
      <c r="A2933" s="42" t="s">
        <v>265</v>
      </c>
      <c r="B2933" s="40" t="str">
        <f t="shared" si="443"/>
        <v>No pick yet</v>
      </c>
      <c r="C2933" s="40" t="str">
        <f t="shared" si="442"/>
        <v>20-&gt;</v>
      </c>
      <c r="D2933" s="40" t="str">
        <f t="shared" si="444"/>
        <v xml:space="preserve">No pick yet                                                 </v>
      </c>
      <c r="E2933" s="52">
        <f t="shared" si="445"/>
        <v>0</v>
      </c>
      <c r="F2933" s="18"/>
      <c r="M2933" s="18"/>
      <c r="N2933" s="18"/>
      <c r="O2933" s="18"/>
      <c r="P2933" s="18"/>
      <c r="Q2933" s="22"/>
      <c r="R2933" s="21"/>
      <c r="S2933" s="21"/>
      <c r="T2933" s="21"/>
      <c r="AA2933"/>
      <c r="AH2933" t="str">
        <f t="shared" si="446"/>
        <v>k yet</v>
      </c>
    </row>
    <row r="2934" spans="1:39">
      <c r="A2934" s="42" t="s">
        <v>266</v>
      </c>
      <c r="B2934" s="40" t="str">
        <f t="shared" si="443"/>
        <v>No pick yet</v>
      </c>
      <c r="C2934" s="40" t="str">
        <f t="shared" si="442"/>
        <v>21-&gt;</v>
      </c>
      <c r="D2934" s="40" t="str">
        <f t="shared" si="444"/>
        <v xml:space="preserve">No pick yet                                                 </v>
      </c>
      <c r="E2934" s="52">
        <f t="shared" si="445"/>
        <v>0</v>
      </c>
      <c r="F2934" s="18"/>
      <c r="M2934" s="18"/>
      <c r="N2934" s="18"/>
      <c r="O2934" s="18"/>
      <c r="P2934" s="18"/>
      <c r="Q2934" s="22"/>
      <c r="R2934" s="21"/>
      <c r="S2934" s="21"/>
      <c r="T2934" s="21"/>
      <c r="AA2934"/>
      <c r="AH2934" t="str">
        <f t="shared" si="446"/>
        <v>k yet</v>
      </c>
    </row>
    <row r="2935" spans="1:39">
      <c r="A2935" s="42" t="s">
        <v>267</v>
      </c>
      <c r="B2935" s="40" t="str">
        <f t="shared" si="443"/>
        <v>No pick yet</v>
      </c>
      <c r="C2935" s="40" t="str">
        <f t="shared" si="442"/>
        <v>22-&gt;</v>
      </c>
      <c r="D2935" s="40" t="str">
        <f t="shared" si="444"/>
        <v xml:space="preserve">No pick yet                                                 </v>
      </c>
      <c r="E2935" s="52">
        <f t="shared" si="445"/>
        <v>0</v>
      </c>
      <c r="F2935" s="18"/>
      <c r="M2935" s="18"/>
      <c r="N2935" s="18"/>
      <c r="O2935" s="18"/>
      <c r="P2935" s="18"/>
      <c r="Q2935" s="22"/>
      <c r="R2935" s="21"/>
      <c r="S2935" s="21"/>
      <c r="T2935" s="21"/>
      <c r="AA2935"/>
      <c r="AH2935" t="str">
        <f t="shared" si="446"/>
        <v>k yet</v>
      </c>
    </row>
    <row r="2936" spans="1:39">
      <c r="A2936" s="42" t="s">
        <v>268</v>
      </c>
      <c r="B2936" s="40" t="str">
        <f t="shared" si="443"/>
        <v>No pick yet</v>
      </c>
      <c r="C2936" s="40" t="str">
        <f t="shared" si="442"/>
        <v>23-&gt;</v>
      </c>
      <c r="D2936" s="40" t="str">
        <f t="shared" si="444"/>
        <v xml:space="preserve">No pick yet                                                 </v>
      </c>
      <c r="E2936" s="52">
        <f t="shared" si="445"/>
        <v>0</v>
      </c>
      <c r="F2936" s="18"/>
      <c r="M2936" s="18"/>
      <c r="N2936" s="18"/>
      <c r="O2936" s="18"/>
      <c r="P2936" s="18"/>
      <c r="Q2936" s="22"/>
      <c r="R2936" s="21"/>
      <c r="S2936" s="21"/>
      <c r="T2936" s="21"/>
      <c r="AA2936"/>
      <c r="AH2936" t="str">
        <f t="shared" si="446"/>
        <v>k yet</v>
      </c>
    </row>
    <row r="2937" spans="1:39">
      <c r="A2937" s="42" t="s">
        <v>269</v>
      </c>
      <c r="B2937" s="40" t="str">
        <f t="shared" si="443"/>
        <v>No pick yet</v>
      </c>
      <c r="C2937" s="40" t="str">
        <f t="shared" si="442"/>
        <v>24-&gt;</v>
      </c>
      <c r="D2937" s="40" t="str">
        <f t="shared" si="444"/>
        <v xml:space="preserve">No pick yet                                                 </v>
      </c>
      <c r="E2937" s="52">
        <f t="shared" si="445"/>
        <v>0</v>
      </c>
      <c r="F2937" s="18"/>
      <c r="M2937" s="18"/>
      <c r="N2937" s="18"/>
      <c r="O2937" s="18"/>
      <c r="P2937" s="18"/>
      <c r="Q2937" s="22"/>
      <c r="R2937" s="21"/>
      <c r="S2937" s="21"/>
      <c r="T2937" s="21"/>
      <c r="AA2937"/>
      <c r="AH2937" t="str">
        <f t="shared" si="446"/>
        <v>k yet</v>
      </c>
    </row>
    <row r="2938" spans="1:39">
      <c r="A2938" s="42" t="s">
        <v>270</v>
      </c>
      <c r="B2938" s="40" t="str">
        <f t="shared" si="443"/>
        <v>No pick yet</v>
      </c>
      <c r="C2938" s="40" t="str">
        <f t="shared" si="442"/>
        <v>25-&gt;</v>
      </c>
      <c r="D2938" s="40" t="str">
        <f t="shared" si="444"/>
        <v xml:space="preserve">No pick yet                                                 </v>
      </c>
      <c r="E2938" s="52">
        <f t="shared" si="445"/>
        <v>0</v>
      </c>
      <c r="F2938" s="18"/>
      <c r="M2938" s="18"/>
      <c r="N2938" s="18"/>
      <c r="O2938" s="18"/>
      <c r="P2938" s="18"/>
      <c r="Q2938" s="22"/>
      <c r="R2938" s="21"/>
      <c r="S2938" s="21"/>
      <c r="T2938" s="21"/>
      <c r="AA2938"/>
      <c r="AH2938" t="str">
        <f t="shared" si="446"/>
        <v>k yet</v>
      </c>
    </row>
    <row r="2939" spans="1:39">
      <c r="A2939" s="42" t="s">
        <v>271</v>
      </c>
      <c r="B2939" s="40" t="str">
        <f t="shared" si="443"/>
        <v>No pick yet</v>
      </c>
      <c r="C2939" s="40" t="str">
        <f t="shared" si="442"/>
        <v>26-&gt;</v>
      </c>
      <c r="D2939" s="40" t="str">
        <f t="shared" si="444"/>
        <v xml:space="preserve">No pick yet                                                 </v>
      </c>
      <c r="E2939" s="52">
        <f t="shared" si="445"/>
        <v>0</v>
      </c>
      <c r="F2939" s="18"/>
      <c r="M2939" s="18"/>
      <c r="N2939" s="18"/>
      <c r="O2939" s="18"/>
      <c r="P2939" s="18"/>
      <c r="Q2939" s="22"/>
      <c r="R2939" s="21"/>
      <c r="S2939" s="21"/>
      <c r="T2939" s="21"/>
      <c r="AA2939"/>
      <c r="AH2939" t="str">
        <f t="shared" si="446"/>
        <v>k yet</v>
      </c>
    </row>
    <row r="2940" spans="1:39">
      <c r="A2940" s="38"/>
      <c r="B2940" s="40"/>
      <c r="C2940" s="40"/>
      <c r="D2940" s="49"/>
      <c r="E2940" s="41" t="s">
        <v>69</v>
      </c>
      <c r="F2940" s="18"/>
      <c r="K2940" s="22" t="s">
        <v>73</v>
      </c>
      <c r="L2940" s="18" t="s">
        <v>74</v>
      </c>
      <c r="M2940" s="22" t="s">
        <v>78</v>
      </c>
      <c r="N2940" s="22" t="s">
        <v>79</v>
      </c>
      <c r="O2940" s="22" t="s">
        <v>80</v>
      </c>
      <c r="P2940" s="22" t="s">
        <v>81</v>
      </c>
      <c r="Q2940" s="22" t="s">
        <v>82</v>
      </c>
      <c r="R2940" s="22" t="s">
        <v>83</v>
      </c>
      <c r="S2940" s="22" t="s">
        <v>84</v>
      </c>
      <c r="T2940" s="18" t="s">
        <v>85</v>
      </c>
      <c r="U2940" s="18" t="s">
        <v>86</v>
      </c>
      <c r="V2940" s="18" t="s">
        <v>87</v>
      </c>
      <c r="W2940" s="18" t="s">
        <v>88</v>
      </c>
      <c r="X2940" s="18" t="s">
        <v>89</v>
      </c>
      <c r="Y2940" s="18" t="s">
        <v>90</v>
      </c>
      <c r="Z2940" s="18" t="s">
        <v>91</v>
      </c>
      <c r="AA2940" s="18" t="s">
        <v>92</v>
      </c>
      <c r="AB2940" s="18" t="s">
        <v>93</v>
      </c>
      <c r="AC2940" s="18" t="s">
        <v>94</v>
      </c>
      <c r="AD2940" s="18" t="s">
        <v>235</v>
      </c>
      <c r="AE2940" s="18" t="s">
        <v>236</v>
      </c>
      <c r="AF2940" s="18" t="s">
        <v>237</v>
      </c>
      <c r="AG2940" s="18" t="s">
        <v>238</v>
      </c>
      <c r="AH2940" s="18" t="s">
        <v>239</v>
      </c>
      <c r="AI2940" s="18" t="s">
        <v>240</v>
      </c>
      <c r="AJ2940" s="18" t="s">
        <v>241</v>
      </c>
      <c r="AK2940" s="18" t="s">
        <v>242</v>
      </c>
      <c r="AL2940" s="18" t="s">
        <v>243</v>
      </c>
      <c r="AM2940" s="50" t="s">
        <v>244</v>
      </c>
    </row>
    <row r="2941" spans="1:39">
      <c r="A2941" s="40" t="s">
        <v>245</v>
      </c>
      <c r="B2941" s="51" t="str">
        <f>D104</f>
        <v/>
      </c>
      <c r="C2941" s="40" t="str">
        <f t="shared" ref="C2941:C2967" si="447">A2941</f>
        <v>#</v>
      </c>
      <c r="D2941" s="40" t="str">
        <f>"   "&amp;B2941&amp;REPT(" ",$AH$70-LEN(B2941)-3)</f>
        <v xml:space="preserve">                                                            </v>
      </c>
      <c r="E2941" s="38" t="str">
        <f>SUM(E2942:E2967)&amp;" pts[/b]"</f>
        <v>0 pts[/b]</v>
      </c>
      <c r="F2941" s="21">
        <f>SUM(E2942:E2967)</f>
        <v>0</v>
      </c>
      <c r="K2941" s="18">
        <f>COUNTIF(E2942:E2967,"&gt;0")</f>
        <v>0</v>
      </c>
      <c r="L2941" s="21">
        <f>AM2941-K2941</f>
        <v>0</v>
      </c>
      <c r="M2941" s="22">
        <f>MAX(E2942:E2967)</f>
        <v>0</v>
      </c>
      <c r="N2941" s="22">
        <f>LARGE(E2942:E2967,2)</f>
        <v>0</v>
      </c>
      <c r="O2941" s="22">
        <f>LARGE(E2942:E2967,3)</f>
        <v>0</v>
      </c>
      <c r="P2941" s="18">
        <f>LARGE(E2942:E2967,4)</f>
        <v>0</v>
      </c>
      <c r="Q2941" s="22">
        <f>LARGE(E2942:E2967,5)</f>
        <v>0</v>
      </c>
      <c r="R2941" s="22">
        <f>LARGE(E2942:E2967,6)</f>
        <v>0</v>
      </c>
      <c r="S2941" s="22">
        <f>LARGE(E2942:E2967,7)</f>
        <v>0</v>
      </c>
      <c r="T2941" s="18">
        <f>LARGE(E2942:E2967,8)</f>
        <v>0</v>
      </c>
      <c r="U2941" s="18">
        <f>LARGE(E2942:E2967,9)</f>
        <v>0</v>
      </c>
      <c r="V2941" s="18">
        <f>LARGE(E2942:E2967,10)</f>
        <v>0</v>
      </c>
      <c r="W2941" s="18">
        <f>LARGE(E2942:E2967,11)</f>
        <v>0</v>
      </c>
      <c r="X2941" s="18">
        <f>LARGE(E2942:E2967,12)</f>
        <v>0</v>
      </c>
      <c r="Y2941" s="18">
        <f>LARGE(E2942:E2967,13)</f>
        <v>0</v>
      </c>
      <c r="Z2941" s="18">
        <f>LARGE(E2942:E2967,14)</f>
        <v>0</v>
      </c>
      <c r="AA2941" s="18">
        <f>LARGE(E2942:E2967,15)</f>
        <v>0</v>
      </c>
      <c r="AB2941" s="18">
        <f>LARGE(E2942:E2967,16)</f>
        <v>0</v>
      </c>
      <c r="AC2941" s="18">
        <f>LARGE(E2942:E2967,17)</f>
        <v>0</v>
      </c>
      <c r="AD2941" s="18">
        <f>LARGE(E2942:E2968,13)</f>
        <v>0</v>
      </c>
      <c r="AE2941" s="18">
        <f>LARGE(E2942:E2967,19)</f>
        <v>0</v>
      </c>
      <c r="AF2941" s="18">
        <f>LARGE(E2942:E2967,20)</f>
        <v>0</v>
      </c>
      <c r="AG2941" s="18">
        <f>LARGE(E2942:E2967,21)</f>
        <v>0</v>
      </c>
      <c r="AH2941" s="18">
        <f>LARGE(E2942:E2967,22)</f>
        <v>0</v>
      </c>
      <c r="AI2941" s="18">
        <f>LARGE(E2942:E2967,23)</f>
        <v>0</v>
      </c>
      <c r="AJ2941" s="18">
        <f>LARGE(E2942:E2967,24)</f>
        <v>0</v>
      </c>
      <c r="AK2941" s="18">
        <f>LARGE(E2942:E2967,25)</f>
        <v>0</v>
      </c>
      <c r="AL2941" s="18">
        <f>LARGE(E2942:E2967,26)</f>
        <v>0</v>
      </c>
      <c r="AM2941" s="50">
        <f>COUNTIF(B2942:B2967,"&lt;&gt;"&amp;AH74)</f>
        <v>0</v>
      </c>
    </row>
    <row r="2942" spans="1:39">
      <c r="A2942" s="42" t="s">
        <v>246</v>
      </c>
      <c r="B2942" s="40" t="str">
        <f t="shared" ref="B2942:B2967" si="448">$AH$74</f>
        <v>No pick yet</v>
      </c>
      <c r="C2942" s="40" t="str">
        <f t="shared" si="447"/>
        <v>01-&gt;</v>
      </c>
      <c r="D2942" s="40" t="str">
        <f t="shared" ref="D2942:D2967" si="449">B2942&amp;REPT(" ",$AH$70-LEN(B2942))</f>
        <v xml:space="preserve">No pick yet                                                 </v>
      </c>
      <c r="E2942" s="52">
        <f t="shared" ref="E2942:E2967" si="450">VLOOKUP(RIGHT(B2942,LEN(B2942)-$AH$66),$H$138:$I$420,2,0)</f>
        <v>0</v>
      </c>
      <c r="F2942" s="18"/>
      <c r="M2942" s="18"/>
      <c r="N2942" s="18"/>
      <c r="O2942" s="18"/>
      <c r="P2942" s="18"/>
      <c r="Q2942" s="22"/>
      <c r="R2942" s="21"/>
      <c r="S2942" s="21"/>
      <c r="T2942" s="21"/>
      <c r="AA2942"/>
      <c r="AH2942" t="str">
        <f t="shared" ref="AH2942:AH2967" si="451">RIGHT(B2942,LEN(B2942)-$AH$66)</f>
        <v>k yet</v>
      </c>
    </row>
    <row r="2943" spans="1:39">
      <c r="A2943" s="42" t="s">
        <v>247</v>
      </c>
      <c r="B2943" s="40" t="str">
        <f t="shared" si="448"/>
        <v>No pick yet</v>
      </c>
      <c r="C2943" s="40" t="str">
        <f t="shared" si="447"/>
        <v>02-&gt;</v>
      </c>
      <c r="D2943" s="40" t="str">
        <f t="shared" si="449"/>
        <v xml:space="preserve">No pick yet                                                 </v>
      </c>
      <c r="E2943" s="52">
        <f t="shared" si="450"/>
        <v>0</v>
      </c>
      <c r="F2943" s="18"/>
      <c r="K2943" s="22"/>
      <c r="N2943" s="22"/>
      <c r="O2943" s="22"/>
      <c r="P2943" s="22"/>
      <c r="Q2943" s="22"/>
      <c r="R2943" s="22"/>
      <c r="S2943" s="22"/>
      <c r="Z2943" s="53"/>
      <c r="AA2943"/>
      <c r="AH2943" t="str">
        <f t="shared" si="451"/>
        <v>k yet</v>
      </c>
    </row>
    <row r="2944" spans="1:39">
      <c r="A2944" s="42" t="s">
        <v>248</v>
      </c>
      <c r="B2944" s="40" t="str">
        <f t="shared" si="448"/>
        <v>No pick yet</v>
      </c>
      <c r="C2944" s="40" t="str">
        <f t="shared" si="447"/>
        <v>03-&gt;</v>
      </c>
      <c r="D2944" s="40" t="str">
        <f t="shared" si="449"/>
        <v xml:space="preserve">No pick yet                                                 </v>
      </c>
      <c r="E2944" s="52">
        <f t="shared" si="450"/>
        <v>0</v>
      </c>
      <c r="F2944" s="18"/>
      <c r="L2944" s="21"/>
      <c r="N2944" s="22"/>
      <c r="O2944" s="22"/>
      <c r="P2944" s="18"/>
      <c r="Q2944" s="22"/>
      <c r="R2944" s="22"/>
      <c r="S2944" s="22"/>
      <c r="Z2944" s="53"/>
      <c r="AA2944"/>
      <c r="AH2944" t="str">
        <f t="shared" si="451"/>
        <v>k yet</v>
      </c>
    </row>
    <row r="2945" spans="1:34">
      <c r="A2945" s="42" t="s">
        <v>249</v>
      </c>
      <c r="B2945" s="40" t="str">
        <f t="shared" si="448"/>
        <v>No pick yet</v>
      </c>
      <c r="C2945" s="40" t="str">
        <f t="shared" si="447"/>
        <v>04-&gt;</v>
      </c>
      <c r="D2945" s="40" t="str">
        <f t="shared" si="449"/>
        <v xml:space="preserve">No pick yet                                                 </v>
      </c>
      <c r="E2945" s="52">
        <f t="shared" si="450"/>
        <v>0</v>
      </c>
      <c r="F2945" s="18"/>
      <c r="M2945" s="18"/>
      <c r="N2945" s="18"/>
      <c r="O2945" s="18"/>
      <c r="P2945" s="18"/>
      <c r="Q2945" s="22"/>
      <c r="R2945" s="21"/>
      <c r="S2945" s="21"/>
      <c r="T2945" s="21"/>
      <c r="AA2945"/>
      <c r="AH2945" t="str">
        <f t="shared" si="451"/>
        <v>k yet</v>
      </c>
    </row>
    <row r="2946" spans="1:34">
      <c r="A2946" s="42" t="s">
        <v>250</v>
      </c>
      <c r="B2946" s="40" t="str">
        <f t="shared" si="448"/>
        <v>No pick yet</v>
      </c>
      <c r="C2946" s="40" t="str">
        <f t="shared" si="447"/>
        <v>05-&gt;</v>
      </c>
      <c r="D2946" s="40" t="str">
        <f t="shared" si="449"/>
        <v xml:space="preserve">No pick yet                                                 </v>
      </c>
      <c r="E2946" s="52">
        <f t="shared" si="450"/>
        <v>0</v>
      </c>
      <c r="F2946" s="18"/>
      <c r="M2946" s="18"/>
      <c r="N2946" s="18"/>
      <c r="O2946" s="18"/>
      <c r="P2946" s="18"/>
      <c r="Q2946" s="22"/>
      <c r="R2946" s="21"/>
      <c r="S2946" s="21"/>
      <c r="T2946" s="21"/>
      <c r="AA2946"/>
      <c r="AH2946" t="str">
        <f t="shared" si="451"/>
        <v>k yet</v>
      </c>
    </row>
    <row r="2947" spans="1:34">
      <c r="A2947" s="42" t="s">
        <v>251</v>
      </c>
      <c r="B2947" s="40" t="str">
        <f t="shared" si="448"/>
        <v>No pick yet</v>
      </c>
      <c r="C2947" s="40" t="str">
        <f t="shared" si="447"/>
        <v>06-&gt;</v>
      </c>
      <c r="D2947" s="40" t="str">
        <f t="shared" si="449"/>
        <v xml:space="preserve">No pick yet                                                 </v>
      </c>
      <c r="E2947" s="52">
        <f t="shared" si="450"/>
        <v>0</v>
      </c>
      <c r="F2947" s="18"/>
      <c r="M2947" s="18"/>
      <c r="N2947" s="18"/>
      <c r="O2947" s="18"/>
      <c r="P2947" s="18"/>
      <c r="Q2947" s="22"/>
      <c r="R2947" s="21"/>
      <c r="S2947" s="21"/>
      <c r="T2947" s="21"/>
      <c r="AA2947"/>
      <c r="AH2947" t="str">
        <f t="shared" si="451"/>
        <v>k yet</v>
      </c>
    </row>
    <row r="2948" spans="1:34">
      <c r="A2948" s="42" t="s">
        <v>252</v>
      </c>
      <c r="B2948" s="40" t="str">
        <f t="shared" si="448"/>
        <v>No pick yet</v>
      </c>
      <c r="C2948" s="40" t="str">
        <f t="shared" si="447"/>
        <v>07-&gt;</v>
      </c>
      <c r="D2948" s="40" t="str">
        <f t="shared" si="449"/>
        <v xml:space="preserve">No pick yet                                                 </v>
      </c>
      <c r="E2948" s="52">
        <f t="shared" si="450"/>
        <v>0</v>
      </c>
      <c r="F2948" s="18"/>
      <c r="M2948" s="18"/>
      <c r="N2948" s="18"/>
      <c r="O2948" s="18"/>
      <c r="P2948" s="18"/>
      <c r="Q2948" s="22"/>
      <c r="R2948" s="21"/>
      <c r="S2948" s="21"/>
      <c r="T2948" s="21"/>
      <c r="AA2948"/>
      <c r="AH2948" t="str">
        <f t="shared" si="451"/>
        <v>k yet</v>
      </c>
    </row>
    <row r="2949" spans="1:34">
      <c r="A2949" s="42" t="s">
        <v>253</v>
      </c>
      <c r="B2949" s="40" t="str">
        <f t="shared" si="448"/>
        <v>No pick yet</v>
      </c>
      <c r="C2949" s="40" t="str">
        <f t="shared" si="447"/>
        <v>08-&gt;</v>
      </c>
      <c r="D2949" s="40" t="str">
        <f t="shared" si="449"/>
        <v xml:space="preserve">No pick yet                                                 </v>
      </c>
      <c r="E2949" s="52">
        <f t="shared" si="450"/>
        <v>0</v>
      </c>
      <c r="F2949" s="18"/>
      <c r="M2949" s="18"/>
      <c r="N2949" s="18"/>
      <c r="O2949" s="18"/>
      <c r="P2949" s="18"/>
      <c r="Q2949" s="22"/>
      <c r="R2949" s="21"/>
      <c r="S2949" s="21"/>
      <c r="T2949" s="21"/>
      <c r="AA2949"/>
      <c r="AH2949" t="str">
        <f t="shared" si="451"/>
        <v>k yet</v>
      </c>
    </row>
    <row r="2950" spans="1:34">
      <c r="A2950" s="42" t="s">
        <v>254</v>
      </c>
      <c r="B2950" s="40" t="str">
        <f t="shared" si="448"/>
        <v>No pick yet</v>
      </c>
      <c r="C2950" s="40" t="str">
        <f t="shared" si="447"/>
        <v>09-&gt;</v>
      </c>
      <c r="D2950" s="40" t="str">
        <f t="shared" si="449"/>
        <v xml:space="preserve">No pick yet                                                 </v>
      </c>
      <c r="E2950" s="52">
        <f t="shared" si="450"/>
        <v>0</v>
      </c>
      <c r="F2950" s="18"/>
      <c r="M2950" s="18"/>
      <c r="N2950" s="18"/>
      <c r="O2950" s="18"/>
      <c r="P2950" s="18"/>
      <c r="Q2950" s="22"/>
      <c r="R2950" s="21"/>
      <c r="S2950" s="21"/>
      <c r="T2950" s="21"/>
      <c r="AA2950"/>
      <c r="AH2950" t="str">
        <f t="shared" si="451"/>
        <v>k yet</v>
      </c>
    </row>
    <row r="2951" spans="1:34">
      <c r="A2951" s="42" t="s">
        <v>255</v>
      </c>
      <c r="B2951" s="40" t="str">
        <f t="shared" si="448"/>
        <v>No pick yet</v>
      </c>
      <c r="C2951" s="40" t="str">
        <f t="shared" si="447"/>
        <v>10-&gt;</v>
      </c>
      <c r="D2951" s="40" t="str">
        <f t="shared" si="449"/>
        <v xml:space="preserve">No pick yet                                                 </v>
      </c>
      <c r="E2951" s="52">
        <f t="shared" si="450"/>
        <v>0</v>
      </c>
      <c r="F2951" s="22"/>
      <c r="M2951" s="18"/>
      <c r="N2951" s="18"/>
      <c r="O2951" s="18"/>
      <c r="P2951" s="18"/>
      <c r="Q2951" s="22"/>
      <c r="R2951" s="21"/>
      <c r="S2951" s="21"/>
      <c r="T2951" s="21"/>
      <c r="AA2951"/>
      <c r="AH2951" t="str">
        <f t="shared" si="451"/>
        <v>k yet</v>
      </c>
    </row>
    <row r="2952" spans="1:34">
      <c r="A2952" s="42" t="s">
        <v>256</v>
      </c>
      <c r="B2952" s="40" t="str">
        <f t="shared" si="448"/>
        <v>No pick yet</v>
      </c>
      <c r="C2952" s="40" t="str">
        <f t="shared" si="447"/>
        <v>11-&gt;</v>
      </c>
      <c r="D2952" s="40" t="str">
        <f t="shared" si="449"/>
        <v xml:space="preserve">No pick yet                                                 </v>
      </c>
      <c r="E2952" s="52">
        <f t="shared" si="450"/>
        <v>0</v>
      </c>
      <c r="M2952" s="18"/>
      <c r="N2952" s="18"/>
      <c r="O2952" s="18"/>
      <c r="P2952" s="18"/>
      <c r="Q2952" s="22"/>
      <c r="R2952" s="21"/>
      <c r="S2952" s="21"/>
      <c r="T2952" s="21"/>
      <c r="AA2952"/>
      <c r="AH2952" t="str">
        <f t="shared" si="451"/>
        <v>k yet</v>
      </c>
    </row>
    <row r="2953" spans="1:34">
      <c r="A2953" s="42" t="s">
        <v>257</v>
      </c>
      <c r="B2953" s="40" t="str">
        <f t="shared" si="448"/>
        <v>No pick yet</v>
      </c>
      <c r="C2953" s="40" t="str">
        <f t="shared" si="447"/>
        <v>12-&gt;</v>
      </c>
      <c r="D2953" s="40" t="str">
        <f t="shared" si="449"/>
        <v xml:space="preserve">No pick yet                                                 </v>
      </c>
      <c r="E2953" s="52">
        <f t="shared" si="450"/>
        <v>0</v>
      </c>
      <c r="M2953" s="18"/>
      <c r="N2953" s="18"/>
      <c r="O2953" s="18"/>
      <c r="P2953" s="18"/>
      <c r="Q2953" s="22"/>
      <c r="R2953" s="21"/>
      <c r="S2953" s="21"/>
      <c r="T2953" s="21"/>
      <c r="AA2953"/>
      <c r="AH2953" t="str">
        <f t="shared" si="451"/>
        <v>k yet</v>
      </c>
    </row>
    <row r="2954" spans="1:34">
      <c r="A2954" s="42" t="s">
        <v>258</v>
      </c>
      <c r="B2954" s="40" t="str">
        <f t="shared" si="448"/>
        <v>No pick yet</v>
      </c>
      <c r="C2954" s="40" t="str">
        <f t="shared" si="447"/>
        <v>13-&gt;</v>
      </c>
      <c r="D2954" s="40" t="str">
        <f t="shared" si="449"/>
        <v xml:space="preserve">No pick yet                                                 </v>
      </c>
      <c r="E2954" s="52">
        <f t="shared" si="450"/>
        <v>0</v>
      </c>
      <c r="M2954" s="18"/>
      <c r="N2954" s="18"/>
      <c r="O2954" s="18"/>
      <c r="P2954" s="18"/>
      <c r="Q2954" s="22"/>
      <c r="R2954" s="21"/>
      <c r="S2954" s="21"/>
      <c r="T2954" s="21"/>
      <c r="AA2954"/>
      <c r="AH2954" t="str">
        <f t="shared" si="451"/>
        <v>k yet</v>
      </c>
    </row>
    <row r="2955" spans="1:34">
      <c r="A2955" s="42" t="s">
        <v>259</v>
      </c>
      <c r="B2955" s="40" t="str">
        <f t="shared" si="448"/>
        <v>No pick yet</v>
      </c>
      <c r="C2955" s="40" t="str">
        <f t="shared" si="447"/>
        <v>14-&gt;</v>
      </c>
      <c r="D2955" s="40" t="str">
        <f t="shared" si="449"/>
        <v xml:space="preserve">No pick yet                                                 </v>
      </c>
      <c r="E2955" s="52">
        <f t="shared" si="450"/>
        <v>0</v>
      </c>
      <c r="M2955" s="18"/>
      <c r="N2955" s="18"/>
      <c r="O2955" s="18"/>
      <c r="P2955" s="18"/>
      <c r="Q2955" s="22"/>
      <c r="R2955" s="21"/>
      <c r="S2955" s="21"/>
      <c r="T2955" s="21"/>
      <c r="AA2955"/>
      <c r="AH2955" t="str">
        <f t="shared" si="451"/>
        <v>k yet</v>
      </c>
    </row>
    <row r="2956" spans="1:34">
      <c r="A2956" s="42" t="s">
        <v>260</v>
      </c>
      <c r="B2956" s="40" t="str">
        <f t="shared" si="448"/>
        <v>No pick yet</v>
      </c>
      <c r="C2956" s="40" t="str">
        <f t="shared" si="447"/>
        <v>15-&gt;</v>
      </c>
      <c r="D2956" s="40" t="str">
        <f t="shared" si="449"/>
        <v xml:space="preserve">No pick yet                                                 </v>
      </c>
      <c r="E2956" s="52">
        <f t="shared" si="450"/>
        <v>0</v>
      </c>
      <c r="M2956" s="18"/>
      <c r="N2956" s="18"/>
      <c r="O2956" s="18"/>
      <c r="P2956" s="18"/>
      <c r="Q2956" s="22"/>
      <c r="R2956" s="21"/>
      <c r="S2956" s="21"/>
      <c r="T2956" s="21"/>
      <c r="AA2956"/>
      <c r="AH2956" t="str">
        <f t="shared" si="451"/>
        <v>k yet</v>
      </c>
    </row>
    <row r="2957" spans="1:34">
      <c r="A2957" s="42" t="s">
        <v>261</v>
      </c>
      <c r="B2957" s="40" t="str">
        <f t="shared" si="448"/>
        <v>No pick yet</v>
      </c>
      <c r="C2957" s="40" t="str">
        <f t="shared" si="447"/>
        <v>16-&gt;</v>
      </c>
      <c r="D2957" s="40" t="str">
        <f t="shared" si="449"/>
        <v xml:space="preserve">No pick yet                                                 </v>
      </c>
      <c r="E2957" s="52">
        <f t="shared" si="450"/>
        <v>0</v>
      </c>
      <c r="M2957" s="18"/>
      <c r="N2957" s="18"/>
      <c r="O2957" s="18"/>
      <c r="P2957" s="18"/>
      <c r="Q2957" s="22"/>
      <c r="R2957" s="21"/>
      <c r="S2957" s="21"/>
      <c r="T2957" s="21"/>
      <c r="AA2957"/>
      <c r="AH2957" t="str">
        <f t="shared" si="451"/>
        <v>k yet</v>
      </c>
    </row>
    <row r="2958" spans="1:34">
      <c r="A2958" s="42" t="s">
        <v>262</v>
      </c>
      <c r="B2958" s="40" t="str">
        <f t="shared" si="448"/>
        <v>No pick yet</v>
      </c>
      <c r="C2958" s="40" t="str">
        <f t="shared" si="447"/>
        <v>17-&gt;</v>
      </c>
      <c r="D2958" s="40" t="str">
        <f t="shared" si="449"/>
        <v xml:space="preserve">No pick yet                                                 </v>
      </c>
      <c r="E2958" s="52">
        <f t="shared" si="450"/>
        <v>0</v>
      </c>
      <c r="K2958" s="22"/>
      <c r="N2958" s="22"/>
      <c r="O2958" s="22"/>
      <c r="P2958" s="22"/>
      <c r="Q2958" s="22"/>
      <c r="R2958" s="22"/>
      <c r="S2958" s="22"/>
      <c r="Z2958" s="53"/>
      <c r="AA2958"/>
      <c r="AH2958" t="str">
        <f t="shared" si="451"/>
        <v>k yet</v>
      </c>
    </row>
    <row r="2959" spans="1:34">
      <c r="A2959" s="42" t="s">
        <v>263</v>
      </c>
      <c r="B2959" s="40" t="str">
        <f t="shared" si="448"/>
        <v>No pick yet</v>
      </c>
      <c r="C2959" s="40" t="str">
        <f t="shared" si="447"/>
        <v>18-&gt;</v>
      </c>
      <c r="D2959" s="40" t="str">
        <f t="shared" si="449"/>
        <v xml:space="preserve">No pick yet                                                 </v>
      </c>
      <c r="E2959" s="52">
        <f t="shared" si="450"/>
        <v>0</v>
      </c>
      <c r="F2959" s="18"/>
      <c r="L2959" s="21"/>
      <c r="N2959" s="22"/>
      <c r="O2959" s="22"/>
      <c r="P2959" s="18"/>
      <c r="Q2959" s="22"/>
      <c r="R2959" s="22"/>
      <c r="S2959" s="22"/>
      <c r="Z2959" s="53"/>
      <c r="AA2959"/>
      <c r="AH2959" t="str">
        <f t="shared" si="451"/>
        <v>k yet</v>
      </c>
    </row>
    <row r="2960" spans="1:34">
      <c r="A2960" s="42" t="s">
        <v>264</v>
      </c>
      <c r="B2960" s="40" t="str">
        <f t="shared" si="448"/>
        <v>No pick yet</v>
      </c>
      <c r="C2960" s="40" t="str">
        <f t="shared" si="447"/>
        <v>19-&gt;</v>
      </c>
      <c r="D2960" s="40" t="str">
        <f t="shared" si="449"/>
        <v xml:space="preserve">No pick yet                                                 </v>
      </c>
      <c r="E2960" s="52">
        <f t="shared" si="450"/>
        <v>0</v>
      </c>
      <c r="F2960" s="18"/>
      <c r="M2960" s="18"/>
      <c r="N2960" s="18"/>
      <c r="O2960" s="18"/>
      <c r="P2960" s="18"/>
      <c r="Q2960" s="22"/>
      <c r="R2960" s="21"/>
      <c r="S2960" s="21"/>
      <c r="T2960" s="21"/>
      <c r="AA2960"/>
      <c r="AH2960" t="str">
        <f t="shared" si="451"/>
        <v>k yet</v>
      </c>
    </row>
    <row r="2961" spans="1:39">
      <c r="A2961" s="42" t="s">
        <v>265</v>
      </c>
      <c r="B2961" s="40" t="str">
        <f t="shared" si="448"/>
        <v>No pick yet</v>
      </c>
      <c r="C2961" s="40" t="str">
        <f t="shared" si="447"/>
        <v>20-&gt;</v>
      </c>
      <c r="D2961" s="40" t="str">
        <f t="shared" si="449"/>
        <v xml:space="preserve">No pick yet                                                 </v>
      </c>
      <c r="E2961" s="52">
        <f t="shared" si="450"/>
        <v>0</v>
      </c>
      <c r="F2961" s="18"/>
      <c r="M2961" s="18"/>
      <c r="N2961" s="18"/>
      <c r="O2961" s="18"/>
      <c r="P2961" s="18"/>
      <c r="Q2961" s="22"/>
      <c r="R2961" s="21"/>
      <c r="S2961" s="21"/>
      <c r="T2961" s="21"/>
      <c r="AA2961"/>
      <c r="AH2961" t="str">
        <f t="shared" si="451"/>
        <v>k yet</v>
      </c>
    </row>
    <row r="2962" spans="1:39">
      <c r="A2962" s="42" t="s">
        <v>266</v>
      </c>
      <c r="B2962" s="40" t="str">
        <f t="shared" si="448"/>
        <v>No pick yet</v>
      </c>
      <c r="C2962" s="40" t="str">
        <f t="shared" si="447"/>
        <v>21-&gt;</v>
      </c>
      <c r="D2962" s="40" t="str">
        <f t="shared" si="449"/>
        <v xml:space="preserve">No pick yet                                                 </v>
      </c>
      <c r="E2962" s="52">
        <f t="shared" si="450"/>
        <v>0</v>
      </c>
      <c r="F2962" s="18"/>
      <c r="M2962" s="18"/>
      <c r="N2962" s="18"/>
      <c r="O2962" s="18"/>
      <c r="P2962" s="18"/>
      <c r="Q2962" s="22"/>
      <c r="R2962" s="21"/>
      <c r="S2962" s="21"/>
      <c r="T2962" s="21"/>
      <c r="AA2962"/>
      <c r="AH2962" t="str">
        <f t="shared" si="451"/>
        <v>k yet</v>
      </c>
    </row>
    <row r="2963" spans="1:39">
      <c r="A2963" s="42" t="s">
        <v>267</v>
      </c>
      <c r="B2963" s="40" t="str">
        <f t="shared" si="448"/>
        <v>No pick yet</v>
      </c>
      <c r="C2963" s="40" t="str">
        <f t="shared" si="447"/>
        <v>22-&gt;</v>
      </c>
      <c r="D2963" s="40" t="str">
        <f t="shared" si="449"/>
        <v xml:space="preserve">No pick yet                                                 </v>
      </c>
      <c r="E2963" s="52">
        <f t="shared" si="450"/>
        <v>0</v>
      </c>
      <c r="F2963" s="18"/>
      <c r="M2963" s="18"/>
      <c r="N2963" s="18"/>
      <c r="O2963" s="18"/>
      <c r="P2963" s="18"/>
      <c r="Q2963" s="22"/>
      <c r="R2963" s="21"/>
      <c r="S2963" s="21"/>
      <c r="T2963" s="21"/>
      <c r="AA2963"/>
      <c r="AH2963" t="str">
        <f t="shared" si="451"/>
        <v>k yet</v>
      </c>
    </row>
    <row r="2964" spans="1:39">
      <c r="A2964" s="42" t="s">
        <v>268</v>
      </c>
      <c r="B2964" s="40" t="str">
        <f t="shared" si="448"/>
        <v>No pick yet</v>
      </c>
      <c r="C2964" s="40" t="str">
        <f t="shared" si="447"/>
        <v>23-&gt;</v>
      </c>
      <c r="D2964" s="40" t="str">
        <f t="shared" si="449"/>
        <v xml:space="preserve">No pick yet                                                 </v>
      </c>
      <c r="E2964" s="52">
        <f t="shared" si="450"/>
        <v>0</v>
      </c>
      <c r="F2964" s="18"/>
      <c r="M2964" s="18"/>
      <c r="N2964" s="18"/>
      <c r="O2964" s="18"/>
      <c r="P2964" s="18"/>
      <c r="Q2964" s="22"/>
      <c r="R2964" s="21"/>
      <c r="S2964" s="21"/>
      <c r="T2964" s="21"/>
      <c r="AA2964"/>
      <c r="AH2964" t="str">
        <f t="shared" si="451"/>
        <v>k yet</v>
      </c>
    </row>
    <row r="2965" spans="1:39">
      <c r="A2965" s="42" t="s">
        <v>269</v>
      </c>
      <c r="B2965" s="40" t="str">
        <f t="shared" si="448"/>
        <v>No pick yet</v>
      </c>
      <c r="C2965" s="40" t="str">
        <f t="shared" si="447"/>
        <v>24-&gt;</v>
      </c>
      <c r="D2965" s="40" t="str">
        <f t="shared" si="449"/>
        <v xml:space="preserve">No pick yet                                                 </v>
      </c>
      <c r="E2965" s="52">
        <f t="shared" si="450"/>
        <v>0</v>
      </c>
      <c r="F2965" s="18"/>
      <c r="M2965" s="18"/>
      <c r="N2965" s="18"/>
      <c r="O2965" s="18"/>
      <c r="P2965" s="18"/>
      <c r="Q2965" s="22"/>
      <c r="R2965" s="21"/>
      <c r="S2965" s="21"/>
      <c r="T2965" s="21"/>
      <c r="AA2965"/>
      <c r="AH2965" t="str">
        <f t="shared" si="451"/>
        <v>k yet</v>
      </c>
    </row>
    <row r="2966" spans="1:39">
      <c r="A2966" s="42" t="s">
        <v>270</v>
      </c>
      <c r="B2966" s="40" t="str">
        <f t="shared" si="448"/>
        <v>No pick yet</v>
      </c>
      <c r="C2966" s="40" t="str">
        <f t="shared" si="447"/>
        <v>25-&gt;</v>
      </c>
      <c r="D2966" s="40" t="str">
        <f t="shared" si="449"/>
        <v xml:space="preserve">No pick yet                                                 </v>
      </c>
      <c r="E2966" s="52">
        <f t="shared" si="450"/>
        <v>0</v>
      </c>
      <c r="F2966" s="18"/>
      <c r="M2966" s="18"/>
      <c r="N2966" s="18"/>
      <c r="O2966" s="18"/>
      <c r="P2966" s="18"/>
      <c r="Q2966" s="22"/>
      <c r="R2966" s="21"/>
      <c r="S2966" s="21"/>
      <c r="T2966" s="21"/>
      <c r="AA2966"/>
      <c r="AH2966" t="str">
        <f t="shared" si="451"/>
        <v>k yet</v>
      </c>
    </row>
    <row r="2967" spans="1:39">
      <c r="A2967" s="42" t="s">
        <v>271</v>
      </c>
      <c r="B2967" s="40" t="str">
        <f t="shared" si="448"/>
        <v>No pick yet</v>
      </c>
      <c r="C2967" s="40" t="str">
        <f t="shared" si="447"/>
        <v>26-&gt;</v>
      </c>
      <c r="D2967" s="40" t="str">
        <f t="shared" si="449"/>
        <v xml:space="preserve">No pick yet                                                 </v>
      </c>
      <c r="E2967" s="52">
        <f t="shared" si="450"/>
        <v>0</v>
      </c>
      <c r="F2967" s="18"/>
      <c r="M2967" s="18"/>
      <c r="N2967" s="18"/>
      <c r="O2967" s="18"/>
      <c r="P2967" s="18"/>
      <c r="Q2967" s="22"/>
      <c r="R2967" s="21"/>
      <c r="S2967" s="21"/>
      <c r="T2967" s="21"/>
      <c r="AA2967"/>
      <c r="AH2967" t="str">
        <f t="shared" si="451"/>
        <v>k yet</v>
      </c>
    </row>
    <row r="2968" spans="1:39">
      <c r="A2968" s="38"/>
      <c r="B2968" s="40"/>
      <c r="C2968" s="40"/>
      <c r="D2968" s="49"/>
      <c r="E2968" s="41" t="s">
        <v>69</v>
      </c>
      <c r="F2968" s="18"/>
      <c r="K2968" s="22" t="s">
        <v>73</v>
      </c>
      <c r="L2968" s="18" t="s">
        <v>74</v>
      </c>
      <c r="M2968" s="22" t="s">
        <v>78</v>
      </c>
      <c r="N2968" s="22" t="s">
        <v>79</v>
      </c>
      <c r="O2968" s="22" t="s">
        <v>80</v>
      </c>
      <c r="P2968" s="22" t="s">
        <v>81</v>
      </c>
      <c r="Q2968" s="22" t="s">
        <v>82</v>
      </c>
      <c r="R2968" s="22" t="s">
        <v>83</v>
      </c>
      <c r="S2968" s="22" t="s">
        <v>84</v>
      </c>
      <c r="T2968" s="18" t="s">
        <v>85</v>
      </c>
      <c r="U2968" s="18" t="s">
        <v>86</v>
      </c>
      <c r="V2968" s="18" t="s">
        <v>87</v>
      </c>
      <c r="W2968" s="18" t="s">
        <v>88</v>
      </c>
      <c r="X2968" s="18" t="s">
        <v>89</v>
      </c>
      <c r="Y2968" s="18" t="s">
        <v>90</v>
      </c>
      <c r="Z2968" s="18" t="s">
        <v>91</v>
      </c>
      <c r="AA2968" s="18" t="s">
        <v>92</v>
      </c>
      <c r="AB2968" s="18" t="s">
        <v>93</v>
      </c>
      <c r="AC2968" s="18" t="s">
        <v>94</v>
      </c>
      <c r="AD2968" s="18" t="s">
        <v>235</v>
      </c>
      <c r="AE2968" s="18" t="s">
        <v>236</v>
      </c>
      <c r="AF2968" s="18" t="s">
        <v>237</v>
      </c>
      <c r="AG2968" s="18" t="s">
        <v>238</v>
      </c>
      <c r="AH2968" s="18" t="s">
        <v>239</v>
      </c>
      <c r="AI2968" s="18" t="s">
        <v>240</v>
      </c>
      <c r="AJ2968" s="18" t="s">
        <v>241</v>
      </c>
      <c r="AK2968" s="18" t="s">
        <v>242</v>
      </c>
      <c r="AL2968" s="18" t="s">
        <v>243</v>
      </c>
      <c r="AM2968" s="50" t="s">
        <v>244</v>
      </c>
    </row>
    <row r="2969" spans="1:39">
      <c r="A2969" s="40" t="s">
        <v>245</v>
      </c>
      <c r="B2969" s="51" t="str">
        <f>D105</f>
        <v/>
      </c>
      <c r="C2969" s="40" t="str">
        <f t="shared" ref="C2969:C2995" si="452">A2969</f>
        <v>#</v>
      </c>
      <c r="D2969" s="40" t="str">
        <f>"   "&amp;B2969&amp;REPT(" ",$AH$70-LEN(B2969)-3)</f>
        <v xml:space="preserve">                                                            </v>
      </c>
      <c r="E2969" s="38" t="str">
        <f>SUM(E2970:E2995)&amp;" pts[/b]"</f>
        <v>0 pts[/b]</v>
      </c>
      <c r="F2969" s="21">
        <f>SUM(E2970:E2995)</f>
        <v>0</v>
      </c>
      <c r="K2969" s="18">
        <f>COUNTIF(E2970:E2995,"&gt;0")</f>
        <v>0</v>
      </c>
      <c r="L2969" s="21">
        <f>AM2969-K2969</f>
        <v>0</v>
      </c>
      <c r="M2969" s="22">
        <f>MAX(E2970:E2995)</f>
        <v>0</v>
      </c>
      <c r="N2969" s="22">
        <f>LARGE(E2970:E2995,2)</f>
        <v>0</v>
      </c>
      <c r="O2969" s="22">
        <f>LARGE(E2970:E2995,3)</f>
        <v>0</v>
      </c>
      <c r="P2969" s="18">
        <f>LARGE(E2970:E2995,4)</f>
        <v>0</v>
      </c>
      <c r="Q2969" s="22">
        <f>LARGE(E2970:E2995,5)</f>
        <v>0</v>
      </c>
      <c r="R2969" s="22">
        <f>LARGE(E2970:E2995,6)</f>
        <v>0</v>
      </c>
      <c r="S2969" s="22">
        <f>LARGE(E2970:E2995,7)</f>
        <v>0</v>
      </c>
      <c r="T2969" s="18">
        <f>LARGE(E2970:E2995,8)</f>
        <v>0</v>
      </c>
      <c r="U2969" s="18">
        <f>LARGE(E2970:E2995,9)</f>
        <v>0</v>
      </c>
      <c r="V2969" s="18">
        <f>LARGE(E2970:E2995,10)</f>
        <v>0</v>
      </c>
      <c r="W2969" s="18">
        <f>LARGE(E2970:E2995,11)</f>
        <v>0</v>
      </c>
      <c r="X2969" s="18">
        <f>LARGE(E2970:E2995,12)</f>
        <v>0</v>
      </c>
      <c r="Y2969" s="18">
        <f>LARGE(E2970:E2995,13)</f>
        <v>0</v>
      </c>
      <c r="Z2969" s="18">
        <f>LARGE(E2970:E2995,14)</f>
        <v>0</v>
      </c>
      <c r="AA2969" s="18">
        <f>LARGE(E2970:E2995,15)</f>
        <v>0</v>
      </c>
      <c r="AB2969" s="18">
        <f>LARGE(E2970:E2995,16)</f>
        <v>0</v>
      </c>
      <c r="AC2969" s="18">
        <f>LARGE(E2970:E2995,17)</f>
        <v>0</v>
      </c>
      <c r="AD2969" s="18">
        <f>LARGE(E2970:E2996,13)</f>
        <v>0</v>
      </c>
      <c r="AE2969" s="18">
        <f>LARGE(E2970:E2995,19)</f>
        <v>0</v>
      </c>
      <c r="AF2969" s="18">
        <f>LARGE(E2970:E2995,20)</f>
        <v>0</v>
      </c>
      <c r="AG2969" s="18">
        <f>LARGE(E2970:E2995,21)</f>
        <v>0</v>
      </c>
      <c r="AH2969" s="18">
        <f>LARGE(E2970:E2995,22)</f>
        <v>0</v>
      </c>
      <c r="AI2969" s="18">
        <f>LARGE(E2970:E2995,23)</f>
        <v>0</v>
      </c>
      <c r="AJ2969" s="18">
        <f>LARGE(E2970:E2995,24)</f>
        <v>0</v>
      </c>
      <c r="AK2969" s="18">
        <f>LARGE(E2970:E2995,25)</f>
        <v>0</v>
      </c>
      <c r="AL2969" s="18">
        <f>LARGE(E2970:E2995,26)</f>
        <v>0</v>
      </c>
      <c r="AM2969" s="50">
        <f>COUNTIF(B2970:B2995,"&lt;&gt;"&amp;AH74)</f>
        <v>0</v>
      </c>
    </row>
    <row r="2970" spans="1:39">
      <c r="A2970" s="42" t="s">
        <v>246</v>
      </c>
      <c r="B2970" s="40" t="str">
        <f t="shared" ref="B2970:B2995" si="453">$AH$74</f>
        <v>No pick yet</v>
      </c>
      <c r="C2970" s="40" t="str">
        <f t="shared" si="452"/>
        <v>01-&gt;</v>
      </c>
      <c r="D2970" s="40" t="str">
        <f t="shared" ref="D2970:D2995" si="454">B2970&amp;REPT(" ",$AH$70-LEN(B2970))</f>
        <v xml:space="preserve">No pick yet                                                 </v>
      </c>
      <c r="E2970" s="52">
        <f t="shared" ref="E2970:E2995" si="455">VLOOKUP(RIGHT(B2970,LEN(B2970)-$AH$66),$H$138:$I$420,2,0)</f>
        <v>0</v>
      </c>
      <c r="F2970" s="18"/>
      <c r="M2970" s="18"/>
      <c r="N2970" s="18"/>
      <c r="O2970" s="18"/>
      <c r="P2970" s="18"/>
      <c r="Q2970" s="22"/>
      <c r="R2970" s="21"/>
      <c r="S2970" s="21"/>
      <c r="T2970" s="21"/>
      <c r="AA2970"/>
      <c r="AH2970" t="str">
        <f t="shared" ref="AH2970:AH2995" si="456">RIGHT(B2970,LEN(B2970)-$AH$66)</f>
        <v>k yet</v>
      </c>
    </row>
    <row r="2971" spans="1:39">
      <c r="A2971" s="42" t="s">
        <v>247</v>
      </c>
      <c r="B2971" s="40" t="str">
        <f t="shared" si="453"/>
        <v>No pick yet</v>
      </c>
      <c r="C2971" s="40" t="str">
        <f t="shared" si="452"/>
        <v>02-&gt;</v>
      </c>
      <c r="D2971" s="40" t="str">
        <f t="shared" si="454"/>
        <v xml:space="preserve">No pick yet                                                 </v>
      </c>
      <c r="E2971" s="52">
        <f t="shared" si="455"/>
        <v>0</v>
      </c>
      <c r="F2971" s="18"/>
      <c r="K2971" s="22"/>
      <c r="N2971" s="22"/>
      <c r="O2971" s="22"/>
      <c r="P2971" s="22"/>
      <c r="Q2971" s="22"/>
      <c r="R2971" s="22"/>
      <c r="S2971" s="22"/>
      <c r="Z2971" s="53"/>
      <c r="AA2971"/>
      <c r="AH2971" t="str">
        <f t="shared" si="456"/>
        <v>k yet</v>
      </c>
    </row>
    <row r="2972" spans="1:39">
      <c r="A2972" s="42" t="s">
        <v>248</v>
      </c>
      <c r="B2972" s="40" t="str">
        <f t="shared" si="453"/>
        <v>No pick yet</v>
      </c>
      <c r="C2972" s="40" t="str">
        <f t="shared" si="452"/>
        <v>03-&gt;</v>
      </c>
      <c r="D2972" s="40" t="str">
        <f t="shared" si="454"/>
        <v xml:space="preserve">No pick yet                                                 </v>
      </c>
      <c r="E2972" s="52">
        <f t="shared" si="455"/>
        <v>0</v>
      </c>
      <c r="F2972" s="18"/>
      <c r="L2972" s="21"/>
      <c r="N2972" s="22"/>
      <c r="O2972" s="22"/>
      <c r="P2972" s="18"/>
      <c r="Q2972" s="22"/>
      <c r="R2972" s="22"/>
      <c r="S2972" s="22"/>
      <c r="Z2972" s="53"/>
      <c r="AA2972"/>
      <c r="AH2972" t="str">
        <f t="shared" si="456"/>
        <v>k yet</v>
      </c>
    </row>
    <row r="2973" spans="1:39">
      <c r="A2973" s="42" t="s">
        <v>249</v>
      </c>
      <c r="B2973" s="40" t="str">
        <f t="shared" si="453"/>
        <v>No pick yet</v>
      </c>
      <c r="C2973" s="40" t="str">
        <f t="shared" si="452"/>
        <v>04-&gt;</v>
      </c>
      <c r="D2973" s="40" t="str">
        <f t="shared" si="454"/>
        <v xml:space="preserve">No pick yet                                                 </v>
      </c>
      <c r="E2973" s="52">
        <f t="shared" si="455"/>
        <v>0</v>
      </c>
      <c r="F2973" s="18"/>
      <c r="M2973" s="18"/>
      <c r="N2973" s="18"/>
      <c r="O2973" s="18"/>
      <c r="P2973" s="18"/>
      <c r="Q2973" s="22"/>
      <c r="R2973" s="21"/>
      <c r="S2973" s="21"/>
      <c r="T2973" s="21"/>
      <c r="AA2973"/>
      <c r="AH2973" t="str">
        <f t="shared" si="456"/>
        <v>k yet</v>
      </c>
    </row>
    <row r="2974" spans="1:39">
      <c r="A2974" s="42" t="s">
        <v>250</v>
      </c>
      <c r="B2974" s="40" t="str">
        <f t="shared" si="453"/>
        <v>No pick yet</v>
      </c>
      <c r="C2974" s="40" t="str">
        <f t="shared" si="452"/>
        <v>05-&gt;</v>
      </c>
      <c r="D2974" s="40" t="str">
        <f t="shared" si="454"/>
        <v xml:space="preserve">No pick yet                                                 </v>
      </c>
      <c r="E2974" s="52">
        <f t="shared" si="455"/>
        <v>0</v>
      </c>
      <c r="F2974" s="18"/>
      <c r="M2974" s="18"/>
      <c r="N2974" s="18"/>
      <c r="O2974" s="18"/>
      <c r="P2974" s="18"/>
      <c r="Q2974" s="22"/>
      <c r="R2974" s="21"/>
      <c r="S2974" s="21"/>
      <c r="T2974" s="21"/>
      <c r="AA2974"/>
      <c r="AH2974" t="str">
        <f t="shared" si="456"/>
        <v>k yet</v>
      </c>
    </row>
    <row r="2975" spans="1:39">
      <c r="A2975" s="42" t="s">
        <v>251</v>
      </c>
      <c r="B2975" s="40" t="str">
        <f t="shared" si="453"/>
        <v>No pick yet</v>
      </c>
      <c r="C2975" s="40" t="str">
        <f t="shared" si="452"/>
        <v>06-&gt;</v>
      </c>
      <c r="D2975" s="40" t="str">
        <f t="shared" si="454"/>
        <v xml:space="preserve">No pick yet                                                 </v>
      </c>
      <c r="E2975" s="52">
        <f t="shared" si="455"/>
        <v>0</v>
      </c>
      <c r="F2975" s="18"/>
      <c r="M2975" s="18"/>
      <c r="N2975" s="18"/>
      <c r="O2975" s="18"/>
      <c r="P2975" s="18"/>
      <c r="Q2975" s="22"/>
      <c r="R2975" s="21"/>
      <c r="S2975" s="21"/>
      <c r="T2975" s="21"/>
      <c r="AA2975"/>
      <c r="AH2975" t="str">
        <f t="shared" si="456"/>
        <v>k yet</v>
      </c>
    </row>
    <row r="2976" spans="1:39">
      <c r="A2976" s="42" t="s">
        <v>252</v>
      </c>
      <c r="B2976" s="40" t="str">
        <f t="shared" si="453"/>
        <v>No pick yet</v>
      </c>
      <c r="C2976" s="40" t="str">
        <f t="shared" si="452"/>
        <v>07-&gt;</v>
      </c>
      <c r="D2976" s="40" t="str">
        <f t="shared" si="454"/>
        <v xml:space="preserve">No pick yet                                                 </v>
      </c>
      <c r="E2976" s="52">
        <f t="shared" si="455"/>
        <v>0</v>
      </c>
      <c r="F2976" s="18"/>
      <c r="M2976" s="18"/>
      <c r="N2976" s="18"/>
      <c r="O2976" s="18"/>
      <c r="P2976" s="18"/>
      <c r="Q2976" s="22"/>
      <c r="R2976" s="21"/>
      <c r="S2976" s="21"/>
      <c r="T2976" s="21"/>
      <c r="AA2976"/>
      <c r="AH2976" t="str">
        <f t="shared" si="456"/>
        <v>k yet</v>
      </c>
    </row>
    <row r="2977" spans="1:34">
      <c r="A2977" s="42" t="s">
        <v>253</v>
      </c>
      <c r="B2977" s="40" t="str">
        <f t="shared" si="453"/>
        <v>No pick yet</v>
      </c>
      <c r="C2977" s="40" t="str">
        <f t="shared" si="452"/>
        <v>08-&gt;</v>
      </c>
      <c r="D2977" s="40" t="str">
        <f t="shared" si="454"/>
        <v xml:space="preserve">No pick yet                                                 </v>
      </c>
      <c r="E2977" s="52">
        <f t="shared" si="455"/>
        <v>0</v>
      </c>
      <c r="F2977" s="18"/>
      <c r="M2977" s="18"/>
      <c r="N2977" s="18"/>
      <c r="O2977" s="18"/>
      <c r="P2977" s="18"/>
      <c r="Q2977" s="22"/>
      <c r="R2977" s="21"/>
      <c r="S2977" s="21"/>
      <c r="T2977" s="21"/>
      <c r="AA2977"/>
      <c r="AH2977" t="str">
        <f t="shared" si="456"/>
        <v>k yet</v>
      </c>
    </row>
    <row r="2978" spans="1:34">
      <c r="A2978" s="42" t="s">
        <v>254</v>
      </c>
      <c r="B2978" s="40" t="str">
        <f t="shared" si="453"/>
        <v>No pick yet</v>
      </c>
      <c r="C2978" s="40" t="str">
        <f t="shared" si="452"/>
        <v>09-&gt;</v>
      </c>
      <c r="D2978" s="40" t="str">
        <f t="shared" si="454"/>
        <v xml:space="preserve">No pick yet                                                 </v>
      </c>
      <c r="E2978" s="52">
        <f t="shared" si="455"/>
        <v>0</v>
      </c>
      <c r="F2978" s="18"/>
      <c r="M2978" s="18"/>
      <c r="N2978" s="18"/>
      <c r="O2978" s="18"/>
      <c r="P2978" s="18"/>
      <c r="Q2978" s="22"/>
      <c r="R2978" s="21"/>
      <c r="S2978" s="21"/>
      <c r="T2978" s="21"/>
      <c r="AA2978"/>
      <c r="AH2978" t="str">
        <f t="shared" si="456"/>
        <v>k yet</v>
      </c>
    </row>
    <row r="2979" spans="1:34">
      <c r="A2979" s="42" t="s">
        <v>255</v>
      </c>
      <c r="B2979" s="40" t="str">
        <f t="shared" si="453"/>
        <v>No pick yet</v>
      </c>
      <c r="C2979" s="40" t="str">
        <f t="shared" si="452"/>
        <v>10-&gt;</v>
      </c>
      <c r="D2979" s="40" t="str">
        <f t="shared" si="454"/>
        <v xml:space="preserve">No pick yet                                                 </v>
      </c>
      <c r="E2979" s="52">
        <f t="shared" si="455"/>
        <v>0</v>
      </c>
      <c r="F2979" s="22"/>
      <c r="M2979" s="18"/>
      <c r="N2979" s="18"/>
      <c r="O2979" s="18"/>
      <c r="P2979" s="18"/>
      <c r="Q2979" s="22"/>
      <c r="R2979" s="21"/>
      <c r="S2979" s="21"/>
      <c r="T2979" s="21"/>
      <c r="AA2979"/>
      <c r="AH2979" t="str">
        <f t="shared" si="456"/>
        <v>k yet</v>
      </c>
    </row>
    <row r="2980" spans="1:34">
      <c r="A2980" s="42" t="s">
        <v>256</v>
      </c>
      <c r="B2980" s="40" t="str">
        <f t="shared" si="453"/>
        <v>No pick yet</v>
      </c>
      <c r="C2980" s="40" t="str">
        <f t="shared" si="452"/>
        <v>11-&gt;</v>
      </c>
      <c r="D2980" s="40" t="str">
        <f t="shared" si="454"/>
        <v xml:space="preserve">No pick yet                                                 </v>
      </c>
      <c r="E2980" s="52">
        <f t="shared" si="455"/>
        <v>0</v>
      </c>
      <c r="M2980" s="18"/>
      <c r="N2980" s="18"/>
      <c r="O2980" s="18"/>
      <c r="P2980" s="18"/>
      <c r="Q2980" s="22"/>
      <c r="R2980" s="21"/>
      <c r="S2980" s="21"/>
      <c r="T2980" s="21"/>
      <c r="AA2980"/>
      <c r="AH2980" t="str">
        <f t="shared" si="456"/>
        <v>k yet</v>
      </c>
    </row>
    <row r="2981" spans="1:34">
      <c r="A2981" s="42" t="s">
        <v>257</v>
      </c>
      <c r="B2981" s="40" t="str">
        <f t="shared" si="453"/>
        <v>No pick yet</v>
      </c>
      <c r="C2981" s="40" t="str">
        <f t="shared" si="452"/>
        <v>12-&gt;</v>
      </c>
      <c r="D2981" s="40" t="str">
        <f t="shared" si="454"/>
        <v xml:space="preserve">No pick yet                                                 </v>
      </c>
      <c r="E2981" s="52">
        <f t="shared" si="455"/>
        <v>0</v>
      </c>
      <c r="M2981" s="18"/>
      <c r="N2981" s="18"/>
      <c r="O2981" s="18"/>
      <c r="P2981" s="18"/>
      <c r="Q2981" s="22"/>
      <c r="R2981" s="21"/>
      <c r="S2981" s="21"/>
      <c r="T2981" s="21"/>
      <c r="AA2981"/>
      <c r="AH2981" t="str">
        <f t="shared" si="456"/>
        <v>k yet</v>
      </c>
    </row>
    <row r="2982" spans="1:34">
      <c r="A2982" s="42" t="s">
        <v>258</v>
      </c>
      <c r="B2982" s="40" t="str">
        <f t="shared" si="453"/>
        <v>No pick yet</v>
      </c>
      <c r="C2982" s="40" t="str">
        <f t="shared" si="452"/>
        <v>13-&gt;</v>
      </c>
      <c r="D2982" s="40" t="str">
        <f t="shared" si="454"/>
        <v xml:space="preserve">No pick yet                                                 </v>
      </c>
      <c r="E2982" s="52">
        <f t="shared" si="455"/>
        <v>0</v>
      </c>
      <c r="M2982" s="18"/>
      <c r="N2982" s="18"/>
      <c r="O2982" s="18"/>
      <c r="P2982" s="18"/>
      <c r="Q2982" s="22"/>
      <c r="R2982" s="21"/>
      <c r="S2982" s="21"/>
      <c r="T2982" s="21"/>
      <c r="AA2982"/>
      <c r="AH2982" t="str">
        <f t="shared" si="456"/>
        <v>k yet</v>
      </c>
    </row>
    <row r="2983" spans="1:34">
      <c r="A2983" s="42" t="s">
        <v>259</v>
      </c>
      <c r="B2983" s="40" t="str">
        <f t="shared" si="453"/>
        <v>No pick yet</v>
      </c>
      <c r="C2983" s="40" t="str">
        <f t="shared" si="452"/>
        <v>14-&gt;</v>
      </c>
      <c r="D2983" s="40" t="str">
        <f t="shared" si="454"/>
        <v xml:space="preserve">No pick yet                                                 </v>
      </c>
      <c r="E2983" s="52">
        <f t="shared" si="455"/>
        <v>0</v>
      </c>
      <c r="M2983" s="18"/>
      <c r="N2983" s="18"/>
      <c r="O2983" s="18"/>
      <c r="P2983" s="18"/>
      <c r="Q2983" s="22"/>
      <c r="R2983" s="21"/>
      <c r="S2983" s="21"/>
      <c r="T2983" s="21"/>
      <c r="AA2983"/>
      <c r="AH2983" t="str">
        <f t="shared" si="456"/>
        <v>k yet</v>
      </c>
    </row>
    <row r="2984" spans="1:34">
      <c r="A2984" s="42" t="s">
        <v>260</v>
      </c>
      <c r="B2984" s="40" t="str">
        <f t="shared" si="453"/>
        <v>No pick yet</v>
      </c>
      <c r="C2984" s="40" t="str">
        <f t="shared" si="452"/>
        <v>15-&gt;</v>
      </c>
      <c r="D2984" s="40" t="str">
        <f t="shared" si="454"/>
        <v xml:space="preserve">No pick yet                                                 </v>
      </c>
      <c r="E2984" s="52">
        <f t="shared" si="455"/>
        <v>0</v>
      </c>
      <c r="M2984" s="18"/>
      <c r="N2984" s="18"/>
      <c r="O2984" s="18"/>
      <c r="P2984" s="18"/>
      <c r="Q2984" s="22"/>
      <c r="R2984" s="21"/>
      <c r="S2984" s="21"/>
      <c r="T2984" s="21"/>
      <c r="AA2984"/>
      <c r="AH2984" t="str">
        <f t="shared" si="456"/>
        <v>k yet</v>
      </c>
    </row>
    <row r="2985" spans="1:34">
      <c r="A2985" s="42" t="s">
        <v>261</v>
      </c>
      <c r="B2985" s="40" t="str">
        <f t="shared" si="453"/>
        <v>No pick yet</v>
      </c>
      <c r="C2985" s="40" t="str">
        <f t="shared" si="452"/>
        <v>16-&gt;</v>
      </c>
      <c r="D2985" s="40" t="str">
        <f t="shared" si="454"/>
        <v xml:space="preserve">No pick yet                                                 </v>
      </c>
      <c r="E2985" s="52">
        <f t="shared" si="455"/>
        <v>0</v>
      </c>
      <c r="M2985" s="18"/>
      <c r="N2985" s="18"/>
      <c r="O2985" s="18"/>
      <c r="P2985" s="18"/>
      <c r="Q2985" s="22"/>
      <c r="R2985" s="21"/>
      <c r="S2985" s="21"/>
      <c r="T2985" s="21"/>
      <c r="AA2985"/>
      <c r="AH2985" t="str">
        <f t="shared" si="456"/>
        <v>k yet</v>
      </c>
    </row>
    <row r="2986" spans="1:34">
      <c r="A2986" s="42" t="s">
        <v>262</v>
      </c>
      <c r="B2986" s="40" t="str">
        <f t="shared" si="453"/>
        <v>No pick yet</v>
      </c>
      <c r="C2986" s="40" t="str">
        <f t="shared" si="452"/>
        <v>17-&gt;</v>
      </c>
      <c r="D2986" s="40" t="str">
        <f t="shared" si="454"/>
        <v xml:space="preserve">No pick yet                                                 </v>
      </c>
      <c r="E2986" s="52">
        <f t="shared" si="455"/>
        <v>0</v>
      </c>
      <c r="K2986" s="22"/>
      <c r="N2986" s="22"/>
      <c r="O2986" s="22"/>
      <c r="P2986" s="22"/>
      <c r="Q2986" s="22"/>
      <c r="R2986" s="22"/>
      <c r="S2986" s="22"/>
      <c r="Z2986" s="53"/>
      <c r="AA2986"/>
      <c r="AH2986" t="str">
        <f t="shared" si="456"/>
        <v>k yet</v>
      </c>
    </row>
    <row r="2987" spans="1:34">
      <c r="A2987" s="42" t="s">
        <v>263</v>
      </c>
      <c r="B2987" s="40" t="str">
        <f t="shared" si="453"/>
        <v>No pick yet</v>
      </c>
      <c r="C2987" s="40" t="str">
        <f t="shared" si="452"/>
        <v>18-&gt;</v>
      </c>
      <c r="D2987" s="40" t="str">
        <f t="shared" si="454"/>
        <v xml:space="preserve">No pick yet                                                 </v>
      </c>
      <c r="E2987" s="52">
        <f t="shared" si="455"/>
        <v>0</v>
      </c>
      <c r="F2987" s="18"/>
      <c r="L2987" s="21"/>
      <c r="N2987" s="22"/>
      <c r="O2987" s="22"/>
      <c r="P2987" s="18"/>
      <c r="Q2987" s="22"/>
      <c r="R2987" s="22"/>
      <c r="S2987" s="22"/>
      <c r="Z2987" s="53"/>
      <c r="AA2987"/>
      <c r="AH2987" t="str">
        <f t="shared" si="456"/>
        <v>k yet</v>
      </c>
    </row>
    <row r="2988" spans="1:34">
      <c r="A2988" s="42" t="s">
        <v>264</v>
      </c>
      <c r="B2988" s="40" t="str">
        <f t="shared" si="453"/>
        <v>No pick yet</v>
      </c>
      <c r="C2988" s="40" t="str">
        <f t="shared" si="452"/>
        <v>19-&gt;</v>
      </c>
      <c r="D2988" s="40" t="str">
        <f t="shared" si="454"/>
        <v xml:space="preserve">No pick yet                                                 </v>
      </c>
      <c r="E2988" s="52">
        <f t="shared" si="455"/>
        <v>0</v>
      </c>
      <c r="F2988" s="18"/>
      <c r="M2988" s="18"/>
      <c r="N2988" s="18"/>
      <c r="O2988" s="18"/>
      <c r="P2988" s="18"/>
      <c r="Q2988" s="22"/>
      <c r="R2988" s="21"/>
      <c r="S2988" s="21"/>
      <c r="T2988" s="21"/>
      <c r="AA2988"/>
      <c r="AH2988" t="str">
        <f t="shared" si="456"/>
        <v>k yet</v>
      </c>
    </row>
    <row r="2989" spans="1:34">
      <c r="A2989" s="42" t="s">
        <v>265</v>
      </c>
      <c r="B2989" s="40" t="str">
        <f t="shared" si="453"/>
        <v>No pick yet</v>
      </c>
      <c r="C2989" s="40" t="str">
        <f t="shared" si="452"/>
        <v>20-&gt;</v>
      </c>
      <c r="D2989" s="40" t="str">
        <f t="shared" si="454"/>
        <v xml:space="preserve">No pick yet                                                 </v>
      </c>
      <c r="E2989" s="52">
        <f t="shared" si="455"/>
        <v>0</v>
      </c>
      <c r="F2989" s="18"/>
      <c r="M2989" s="18"/>
      <c r="N2989" s="18"/>
      <c r="O2989" s="18"/>
      <c r="P2989" s="18"/>
      <c r="Q2989" s="22"/>
      <c r="R2989" s="21"/>
      <c r="S2989" s="21"/>
      <c r="T2989" s="21"/>
      <c r="AA2989"/>
      <c r="AH2989" t="str">
        <f t="shared" si="456"/>
        <v>k yet</v>
      </c>
    </row>
    <row r="2990" spans="1:34">
      <c r="A2990" s="42" t="s">
        <v>266</v>
      </c>
      <c r="B2990" s="40" t="str">
        <f t="shared" si="453"/>
        <v>No pick yet</v>
      </c>
      <c r="C2990" s="40" t="str">
        <f t="shared" si="452"/>
        <v>21-&gt;</v>
      </c>
      <c r="D2990" s="40" t="str">
        <f t="shared" si="454"/>
        <v xml:space="preserve">No pick yet                                                 </v>
      </c>
      <c r="E2990" s="52">
        <f t="shared" si="455"/>
        <v>0</v>
      </c>
      <c r="F2990" s="18"/>
      <c r="M2990" s="18"/>
      <c r="N2990" s="18"/>
      <c r="O2990" s="18"/>
      <c r="P2990" s="18"/>
      <c r="Q2990" s="22"/>
      <c r="R2990" s="21"/>
      <c r="S2990" s="21"/>
      <c r="T2990" s="21"/>
      <c r="AA2990"/>
      <c r="AH2990" t="str">
        <f t="shared" si="456"/>
        <v>k yet</v>
      </c>
    </row>
    <row r="2991" spans="1:34">
      <c r="A2991" s="42" t="s">
        <v>267</v>
      </c>
      <c r="B2991" s="40" t="str">
        <f t="shared" si="453"/>
        <v>No pick yet</v>
      </c>
      <c r="C2991" s="40" t="str">
        <f t="shared" si="452"/>
        <v>22-&gt;</v>
      </c>
      <c r="D2991" s="40" t="str">
        <f t="shared" si="454"/>
        <v xml:space="preserve">No pick yet                                                 </v>
      </c>
      <c r="E2991" s="52">
        <f t="shared" si="455"/>
        <v>0</v>
      </c>
      <c r="F2991" s="18"/>
      <c r="M2991" s="18"/>
      <c r="N2991" s="18"/>
      <c r="O2991" s="18"/>
      <c r="P2991" s="18"/>
      <c r="Q2991" s="22"/>
      <c r="R2991" s="21"/>
      <c r="S2991" s="21"/>
      <c r="T2991" s="21"/>
      <c r="AA2991"/>
      <c r="AH2991" t="str">
        <f t="shared" si="456"/>
        <v>k yet</v>
      </c>
    </row>
    <row r="2992" spans="1:34">
      <c r="A2992" s="42" t="s">
        <v>268</v>
      </c>
      <c r="B2992" s="40" t="str">
        <f t="shared" si="453"/>
        <v>No pick yet</v>
      </c>
      <c r="C2992" s="40" t="str">
        <f t="shared" si="452"/>
        <v>23-&gt;</v>
      </c>
      <c r="D2992" s="40" t="str">
        <f t="shared" si="454"/>
        <v xml:space="preserve">No pick yet                                                 </v>
      </c>
      <c r="E2992" s="52">
        <f t="shared" si="455"/>
        <v>0</v>
      </c>
      <c r="F2992" s="18"/>
      <c r="M2992" s="18"/>
      <c r="N2992" s="18"/>
      <c r="O2992" s="18"/>
      <c r="P2992" s="18"/>
      <c r="Q2992" s="22"/>
      <c r="R2992" s="21"/>
      <c r="S2992" s="21"/>
      <c r="T2992" s="21"/>
      <c r="AA2992"/>
      <c r="AH2992" t="str">
        <f t="shared" si="456"/>
        <v>k yet</v>
      </c>
    </row>
    <row r="2993" spans="1:39">
      <c r="A2993" s="42" t="s">
        <v>269</v>
      </c>
      <c r="B2993" s="40" t="str">
        <f t="shared" si="453"/>
        <v>No pick yet</v>
      </c>
      <c r="C2993" s="40" t="str">
        <f t="shared" si="452"/>
        <v>24-&gt;</v>
      </c>
      <c r="D2993" s="40" t="str">
        <f t="shared" si="454"/>
        <v xml:space="preserve">No pick yet                                                 </v>
      </c>
      <c r="E2993" s="52">
        <f t="shared" si="455"/>
        <v>0</v>
      </c>
      <c r="F2993" s="18"/>
      <c r="M2993" s="18"/>
      <c r="N2993" s="18"/>
      <c r="O2993" s="18"/>
      <c r="P2993" s="18"/>
      <c r="Q2993" s="22"/>
      <c r="R2993" s="21"/>
      <c r="S2993" s="21"/>
      <c r="T2993" s="21"/>
      <c r="AA2993"/>
      <c r="AH2993" t="str">
        <f t="shared" si="456"/>
        <v>k yet</v>
      </c>
    </row>
    <row r="2994" spans="1:39">
      <c r="A2994" s="42" t="s">
        <v>270</v>
      </c>
      <c r="B2994" s="40" t="str">
        <f t="shared" si="453"/>
        <v>No pick yet</v>
      </c>
      <c r="C2994" s="40" t="str">
        <f t="shared" si="452"/>
        <v>25-&gt;</v>
      </c>
      <c r="D2994" s="40" t="str">
        <f t="shared" si="454"/>
        <v xml:space="preserve">No pick yet                                                 </v>
      </c>
      <c r="E2994" s="52">
        <f t="shared" si="455"/>
        <v>0</v>
      </c>
      <c r="F2994" s="18"/>
      <c r="M2994" s="18"/>
      <c r="N2994" s="18"/>
      <c r="O2994" s="18"/>
      <c r="P2994" s="18"/>
      <c r="Q2994" s="22"/>
      <c r="R2994" s="21"/>
      <c r="S2994" s="21"/>
      <c r="T2994" s="21"/>
      <c r="AA2994"/>
      <c r="AH2994" t="str">
        <f t="shared" si="456"/>
        <v>k yet</v>
      </c>
    </row>
    <row r="2995" spans="1:39">
      <c r="A2995" s="42" t="s">
        <v>271</v>
      </c>
      <c r="B2995" s="40" t="str">
        <f t="shared" si="453"/>
        <v>No pick yet</v>
      </c>
      <c r="C2995" s="40" t="str">
        <f t="shared" si="452"/>
        <v>26-&gt;</v>
      </c>
      <c r="D2995" s="40" t="str">
        <f t="shared" si="454"/>
        <v xml:space="preserve">No pick yet                                                 </v>
      </c>
      <c r="E2995" s="52">
        <f t="shared" si="455"/>
        <v>0</v>
      </c>
      <c r="F2995" s="18"/>
      <c r="M2995" s="18"/>
      <c r="N2995" s="18"/>
      <c r="O2995" s="18"/>
      <c r="P2995" s="18"/>
      <c r="Q2995" s="22"/>
      <c r="R2995" s="21"/>
      <c r="S2995" s="21"/>
      <c r="T2995" s="21"/>
      <c r="AA2995"/>
      <c r="AH2995" t="str">
        <f t="shared" si="456"/>
        <v>k yet</v>
      </c>
    </row>
    <row r="2996" spans="1:39">
      <c r="A2996" s="38"/>
      <c r="B2996" s="40"/>
      <c r="C2996" s="40"/>
      <c r="D2996" s="49"/>
      <c r="E2996" s="41" t="s">
        <v>69</v>
      </c>
      <c r="F2996" s="18"/>
      <c r="K2996" s="22" t="s">
        <v>73</v>
      </c>
      <c r="L2996" s="18" t="s">
        <v>74</v>
      </c>
      <c r="M2996" s="22" t="s">
        <v>78</v>
      </c>
      <c r="N2996" s="22" t="s">
        <v>79</v>
      </c>
      <c r="O2996" s="22" t="s">
        <v>80</v>
      </c>
      <c r="P2996" s="22" t="s">
        <v>81</v>
      </c>
      <c r="Q2996" s="22" t="s">
        <v>82</v>
      </c>
      <c r="R2996" s="22" t="s">
        <v>83</v>
      </c>
      <c r="S2996" s="22" t="s">
        <v>84</v>
      </c>
      <c r="T2996" s="18" t="s">
        <v>85</v>
      </c>
      <c r="U2996" s="18" t="s">
        <v>86</v>
      </c>
      <c r="V2996" s="18" t="s">
        <v>87</v>
      </c>
      <c r="W2996" s="18" t="s">
        <v>88</v>
      </c>
      <c r="X2996" s="18" t="s">
        <v>89</v>
      </c>
      <c r="Y2996" s="18" t="s">
        <v>90</v>
      </c>
      <c r="Z2996" s="18" t="s">
        <v>91</v>
      </c>
      <c r="AA2996" s="18" t="s">
        <v>92</v>
      </c>
      <c r="AB2996" s="18" t="s">
        <v>93</v>
      </c>
      <c r="AC2996" s="18" t="s">
        <v>94</v>
      </c>
      <c r="AD2996" s="18" t="s">
        <v>235</v>
      </c>
      <c r="AE2996" s="18" t="s">
        <v>236</v>
      </c>
      <c r="AF2996" s="18" t="s">
        <v>237</v>
      </c>
      <c r="AG2996" s="18" t="s">
        <v>238</v>
      </c>
      <c r="AH2996" s="18" t="s">
        <v>239</v>
      </c>
      <c r="AI2996" s="18" t="s">
        <v>240</v>
      </c>
      <c r="AJ2996" s="18" t="s">
        <v>241</v>
      </c>
      <c r="AK2996" s="18" t="s">
        <v>242</v>
      </c>
      <c r="AL2996" s="18" t="s">
        <v>243</v>
      </c>
      <c r="AM2996" s="50" t="s">
        <v>244</v>
      </c>
    </row>
    <row r="2997" spans="1:39">
      <c r="A2997" s="40" t="s">
        <v>245</v>
      </c>
      <c r="B2997" s="51" t="str">
        <f>D106</f>
        <v/>
      </c>
      <c r="C2997" s="40" t="str">
        <f t="shared" ref="C2997:C3023" si="457">A2997</f>
        <v>#</v>
      </c>
      <c r="D2997" s="40" t="str">
        <f>"   "&amp;B2997&amp;REPT(" ",$AH$70-LEN(B2997)-3)</f>
        <v xml:space="preserve">                                                            </v>
      </c>
      <c r="E2997" s="38" t="str">
        <f>SUM(E2998:E3023)&amp;" pts[/b]"</f>
        <v>0 pts[/b]</v>
      </c>
      <c r="F2997" s="21">
        <f>SUM(E2998:E3023)</f>
        <v>0</v>
      </c>
      <c r="K2997" s="18">
        <f>COUNTIF(E2998:E3023,"&gt;0")</f>
        <v>0</v>
      </c>
      <c r="L2997" s="21">
        <f>AM2997-K2997</f>
        <v>0</v>
      </c>
      <c r="M2997" s="22">
        <f>MAX(E2998:E3023)</f>
        <v>0</v>
      </c>
      <c r="N2997" s="22">
        <f>LARGE(E2998:E3023,2)</f>
        <v>0</v>
      </c>
      <c r="O2997" s="22">
        <f>LARGE(E2998:E3023,3)</f>
        <v>0</v>
      </c>
      <c r="P2997" s="18">
        <f>LARGE(E2998:E3023,4)</f>
        <v>0</v>
      </c>
      <c r="Q2997" s="22">
        <f>LARGE(E2998:E3023,5)</f>
        <v>0</v>
      </c>
      <c r="R2997" s="22">
        <f>LARGE(E2998:E3023,6)</f>
        <v>0</v>
      </c>
      <c r="S2997" s="22">
        <f>LARGE(E2998:E3023,7)</f>
        <v>0</v>
      </c>
      <c r="T2997" s="18">
        <f>LARGE(E2998:E3023,8)</f>
        <v>0</v>
      </c>
      <c r="U2997" s="18">
        <f>LARGE(E2998:E3023,9)</f>
        <v>0</v>
      </c>
      <c r="V2997" s="18">
        <f>LARGE(E2998:E3023,10)</f>
        <v>0</v>
      </c>
      <c r="W2997" s="18">
        <f>LARGE(E2998:E3023,11)</f>
        <v>0</v>
      </c>
      <c r="X2997" s="18">
        <f>LARGE(E2998:E3023,12)</f>
        <v>0</v>
      </c>
      <c r="Y2997" s="18">
        <f>LARGE(E2998:E3023,13)</f>
        <v>0</v>
      </c>
      <c r="Z2997" s="18">
        <f>LARGE(E2998:E3023,14)</f>
        <v>0</v>
      </c>
      <c r="AA2997" s="18">
        <f>LARGE(E2998:E3023,15)</f>
        <v>0</v>
      </c>
      <c r="AB2997" s="18">
        <f>LARGE(E2998:E3023,16)</f>
        <v>0</v>
      </c>
      <c r="AC2997" s="18">
        <f>LARGE(E2998:E3023,17)</f>
        <v>0</v>
      </c>
      <c r="AD2997" s="18">
        <f>LARGE(E2998:E3024,13)</f>
        <v>0</v>
      </c>
      <c r="AE2997" s="18">
        <f>LARGE(E2998:E3023,19)</f>
        <v>0</v>
      </c>
      <c r="AF2997" s="18">
        <f>LARGE(E2998:E3023,20)</f>
        <v>0</v>
      </c>
      <c r="AG2997" s="18">
        <f>LARGE(E2998:E3023,21)</f>
        <v>0</v>
      </c>
      <c r="AH2997" s="18">
        <f>LARGE(E2998:E3023,22)</f>
        <v>0</v>
      </c>
      <c r="AI2997" s="18">
        <f>LARGE(E2998:E3023,23)</f>
        <v>0</v>
      </c>
      <c r="AJ2997" s="18">
        <f>LARGE(E2998:E3023,24)</f>
        <v>0</v>
      </c>
      <c r="AK2997" s="18">
        <f>LARGE(E2998:E3023,25)</f>
        <v>0</v>
      </c>
      <c r="AL2997" s="18">
        <f>LARGE(E2998:E3023,26)</f>
        <v>0</v>
      </c>
      <c r="AM2997" s="50">
        <f>COUNTIF(B2998:B3023,"&lt;&gt;"&amp;AH74)</f>
        <v>0</v>
      </c>
    </row>
    <row r="2998" spans="1:39">
      <c r="A2998" s="42" t="s">
        <v>246</v>
      </c>
      <c r="B2998" s="40" t="str">
        <f t="shared" ref="B2998:B3023" si="458">$AH$74</f>
        <v>No pick yet</v>
      </c>
      <c r="C2998" s="40" t="str">
        <f t="shared" si="457"/>
        <v>01-&gt;</v>
      </c>
      <c r="D2998" s="40" t="str">
        <f t="shared" ref="D2998:D3023" si="459">B2998&amp;REPT(" ",$AH$70-LEN(B2998))</f>
        <v xml:space="preserve">No pick yet                                                 </v>
      </c>
      <c r="E2998" s="52">
        <f t="shared" ref="E2998:E3023" si="460">VLOOKUP(RIGHT(B2998,LEN(B2998)-$AH$66),$H$138:$I$420,2,0)</f>
        <v>0</v>
      </c>
      <c r="F2998" s="18"/>
      <c r="M2998" s="18"/>
      <c r="N2998" s="18"/>
      <c r="O2998" s="18"/>
      <c r="P2998" s="18"/>
      <c r="Q2998" s="22"/>
      <c r="R2998" s="21"/>
      <c r="S2998" s="21"/>
      <c r="T2998" s="21"/>
      <c r="AA2998"/>
      <c r="AH2998" t="str">
        <f t="shared" ref="AH2998:AH3023" si="461">RIGHT(B2998,LEN(B2998)-$AH$66)</f>
        <v>k yet</v>
      </c>
    </row>
    <row r="2999" spans="1:39">
      <c r="A2999" s="42" t="s">
        <v>247</v>
      </c>
      <c r="B2999" s="40" t="str">
        <f t="shared" si="458"/>
        <v>No pick yet</v>
      </c>
      <c r="C2999" s="40" t="str">
        <f t="shared" si="457"/>
        <v>02-&gt;</v>
      </c>
      <c r="D2999" s="40" t="str">
        <f t="shared" si="459"/>
        <v xml:space="preserve">No pick yet                                                 </v>
      </c>
      <c r="E2999" s="52">
        <f t="shared" si="460"/>
        <v>0</v>
      </c>
      <c r="F2999" s="18"/>
      <c r="K2999" s="22"/>
      <c r="N2999" s="22"/>
      <c r="O2999" s="22"/>
      <c r="P2999" s="22"/>
      <c r="Q2999" s="22"/>
      <c r="R2999" s="22"/>
      <c r="S2999" s="22"/>
      <c r="Z2999" s="53"/>
      <c r="AA2999"/>
      <c r="AH2999" t="str">
        <f t="shared" si="461"/>
        <v>k yet</v>
      </c>
    </row>
    <row r="3000" spans="1:39">
      <c r="A3000" s="42" t="s">
        <v>248</v>
      </c>
      <c r="B3000" s="40" t="str">
        <f t="shared" si="458"/>
        <v>No pick yet</v>
      </c>
      <c r="C3000" s="40" t="str">
        <f t="shared" si="457"/>
        <v>03-&gt;</v>
      </c>
      <c r="D3000" s="40" t="str">
        <f t="shared" si="459"/>
        <v xml:space="preserve">No pick yet                                                 </v>
      </c>
      <c r="E3000" s="52">
        <f t="shared" si="460"/>
        <v>0</v>
      </c>
      <c r="F3000" s="18"/>
      <c r="L3000" s="21"/>
      <c r="N3000" s="22"/>
      <c r="O3000" s="22"/>
      <c r="P3000" s="18"/>
      <c r="Q3000" s="22"/>
      <c r="R3000" s="22"/>
      <c r="S3000" s="22"/>
      <c r="Z3000" s="53"/>
      <c r="AA3000"/>
      <c r="AH3000" t="str">
        <f t="shared" si="461"/>
        <v>k yet</v>
      </c>
    </row>
    <row r="3001" spans="1:39">
      <c r="A3001" s="42" t="s">
        <v>249</v>
      </c>
      <c r="B3001" s="40" t="str">
        <f t="shared" si="458"/>
        <v>No pick yet</v>
      </c>
      <c r="C3001" s="40" t="str">
        <f t="shared" si="457"/>
        <v>04-&gt;</v>
      </c>
      <c r="D3001" s="40" t="str">
        <f t="shared" si="459"/>
        <v xml:space="preserve">No pick yet                                                 </v>
      </c>
      <c r="E3001" s="52">
        <f t="shared" si="460"/>
        <v>0</v>
      </c>
      <c r="F3001" s="18"/>
      <c r="M3001" s="18"/>
      <c r="N3001" s="18"/>
      <c r="O3001" s="18"/>
      <c r="P3001" s="18"/>
      <c r="Q3001" s="22"/>
      <c r="R3001" s="21"/>
      <c r="S3001" s="21"/>
      <c r="T3001" s="21"/>
      <c r="AA3001"/>
      <c r="AH3001" t="str">
        <f t="shared" si="461"/>
        <v>k yet</v>
      </c>
    </row>
    <row r="3002" spans="1:39">
      <c r="A3002" s="42" t="s">
        <v>250</v>
      </c>
      <c r="B3002" s="40" t="str">
        <f t="shared" si="458"/>
        <v>No pick yet</v>
      </c>
      <c r="C3002" s="40" t="str">
        <f t="shared" si="457"/>
        <v>05-&gt;</v>
      </c>
      <c r="D3002" s="40" t="str">
        <f t="shared" si="459"/>
        <v xml:space="preserve">No pick yet                                                 </v>
      </c>
      <c r="E3002" s="52">
        <f t="shared" si="460"/>
        <v>0</v>
      </c>
      <c r="F3002" s="18"/>
      <c r="M3002" s="18"/>
      <c r="N3002" s="18"/>
      <c r="O3002" s="18"/>
      <c r="P3002" s="18"/>
      <c r="Q3002" s="22"/>
      <c r="R3002" s="21"/>
      <c r="S3002" s="21"/>
      <c r="T3002" s="21"/>
      <c r="AA3002"/>
      <c r="AH3002" t="str">
        <f t="shared" si="461"/>
        <v>k yet</v>
      </c>
    </row>
    <row r="3003" spans="1:39">
      <c r="A3003" s="42" t="s">
        <v>251</v>
      </c>
      <c r="B3003" s="40" t="str">
        <f t="shared" si="458"/>
        <v>No pick yet</v>
      </c>
      <c r="C3003" s="40" t="str">
        <f t="shared" si="457"/>
        <v>06-&gt;</v>
      </c>
      <c r="D3003" s="40" t="str">
        <f t="shared" si="459"/>
        <v xml:space="preserve">No pick yet                                                 </v>
      </c>
      <c r="E3003" s="52">
        <f t="shared" si="460"/>
        <v>0</v>
      </c>
      <c r="F3003" s="18"/>
      <c r="M3003" s="18"/>
      <c r="N3003" s="18"/>
      <c r="O3003" s="18"/>
      <c r="P3003" s="18"/>
      <c r="Q3003" s="22"/>
      <c r="R3003" s="21"/>
      <c r="S3003" s="21"/>
      <c r="T3003" s="21"/>
      <c r="AA3003"/>
      <c r="AH3003" t="str">
        <f t="shared" si="461"/>
        <v>k yet</v>
      </c>
    </row>
    <row r="3004" spans="1:39">
      <c r="A3004" s="42" t="s">
        <v>252</v>
      </c>
      <c r="B3004" s="40" t="str">
        <f t="shared" si="458"/>
        <v>No pick yet</v>
      </c>
      <c r="C3004" s="40" t="str">
        <f t="shared" si="457"/>
        <v>07-&gt;</v>
      </c>
      <c r="D3004" s="40" t="str">
        <f t="shared" si="459"/>
        <v xml:space="preserve">No pick yet                                                 </v>
      </c>
      <c r="E3004" s="52">
        <f t="shared" si="460"/>
        <v>0</v>
      </c>
      <c r="F3004" s="18"/>
      <c r="M3004" s="18"/>
      <c r="N3004" s="18"/>
      <c r="O3004" s="18"/>
      <c r="P3004" s="18"/>
      <c r="Q3004" s="22"/>
      <c r="R3004" s="21"/>
      <c r="S3004" s="21"/>
      <c r="T3004" s="21"/>
      <c r="AA3004"/>
      <c r="AH3004" t="str">
        <f t="shared" si="461"/>
        <v>k yet</v>
      </c>
    </row>
    <row r="3005" spans="1:39">
      <c r="A3005" s="42" t="s">
        <v>253</v>
      </c>
      <c r="B3005" s="40" t="str">
        <f t="shared" si="458"/>
        <v>No pick yet</v>
      </c>
      <c r="C3005" s="40" t="str">
        <f t="shared" si="457"/>
        <v>08-&gt;</v>
      </c>
      <c r="D3005" s="40" t="str">
        <f t="shared" si="459"/>
        <v xml:space="preserve">No pick yet                                                 </v>
      </c>
      <c r="E3005" s="52">
        <f t="shared" si="460"/>
        <v>0</v>
      </c>
      <c r="F3005" s="18"/>
      <c r="M3005" s="18"/>
      <c r="N3005" s="18"/>
      <c r="O3005" s="18"/>
      <c r="P3005" s="18"/>
      <c r="Q3005" s="22"/>
      <c r="R3005" s="21"/>
      <c r="S3005" s="21"/>
      <c r="T3005" s="21"/>
      <c r="AA3005"/>
      <c r="AH3005" t="str">
        <f t="shared" si="461"/>
        <v>k yet</v>
      </c>
    </row>
    <row r="3006" spans="1:39">
      <c r="A3006" s="42" t="s">
        <v>254</v>
      </c>
      <c r="B3006" s="40" t="str">
        <f t="shared" si="458"/>
        <v>No pick yet</v>
      </c>
      <c r="C3006" s="40" t="str">
        <f t="shared" si="457"/>
        <v>09-&gt;</v>
      </c>
      <c r="D3006" s="40" t="str">
        <f t="shared" si="459"/>
        <v xml:space="preserve">No pick yet                                                 </v>
      </c>
      <c r="E3006" s="52">
        <f t="shared" si="460"/>
        <v>0</v>
      </c>
      <c r="F3006" s="18"/>
      <c r="M3006" s="18"/>
      <c r="N3006" s="18"/>
      <c r="O3006" s="18"/>
      <c r="P3006" s="18"/>
      <c r="Q3006" s="22"/>
      <c r="R3006" s="21"/>
      <c r="S3006" s="21"/>
      <c r="T3006" s="21"/>
      <c r="AA3006"/>
      <c r="AH3006" t="str">
        <f t="shared" si="461"/>
        <v>k yet</v>
      </c>
    </row>
    <row r="3007" spans="1:39">
      <c r="A3007" s="42" t="s">
        <v>255</v>
      </c>
      <c r="B3007" s="40" t="str">
        <f t="shared" si="458"/>
        <v>No pick yet</v>
      </c>
      <c r="C3007" s="40" t="str">
        <f t="shared" si="457"/>
        <v>10-&gt;</v>
      </c>
      <c r="D3007" s="40" t="str">
        <f t="shared" si="459"/>
        <v xml:space="preserve">No pick yet                                                 </v>
      </c>
      <c r="E3007" s="52">
        <f t="shared" si="460"/>
        <v>0</v>
      </c>
      <c r="F3007" s="22"/>
      <c r="M3007" s="18"/>
      <c r="N3007" s="18"/>
      <c r="O3007" s="18"/>
      <c r="P3007" s="18"/>
      <c r="Q3007" s="22"/>
      <c r="R3007" s="21"/>
      <c r="S3007" s="21"/>
      <c r="T3007" s="21"/>
      <c r="AA3007"/>
      <c r="AH3007" t="str">
        <f t="shared" si="461"/>
        <v>k yet</v>
      </c>
    </row>
    <row r="3008" spans="1:39">
      <c r="A3008" s="42" t="s">
        <v>256</v>
      </c>
      <c r="B3008" s="40" t="str">
        <f t="shared" si="458"/>
        <v>No pick yet</v>
      </c>
      <c r="C3008" s="40" t="str">
        <f t="shared" si="457"/>
        <v>11-&gt;</v>
      </c>
      <c r="D3008" s="40" t="str">
        <f t="shared" si="459"/>
        <v xml:space="preserve">No pick yet                                                 </v>
      </c>
      <c r="E3008" s="52">
        <f t="shared" si="460"/>
        <v>0</v>
      </c>
      <c r="M3008" s="18"/>
      <c r="N3008" s="18"/>
      <c r="O3008" s="18"/>
      <c r="P3008" s="18"/>
      <c r="Q3008" s="22"/>
      <c r="R3008" s="21"/>
      <c r="S3008" s="21"/>
      <c r="T3008" s="21"/>
      <c r="AA3008"/>
      <c r="AH3008" t="str">
        <f t="shared" si="461"/>
        <v>k yet</v>
      </c>
    </row>
    <row r="3009" spans="1:39">
      <c r="A3009" s="42" t="s">
        <v>257</v>
      </c>
      <c r="B3009" s="40" t="str">
        <f t="shared" si="458"/>
        <v>No pick yet</v>
      </c>
      <c r="C3009" s="40" t="str">
        <f t="shared" si="457"/>
        <v>12-&gt;</v>
      </c>
      <c r="D3009" s="40" t="str">
        <f t="shared" si="459"/>
        <v xml:space="preserve">No pick yet                                                 </v>
      </c>
      <c r="E3009" s="52">
        <f t="shared" si="460"/>
        <v>0</v>
      </c>
      <c r="M3009" s="18"/>
      <c r="N3009" s="18"/>
      <c r="O3009" s="18"/>
      <c r="P3009" s="18"/>
      <c r="Q3009" s="22"/>
      <c r="R3009" s="21"/>
      <c r="S3009" s="21"/>
      <c r="T3009" s="21"/>
      <c r="AA3009"/>
      <c r="AH3009" t="str">
        <f t="shared" si="461"/>
        <v>k yet</v>
      </c>
    </row>
    <row r="3010" spans="1:39">
      <c r="A3010" s="42" t="s">
        <v>258</v>
      </c>
      <c r="B3010" s="40" t="str">
        <f t="shared" si="458"/>
        <v>No pick yet</v>
      </c>
      <c r="C3010" s="40" t="str">
        <f t="shared" si="457"/>
        <v>13-&gt;</v>
      </c>
      <c r="D3010" s="40" t="str">
        <f t="shared" si="459"/>
        <v xml:space="preserve">No pick yet                                                 </v>
      </c>
      <c r="E3010" s="52">
        <f t="shared" si="460"/>
        <v>0</v>
      </c>
      <c r="M3010" s="18"/>
      <c r="N3010" s="18"/>
      <c r="O3010" s="18"/>
      <c r="P3010" s="18"/>
      <c r="Q3010" s="22"/>
      <c r="R3010" s="21"/>
      <c r="S3010" s="21"/>
      <c r="T3010" s="21"/>
      <c r="AA3010"/>
      <c r="AH3010" t="str">
        <f t="shared" si="461"/>
        <v>k yet</v>
      </c>
    </row>
    <row r="3011" spans="1:39">
      <c r="A3011" s="42" t="s">
        <v>259</v>
      </c>
      <c r="B3011" s="40" t="str">
        <f t="shared" si="458"/>
        <v>No pick yet</v>
      </c>
      <c r="C3011" s="40" t="str">
        <f t="shared" si="457"/>
        <v>14-&gt;</v>
      </c>
      <c r="D3011" s="40" t="str">
        <f t="shared" si="459"/>
        <v xml:space="preserve">No pick yet                                                 </v>
      </c>
      <c r="E3011" s="52">
        <f t="shared" si="460"/>
        <v>0</v>
      </c>
      <c r="M3011" s="18"/>
      <c r="N3011" s="18"/>
      <c r="O3011" s="18"/>
      <c r="P3011" s="18"/>
      <c r="Q3011" s="22"/>
      <c r="R3011" s="21"/>
      <c r="S3011" s="21"/>
      <c r="T3011" s="21"/>
      <c r="AA3011"/>
      <c r="AH3011" t="str">
        <f t="shared" si="461"/>
        <v>k yet</v>
      </c>
    </row>
    <row r="3012" spans="1:39">
      <c r="A3012" s="42" t="s">
        <v>260</v>
      </c>
      <c r="B3012" s="40" t="str">
        <f t="shared" si="458"/>
        <v>No pick yet</v>
      </c>
      <c r="C3012" s="40" t="str">
        <f t="shared" si="457"/>
        <v>15-&gt;</v>
      </c>
      <c r="D3012" s="40" t="str">
        <f t="shared" si="459"/>
        <v xml:space="preserve">No pick yet                                                 </v>
      </c>
      <c r="E3012" s="52">
        <f t="shared" si="460"/>
        <v>0</v>
      </c>
      <c r="M3012" s="18"/>
      <c r="N3012" s="18"/>
      <c r="O3012" s="18"/>
      <c r="P3012" s="18"/>
      <c r="Q3012" s="22"/>
      <c r="R3012" s="21"/>
      <c r="S3012" s="21"/>
      <c r="T3012" s="21"/>
      <c r="AA3012"/>
      <c r="AH3012" t="str">
        <f t="shared" si="461"/>
        <v>k yet</v>
      </c>
    </row>
    <row r="3013" spans="1:39">
      <c r="A3013" s="42" t="s">
        <v>261</v>
      </c>
      <c r="B3013" s="40" t="str">
        <f t="shared" si="458"/>
        <v>No pick yet</v>
      </c>
      <c r="C3013" s="40" t="str">
        <f t="shared" si="457"/>
        <v>16-&gt;</v>
      </c>
      <c r="D3013" s="40" t="str">
        <f t="shared" si="459"/>
        <v xml:space="preserve">No pick yet                                                 </v>
      </c>
      <c r="E3013" s="52">
        <f t="shared" si="460"/>
        <v>0</v>
      </c>
      <c r="M3013" s="18"/>
      <c r="N3013" s="18"/>
      <c r="O3013" s="18"/>
      <c r="P3013" s="18"/>
      <c r="Q3013" s="22"/>
      <c r="R3013" s="21"/>
      <c r="S3013" s="21"/>
      <c r="T3013" s="21"/>
      <c r="AA3013"/>
      <c r="AH3013" t="str">
        <f t="shared" si="461"/>
        <v>k yet</v>
      </c>
    </row>
    <row r="3014" spans="1:39">
      <c r="A3014" s="42" t="s">
        <v>262</v>
      </c>
      <c r="B3014" s="40" t="str">
        <f t="shared" si="458"/>
        <v>No pick yet</v>
      </c>
      <c r="C3014" s="40" t="str">
        <f t="shared" si="457"/>
        <v>17-&gt;</v>
      </c>
      <c r="D3014" s="40" t="str">
        <f t="shared" si="459"/>
        <v xml:space="preserve">No pick yet                                                 </v>
      </c>
      <c r="E3014" s="52">
        <f t="shared" si="460"/>
        <v>0</v>
      </c>
      <c r="K3014" s="22"/>
      <c r="N3014" s="22"/>
      <c r="O3014" s="22"/>
      <c r="P3014" s="22"/>
      <c r="Q3014" s="22"/>
      <c r="R3014" s="22"/>
      <c r="S3014" s="22"/>
      <c r="Z3014" s="53"/>
      <c r="AA3014"/>
      <c r="AH3014" t="str">
        <f t="shared" si="461"/>
        <v>k yet</v>
      </c>
    </row>
    <row r="3015" spans="1:39">
      <c r="A3015" s="42" t="s">
        <v>263</v>
      </c>
      <c r="B3015" s="40" t="str">
        <f t="shared" si="458"/>
        <v>No pick yet</v>
      </c>
      <c r="C3015" s="40" t="str">
        <f t="shared" si="457"/>
        <v>18-&gt;</v>
      </c>
      <c r="D3015" s="40" t="str">
        <f t="shared" si="459"/>
        <v xml:space="preserve">No pick yet                                                 </v>
      </c>
      <c r="E3015" s="52">
        <f t="shared" si="460"/>
        <v>0</v>
      </c>
      <c r="F3015" s="18"/>
      <c r="L3015" s="21"/>
      <c r="N3015" s="22"/>
      <c r="O3015" s="22"/>
      <c r="P3015" s="18"/>
      <c r="Q3015" s="22"/>
      <c r="R3015" s="22"/>
      <c r="S3015" s="22"/>
      <c r="Z3015" s="53"/>
      <c r="AA3015"/>
      <c r="AH3015" t="str">
        <f t="shared" si="461"/>
        <v>k yet</v>
      </c>
    </row>
    <row r="3016" spans="1:39">
      <c r="A3016" s="42" t="s">
        <v>264</v>
      </c>
      <c r="B3016" s="40" t="str">
        <f t="shared" si="458"/>
        <v>No pick yet</v>
      </c>
      <c r="C3016" s="40" t="str">
        <f t="shared" si="457"/>
        <v>19-&gt;</v>
      </c>
      <c r="D3016" s="40" t="str">
        <f t="shared" si="459"/>
        <v xml:space="preserve">No pick yet                                                 </v>
      </c>
      <c r="E3016" s="52">
        <f t="shared" si="460"/>
        <v>0</v>
      </c>
      <c r="F3016" s="18"/>
      <c r="M3016" s="18"/>
      <c r="N3016" s="18"/>
      <c r="O3016" s="18"/>
      <c r="P3016" s="18"/>
      <c r="Q3016" s="22"/>
      <c r="R3016" s="21"/>
      <c r="S3016" s="21"/>
      <c r="T3016" s="21"/>
      <c r="AA3016"/>
      <c r="AH3016" t="str">
        <f t="shared" si="461"/>
        <v>k yet</v>
      </c>
    </row>
    <row r="3017" spans="1:39">
      <c r="A3017" s="42" t="s">
        <v>265</v>
      </c>
      <c r="B3017" s="40" t="str">
        <f t="shared" si="458"/>
        <v>No pick yet</v>
      </c>
      <c r="C3017" s="40" t="str">
        <f t="shared" si="457"/>
        <v>20-&gt;</v>
      </c>
      <c r="D3017" s="40" t="str">
        <f t="shared" si="459"/>
        <v xml:space="preserve">No pick yet                                                 </v>
      </c>
      <c r="E3017" s="52">
        <f t="shared" si="460"/>
        <v>0</v>
      </c>
      <c r="F3017" s="18"/>
      <c r="M3017" s="18"/>
      <c r="N3017" s="18"/>
      <c r="O3017" s="18"/>
      <c r="P3017" s="18"/>
      <c r="Q3017" s="22"/>
      <c r="R3017" s="21"/>
      <c r="S3017" s="21"/>
      <c r="T3017" s="21"/>
      <c r="AA3017"/>
      <c r="AH3017" t="str">
        <f t="shared" si="461"/>
        <v>k yet</v>
      </c>
    </row>
    <row r="3018" spans="1:39">
      <c r="A3018" s="42" t="s">
        <v>266</v>
      </c>
      <c r="B3018" s="40" t="str">
        <f t="shared" si="458"/>
        <v>No pick yet</v>
      </c>
      <c r="C3018" s="40" t="str">
        <f t="shared" si="457"/>
        <v>21-&gt;</v>
      </c>
      <c r="D3018" s="40" t="str">
        <f t="shared" si="459"/>
        <v xml:space="preserve">No pick yet                                                 </v>
      </c>
      <c r="E3018" s="52">
        <f t="shared" si="460"/>
        <v>0</v>
      </c>
      <c r="F3018" s="18"/>
      <c r="M3018" s="18"/>
      <c r="N3018" s="18"/>
      <c r="O3018" s="18"/>
      <c r="P3018" s="18"/>
      <c r="Q3018" s="22"/>
      <c r="R3018" s="21"/>
      <c r="S3018" s="21"/>
      <c r="T3018" s="21"/>
      <c r="AA3018"/>
      <c r="AH3018" t="str">
        <f t="shared" si="461"/>
        <v>k yet</v>
      </c>
    </row>
    <row r="3019" spans="1:39">
      <c r="A3019" s="42" t="s">
        <v>267</v>
      </c>
      <c r="B3019" s="40" t="str">
        <f t="shared" si="458"/>
        <v>No pick yet</v>
      </c>
      <c r="C3019" s="40" t="str">
        <f t="shared" si="457"/>
        <v>22-&gt;</v>
      </c>
      <c r="D3019" s="40" t="str">
        <f t="shared" si="459"/>
        <v xml:space="preserve">No pick yet                                                 </v>
      </c>
      <c r="E3019" s="52">
        <f t="shared" si="460"/>
        <v>0</v>
      </c>
      <c r="F3019" s="18"/>
      <c r="M3019" s="18"/>
      <c r="N3019" s="18"/>
      <c r="O3019" s="18"/>
      <c r="P3019" s="18"/>
      <c r="Q3019" s="22"/>
      <c r="R3019" s="21"/>
      <c r="S3019" s="21"/>
      <c r="T3019" s="21"/>
      <c r="AA3019"/>
      <c r="AH3019" t="str">
        <f t="shared" si="461"/>
        <v>k yet</v>
      </c>
    </row>
    <row r="3020" spans="1:39">
      <c r="A3020" s="42" t="s">
        <v>268</v>
      </c>
      <c r="B3020" s="40" t="str">
        <f t="shared" si="458"/>
        <v>No pick yet</v>
      </c>
      <c r="C3020" s="40" t="str">
        <f t="shared" si="457"/>
        <v>23-&gt;</v>
      </c>
      <c r="D3020" s="40" t="str">
        <f t="shared" si="459"/>
        <v xml:space="preserve">No pick yet                                                 </v>
      </c>
      <c r="E3020" s="52">
        <f t="shared" si="460"/>
        <v>0</v>
      </c>
      <c r="F3020" s="18"/>
      <c r="M3020" s="18"/>
      <c r="N3020" s="18"/>
      <c r="O3020" s="18"/>
      <c r="P3020" s="18"/>
      <c r="Q3020" s="22"/>
      <c r="R3020" s="21"/>
      <c r="S3020" s="21"/>
      <c r="T3020" s="21"/>
      <c r="AA3020"/>
      <c r="AH3020" t="str">
        <f t="shared" si="461"/>
        <v>k yet</v>
      </c>
    </row>
    <row r="3021" spans="1:39">
      <c r="A3021" s="42" t="s">
        <v>269</v>
      </c>
      <c r="B3021" s="40" t="str">
        <f t="shared" si="458"/>
        <v>No pick yet</v>
      </c>
      <c r="C3021" s="40" t="str">
        <f t="shared" si="457"/>
        <v>24-&gt;</v>
      </c>
      <c r="D3021" s="40" t="str">
        <f t="shared" si="459"/>
        <v xml:space="preserve">No pick yet                                                 </v>
      </c>
      <c r="E3021" s="52">
        <f t="shared" si="460"/>
        <v>0</v>
      </c>
      <c r="F3021" s="18"/>
      <c r="M3021" s="18"/>
      <c r="N3021" s="18"/>
      <c r="O3021" s="18"/>
      <c r="P3021" s="18"/>
      <c r="Q3021" s="22"/>
      <c r="R3021" s="21"/>
      <c r="S3021" s="21"/>
      <c r="T3021" s="21"/>
      <c r="AA3021"/>
      <c r="AH3021" t="str">
        <f t="shared" si="461"/>
        <v>k yet</v>
      </c>
    </row>
    <row r="3022" spans="1:39">
      <c r="A3022" s="42" t="s">
        <v>270</v>
      </c>
      <c r="B3022" s="40" t="str">
        <f t="shared" si="458"/>
        <v>No pick yet</v>
      </c>
      <c r="C3022" s="40" t="str">
        <f t="shared" si="457"/>
        <v>25-&gt;</v>
      </c>
      <c r="D3022" s="40" t="str">
        <f t="shared" si="459"/>
        <v xml:space="preserve">No pick yet                                                 </v>
      </c>
      <c r="E3022" s="52">
        <f t="shared" si="460"/>
        <v>0</v>
      </c>
      <c r="F3022" s="18"/>
      <c r="M3022" s="18"/>
      <c r="N3022" s="18"/>
      <c r="O3022" s="18"/>
      <c r="P3022" s="18"/>
      <c r="Q3022" s="22"/>
      <c r="R3022" s="21"/>
      <c r="S3022" s="21"/>
      <c r="T3022" s="21"/>
      <c r="AA3022"/>
      <c r="AH3022" t="str">
        <f t="shared" si="461"/>
        <v>k yet</v>
      </c>
    </row>
    <row r="3023" spans="1:39">
      <c r="A3023" s="42" t="s">
        <v>271</v>
      </c>
      <c r="B3023" s="40" t="str">
        <f t="shared" si="458"/>
        <v>No pick yet</v>
      </c>
      <c r="C3023" s="40" t="str">
        <f t="shared" si="457"/>
        <v>26-&gt;</v>
      </c>
      <c r="D3023" s="40" t="str">
        <f t="shared" si="459"/>
        <v xml:space="preserve">No pick yet                                                 </v>
      </c>
      <c r="E3023" s="52">
        <f t="shared" si="460"/>
        <v>0</v>
      </c>
      <c r="F3023" s="18"/>
      <c r="M3023" s="18"/>
      <c r="N3023" s="18"/>
      <c r="O3023" s="18"/>
      <c r="P3023" s="18"/>
      <c r="Q3023" s="22"/>
      <c r="R3023" s="21"/>
      <c r="S3023" s="21"/>
      <c r="T3023" s="21"/>
      <c r="AA3023"/>
      <c r="AH3023" t="str">
        <f t="shared" si="461"/>
        <v>k yet</v>
      </c>
    </row>
    <row r="3024" spans="1:39">
      <c r="A3024" s="38"/>
      <c r="B3024" s="40"/>
      <c r="C3024" s="40"/>
      <c r="D3024" s="49"/>
      <c r="E3024" s="41" t="s">
        <v>69</v>
      </c>
      <c r="F3024" s="18"/>
      <c r="K3024" s="22" t="s">
        <v>73</v>
      </c>
      <c r="L3024" s="18" t="s">
        <v>74</v>
      </c>
      <c r="M3024" s="22" t="s">
        <v>78</v>
      </c>
      <c r="N3024" s="22" t="s">
        <v>79</v>
      </c>
      <c r="O3024" s="22" t="s">
        <v>80</v>
      </c>
      <c r="P3024" s="22" t="s">
        <v>81</v>
      </c>
      <c r="Q3024" s="22" t="s">
        <v>82</v>
      </c>
      <c r="R3024" s="22" t="s">
        <v>83</v>
      </c>
      <c r="S3024" s="22" t="s">
        <v>84</v>
      </c>
      <c r="T3024" s="18" t="s">
        <v>85</v>
      </c>
      <c r="U3024" s="18" t="s">
        <v>86</v>
      </c>
      <c r="V3024" s="18" t="s">
        <v>87</v>
      </c>
      <c r="W3024" s="18" t="s">
        <v>88</v>
      </c>
      <c r="X3024" s="18" t="s">
        <v>89</v>
      </c>
      <c r="Y3024" s="18" t="s">
        <v>90</v>
      </c>
      <c r="Z3024" s="18" t="s">
        <v>91</v>
      </c>
      <c r="AA3024" s="18" t="s">
        <v>92</v>
      </c>
      <c r="AB3024" s="18" t="s">
        <v>93</v>
      </c>
      <c r="AC3024" s="18" t="s">
        <v>94</v>
      </c>
      <c r="AD3024" s="18" t="s">
        <v>235</v>
      </c>
      <c r="AE3024" s="18" t="s">
        <v>236</v>
      </c>
      <c r="AF3024" s="18" t="s">
        <v>237</v>
      </c>
      <c r="AG3024" s="18" t="s">
        <v>238</v>
      </c>
      <c r="AH3024" s="18" t="s">
        <v>239</v>
      </c>
      <c r="AI3024" s="18" t="s">
        <v>240</v>
      </c>
      <c r="AJ3024" s="18" t="s">
        <v>241</v>
      </c>
      <c r="AK3024" s="18" t="s">
        <v>242</v>
      </c>
      <c r="AL3024" s="18" t="s">
        <v>243</v>
      </c>
      <c r="AM3024" s="50" t="s">
        <v>244</v>
      </c>
    </row>
    <row r="3025" spans="1:39">
      <c r="A3025" s="40" t="s">
        <v>245</v>
      </c>
      <c r="B3025" s="51" t="str">
        <f>D107</f>
        <v/>
      </c>
      <c r="C3025" s="40" t="str">
        <f t="shared" ref="C3025:C3051" si="462">A3025</f>
        <v>#</v>
      </c>
      <c r="D3025" s="40" t="str">
        <f>"   "&amp;B3025&amp;REPT(" ",$AH$70-LEN(B3025)-3)</f>
        <v xml:space="preserve">                                                            </v>
      </c>
      <c r="E3025" s="38" t="str">
        <f>SUM(E3026:E3051)&amp;" pts[/b]"</f>
        <v>0 pts[/b]</v>
      </c>
      <c r="F3025" s="21">
        <f>SUM(E3026:E3051)</f>
        <v>0</v>
      </c>
      <c r="K3025" s="18">
        <f>COUNTIF(E3026:E3051,"&gt;0")</f>
        <v>0</v>
      </c>
      <c r="L3025" s="21">
        <f>AM3025-K3025</f>
        <v>0</v>
      </c>
      <c r="M3025" s="22">
        <f>MAX(E3026:E3051)</f>
        <v>0</v>
      </c>
      <c r="N3025" s="22">
        <f>LARGE(E3026:E3051,2)</f>
        <v>0</v>
      </c>
      <c r="O3025" s="22">
        <f>LARGE(E3026:E3051,3)</f>
        <v>0</v>
      </c>
      <c r="P3025" s="18">
        <f>LARGE(E3026:E3051,4)</f>
        <v>0</v>
      </c>
      <c r="Q3025" s="22">
        <f>LARGE(E3026:E3051,5)</f>
        <v>0</v>
      </c>
      <c r="R3025" s="22">
        <f>LARGE(E3026:E3051,6)</f>
        <v>0</v>
      </c>
      <c r="S3025" s="22">
        <f>LARGE(E3026:E3051,7)</f>
        <v>0</v>
      </c>
      <c r="T3025" s="18">
        <f>LARGE(E3026:E3051,8)</f>
        <v>0</v>
      </c>
      <c r="U3025" s="18">
        <f>LARGE(E3026:E3051,9)</f>
        <v>0</v>
      </c>
      <c r="V3025" s="18">
        <f>LARGE(E3026:E3051,10)</f>
        <v>0</v>
      </c>
      <c r="W3025" s="18">
        <f>LARGE(E3026:E3051,11)</f>
        <v>0</v>
      </c>
      <c r="X3025" s="18">
        <f>LARGE(E3026:E3051,12)</f>
        <v>0</v>
      </c>
      <c r="Y3025" s="18">
        <f>LARGE(E3026:E3051,13)</f>
        <v>0</v>
      </c>
      <c r="Z3025" s="18">
        <f>LARGE(E3026:E3051,14)</f>
        <v>0</v>
      </c>
      <c r="AA3025" s="18">
        <f>LARGE(E3026:E3051,15)</f>
        <v>0</v>
      </c>
      <c r="AB3025" s="18">
        <f>LARGE(E3026:E3051,16)</f>
        <v>0</v>
      </c>
      <c r="AC3025" s="18">
        <f>LARGE(E3026:E3051,17)</f>
        <v>0</v>
      </c>
      <c r="AD3025" s="18">
        <f>LARGE(E3026:E3052,13)</f>
        <v>0</v>
      </c>
      <c r="AE3025" s="18">
        <f>LARGE(E3026:E3051,19)</f>
        <v>0</v>
      </c>
      <c r="AF3025" s="18">
        <f>LARGE(E3026:E3051,20)</f>
        <v>0</v>
      </c>
      <c r="AG3025" s="18">
        <f>LARGE(E3026:E3051,21)</f>
        <v>0</v>
      </c>
      <c r="AH3025" s="18">
        <f>LARGE(E3026:E3051,22)</f>
        <v>0</v>
      </c>
      <c r="AI3025" s="18">
        <f>LARGE(E3026:E3051,23)</f>
        <v>0</v>
      </c>
      <c r="AJ3025" s="18">
        <f>LARGE(E3026:E3051,24)</f>
        <v>0</v>
      </c>
      <c r="AK3025" s="18">
        <f>LARGE(E3026:E3051,25)</f>
        <v>0</v>
      </c>
      <c r="AL3025" s="18">
        <f>LARGE(E3026:E3051,26)</f>
        <v>0</v>
      </c>
      <c r="AM3025" s="50">
        <f>COUNTIF(B3026:B3051,"&lt;&gt;"&amp;AH74)</f>
        <v>0</v>
      </c>
    </row>
    <row r="3026" spans="1:39">
      <c r="A3026" s="42" t="s">
        <v>246</v>
      </c>
      <c r="B3026" s="40" t="str">
        <f t="shared" ref="B3026:B3051" si="463">$AH$74</f>
        <v>No pick yet</v>
      </c>
      <c r="C3026" s="40" t="str">
        <f t="shared" si="462"/>
        <v>01-&gt;</v>
      </c>
      <c r="D3026" s="40" t="str">
        <f t="shared" ref="D3026:D3051" si="464">B3026&amp;REPT(" ",$AH$70-LEN(B3026))</f>
        <v xml:space="preserve">No pick yet                                                 </v>
      </c>
      <c r="E3026" s="52">
        <f t="shared" ref="E3026:E3051" si="465">VLOOKUP(RIGHT(B3026,LEN(B3026)-$AH$66),$H$138:$I$420,2,0)</f>
        <v>0</v>
      </c>
      <c r="F3026" s="18"/>
      <c r="M3026" s="18"/>
      <c r="N3026" s="18"/>
      <c r="O3026" s="18"/>
      <c r="P3026" s="18"/>
      <c r="Q3026" s="22"/>
      <c r="R3026" s="21"/>
      <c r="S3026" s="21"/>
      <c r="T3026" s="21"/>
      <c r="AA3026"/>
      <c r="AH3026" t="str">
        <f t="shared" ref="AH3026:AH3051" si="466">RIGHT(B3026,LEN(B3026)-$AH$66)</f>
        <v>k yet</v>
      </c>
    </row>
    <row r="3027" spans="1:39">
      <c r="A3027" s="42" t="s">
        <v>247</v>
      </c>
      <c r="B3027" s="40" t="str">
        <f t="shared" si="463"/>
        <v>No pick yet</v>
      </c>
      <c r="C3027" s="40" t="str">
        <f t="shared" si="462"/>
        <v>02-&gt;</v>
      </c>
      <c r="D3027" s="40" t="str">
        <f t="shared" si="464"/>
        <v xml:space="preserve">No pick yet                                                 </v>
      </c>
      <c r="E3027" s="52">
        <f t="shared" si="465"/>
        <v>0</v>
      </c>
      <c r="F3027" s="18"/>
      <c r="K3027" s="22"/>
      <c r="N3027" s="22"/>
      <c r="O3027" s="22"/>
      <c r="P3027" s="22"/>
      <c r="Q3027" s="22"/>
      <c r="R3027" s="22"/>
      <c r="S3027" s="22"/>
      <c r="Z3027" s="53"/>
      <c r="AA3027"/>
      <c r="AH3027" t="str">
        <f t="shared" si="466"/>
        <v>k yet</v>
      </c>
    </row>
    <row r="3028" spans="1:39">
      <c r="A3028" s="42" t="s">
        <v>248</v>
      </c>
      <c r="B3028" s="40" t="str">
        <f t="shared" si="463"/>
        <v>No pick yet</v>
      </c>
      <c r="C3028" s="40" t="str">
        <f t="shared" si="462"/>
        <v>03-&gt;</v>
      </c>
      <c r="D3028" s="40" t="str">
        <f t="shared" si="464"/>
        <v xml:space="preserve">No pick yet                                                 </v>
      </c>
      <c r="E3028" s="52">
        <f t="shared" si="465"/>
        <v>0</v>
      </c>
      <c r="F3028" s="18"/>
      <c r="L3028" s="21"/>
      <c r="N3028" s="22"/>
      <c r="O3028" s="22"/>
      <c r="P3028" s="18"/>
      <c r="Q3028" s="22"/>
      <c r="R3028" s="22"/>
      <c r="S3028" s="22"/>
      <c r="Z3028" s="53"/>
      <c r="AA3028"/>
      <c r="AH3028" t="str">
        <f t="shared" si="466"/>
        <v>k yet</v>
      </c>
    </row>
    <row r="3029" spans="1:39">
      <c r="A3029" s="42" t="s">
        <v>249</v>
      </c>
      <c r="B3029" s="40" t="str">
        <f t="shared" si="463"/>
        <v>No pick yet</v>
      </c>
      <c r="C3029" s="40" t="str">
        <f t="shared" si="462"/>
        <v>04-&gt;</v>
      </c>
      <c r="D3029" s="40" t="str">
        <f t="shared" si="464"/>
        <v xml:space="preserve">No pick yet                                                 </v>
      </c>
      <c r="E3029" s="52">
        <f t="shared" si="465"/>
        <v>0</v>
      </c>
      <c r="F3029" s="18"/>
      <c r="M3029" s="18"/>
      <c r="N3029" s="18"/>
      <c r="O3029" s="18"/>
      <c r="P3029" s="18"/>
      <c r="Q3029" s="22"/>
      <c r="R3029" s="21"/>
      <c r="S3029" s="21"/>
      <c r="T3029" s="21"/>
      <c r="AA3029"/>
      <c r="AH3029" t="str">
        <f t="shared" si="466"/>
        <v>k yet</v>
      </c>
    </row>
    <row r="3030" spans="1:39">
      <c r="A3030" s="42" t="s">
        <v>250</v>
      </c>
      <c r="B3030" s="40" t="str">
        <f t="shared" si="463"/>
        <v>No pick yet</v>
      </c>
      <c r="C3030" s="40" t="str">
        <f t="shared" si="462"/>
        <v>05-&gt;</v>
      </c>
      <c r="D3030" s="40" t="str">
        <f t="shared" si="464"/>
        <v xml:space="preserve">No pick yet                                                 </v>
      </c>
      <c r="E3030" s="52">
        <f t="shared" si="465"/>
        <v>0</v>
      </c>
      <c r="F3030" s="18"/>
      <c r="M3030" s="18"/>
      <c r="N3030" s="18"/>
      <c r="O3030" s="18"/>
      <c r="P3030" s="18"/>
      <c r="Q3030" s="22"/>
      <c r="R3030" s="21"/>
      <c r="S3030" s="21"/>
      <c r="T3030" s="21"/>
      <c r="AA3030"/>
      <c r="AH3030" t="str">
        <f t="shared" si="466"/>
        <v>k yet</v>
      </c>
    </row>
    <row r="3031" spans="1:39">
      <c r="A3031" s="42" t="s">
        <v>251</v>
      </c>
      <c r="B3031" s="40" t="str">
        <f t="shared" si="463"/>
        <v>No pick yet</v>
      </c>
      <c r="C3031" s="40" t="str">
        <f t="shared" si="462"/>
        <v>06-&gt;</v>
      </c>
      <c r="D3031" s="40" t="str">
        <f t="shared" si="464"/>
        <v xml:space="preserve">No pick yet                                                 </v>
      </c>
      <c r="E3031" s="52">
        <f t="shared" si="465"/>
        <v>0</v>
      </c>
      <c r="F3031" s="18"/>
      <c r="M3031" s="18"/>
      <c r="N3031" s="18"/>
      <c r="O3031" s="18"/>
      <c r="P3031" s="18"/>
      <c r="Q3031" s="22"/>
      <c r="R3031" s="21"/>
      <c r="S3031" s="21"/>
      <c r="T3031" s="21"/>
      <c r="AA3031"/>
      <c r="AH3031" t="str">
        <f t="shared" si="466"/>
        <v>k yet</v>
      </c>
    </row>
    <row r="3032" spans="1:39">
      <c r="A3032" s="42" t="s">
        <v>252</v>
      </c>
      <c r="B3032" s="40" t="str">
        <f t="shared" si="463"/>
        <v>No pick yet</v>
      </c>
      <c r="C3032" s="40" t="str">
        <f t="shared" si="462"/>
        <v>07-&gt;</v>
      </c>
      <c r="D3032" s="40" t="str">
        <f t="shared" si="464"/>
        <v xml:space="preserve">No pick yet                                                 </v>
      </c>
      <c r="E3032" s="52">
        <f t="shared" si="465"/>
        <v>0</v>
      </c>
      <c r="F3032" s="18"/>
      <c r="M3032" s="18"/>
      <c r="N3032" s="18"/>
      <c r="O3032" s="18"/>
      <c r="P3032" s="18"/>
      <c r="Q3032" s="22"/>
      <c r="R3032" s="21"/>
      <c r="S3032" s="21"/>
      <c r="T3032" s="21"/>
      <c r="AA3032"/>
      <c r="AH3032" t="str">
        <f t="shared" si="466"/>
        <v>k yet</v>
      </c>
    </row>
    <row r="3033" spans="1:39">
      <c r="A3033" s="42" t="s">
        <v>253</v>
      </c>
      <c r="B3033" s="40" t="str">
        <f t="shared" si="463"/>
        <v>No pick yet</v>
      </c>
      <c r="C3033" s="40" t="str">
        <f t="shared" si="462"/>
        <v>08-&gt;</v>
      </c>
      <c r="D3033" s="40" t="str">
        <f t="shared" si="464"/>
        <v xml:space="preserve">No pick yet                                                 </v>
      </c>
      <c r="E3033" s="52">
        <f t="shared" si="465"/>
        <v>0</v>
      </c>
      <c r="F3033" s="18"/>
      <c r="M3033" s="18"/>
      <c r="N3033" s="18"/>
      <c r="O3033" s="18"/>
      <c r="P3033" s="18"/>
      <c r="Q3033" s="22"/>
      <c r="R3033" s="21"/>
      <c r="S3033" s="21"/>
      <c r="T3033" s="21"/>
      <c r="AA3033"/>
      <c r="AH3033" t="str">
        <f t="shared" si="466"/>
        <v>k yet</v>
      </c>
    </row>
    <row r="3034" spans="1:39">
      <c r="A3034" s="42" t="s">
        <v>254</v>
      </c>
      <c r="B3034" s="40" t="str">
        <f t="shared" si="463"/>
        <v>No pick yet</v>
      </c>
      <c r="C3034" s="40" t="str">
        <f t="shared" si="462"/>
        <v>09-&gt;</v>
      </c>
      <c r="D3034" s="40" t="str">
        <f t="shared" si="464"/>
        <v xml:space="preserve">No pick yet                                                 </v>
      </c>
      <c r="E3034" s="52">
        <f t="shared" si="465"/>
        <v>0</v>
      </c>
      <c r="F3034" s="18"/>
      <c r="M3034" s="18"/>
      <c r="N3034" s="18"/>
      <c r="O3034" s="18"/>
      <c r="P3034" s="18"/>
      <c r="Q3034" s="22"/>
      <c r="R3034" s="21"/>
      <c r="S3034" s="21"/>
      <c r="T3034" s="21"/>
      <c r="AA3034"/>
      <c r="AH3034" t="str">
        <f t="shared" si="466"/>
        <v>k yet</v>
      </c>
    </row>
    <row r="3035" spans="1:39">
      <c r="A3035" s="42" t="s">
        <v>255</v>
      </c>
      <c r="B3035" s="40" t="str">
        <f t="shared" si="463"/>
        <v>No pick yet</v>
      </c>
      <c r="C3035" s="40" t="str">
        <f t="shared" si="462"/>
        <v>10-&gt;</v>
      </c>
      <c r="D3035" s="40" t="str">
        <f t="shared" si="464"/>
        <v xml:space="preserve">No pick yet                                                 </v>
      </c>
      <c r="E3035" s="52">
        <f t="shared" si="465"/>
        <v>0</v>
      </c>
      <c r="F3035" s="22"/>
      <c r="M3035" s="18"/>
      <c r="N3035" s="18"/>
      <c r="O3035" s="18"/>
      <c r="P3035" s="18"/>
      <c r="Q3035" s="22"/>
      <c r="R3035" s="21"/>
      <c r="S3035" s="21"/>
      <c r="T3035" s="21"/>
      <c r="AA3035"/>
      <c r="AH3035" t="str">
        <f t="shared" si="466"/>
        <v>k yet</v>
      </c>
    </row>
    <row r="3036" spans="1:39">
      <c r="A3036" s="42" t="s">
        <v>256</v>
      </c>
      <c r="B3036" s="40" t="str">
        <f t="shared" si="463"/>
        <v>No pick yet</v>
      </c>
      <c r="C3036" s="40" t="str">
        <f t="shared" si="462"/>
        <v>11-&gt;</v>
      </c>
      <c r="D3036" s="40" t="str">
        <f t="shared" si="464"/>
        <v xml:space="preserve">No pick yet                                                 </v>
      </c>
      <c r="E3036" s="52">
        <f t="shared" si="465"/>
        <v>0</v>
      </c>
      <c r="M3036" s="18"/>
      <c r="N3036" s="18"/>
      <c r="O3036" s="18"/>
      <c r="P3036" s="18"/>
      <c r="Q3036" s="22"/>
      <c r="R3036" s="21"/>
      <c r="S3036" s="21"/>
      <c r="T3036" s="21"/>
      <c r="AA3036"/>
      <c r="AH3036" t="str">
        <f t="shared" si="466"/>
        <v>k yet</v>
      </c>
    </row>
    <row r="3037" spans="1:39">
      <c r="A3037" s="42" t="s">
        <v>257</v>
      </c>
      <c r="B3037" s="40" t="str">
        <f t="shared" si="463"/>
        <v>No pick yet</v>
      </c>
      <c r="C3037" s="40" t="str">
        <f t="shared" si="462"/>
        <v>12-&gt;</v>
      </c>
      <c r="D3037" s="40" t="str">
        <f t="shared" si="464"/>
        <v xml:space="preserve">No pick yet                                                 </v>
      </c>
      <c r="E3037" s="52">
        <f t="shared" si="465"/>
        <v>0</v>
      </c>
      <c r="M3037" s="18"/>
      <c r="N3037" s="18"/>
      <c r="O3037" s="18"/>
      <c r="P3037" s="18"/>
      <c r="Q3037" s="22"/>
      <c r="R3037" s="21"/>
      <c r="S3037" s="21"/>
      <c r="T3037" s="21"/>
      <c r="AA3037"/>
      <c r="AH3037" t="str">
        <f t="shared" si="466"/>
        <v>k yet</v>
      </c>
    </row>
    <row r="3038" spans="1:39">
      <c r="A3038" s="42" t="s">
        <v>258</v>
      </c>
      <c r="B3038" s="40" t="str">
        <f t="shared" si="463"/>
        <v>No pick yet</v>
      </c>
      <c r="C3038" s="40" t="str">
        <f t="shared" si="462"/>
        <v>13-&gt;</v>
      </c>
      <c r="D3038" s="40" t="str">
        <f t="shared" si="464"/>
        <v xml:space="preserve">No pick yet                                                 </v>
      </c>
      <c r="E3038" s="52">
        <f t="shared" si="465"/>
        <v>0</v>
      </c>
      <c r="M3038" s="18"/>
      <c r="N3038" s="18"/>
      <c r="O3038" s="18"/>
      <c r="P3038" s="18"/>
      <c r="Q3038" s="22"/>
      <c r="R3038" s="21"/>
      <c r="S3038" s="21"/>
      <c r="T3038" s="21"/>
      <c r="AA3038"/>
      <c r="AH3038" t="str">
        <f t="shared" si="466"/>
        <v>k yet</v>
      </c>
    </row>
    <row r="3039" spans="1:39">
      <c r="A3039" s="42" t="s">
        <v>259</v>
      </c>
      <c r="B3039" s="40" t="str">
        <f t="shared" si="463"/>
        <v>No pick yet</v>
      </c>
      <c r="C3039" s="40" t="str">
        <f t="shared" si="462"/>
        <v>14-&gt;</v>
      </c>
      <c r="D3039" s="40" t="str">
        <f t="shared" si="464"/>
        <v xml:space="preserve">No pick yet                                                 </v>
      </c>
      <c r="E3039" s="52">
        <f t="shared" si="465"/>
        <v>0</v>
      </c>
      <c r="M3039" s="18"/>
      <c r="N3039" s="18"/>
      <c r="O3039" s="18"/>
      <c r="P3039" s="18"/>
      <c r="Q3039" s="22"/>
      <c r="R3039" s="21"/>
      <c r="S3039" s="21"/>
      <c r="T3039" s="21"/>
      <c r="AA3039"/>
      <c r="AH3039" t="str">
        <f t="shared" si="466"/>
        <v>k yet</v>
      </c>
    </row>
    <row r="3040" spans="1:39">
      <c r="A3040" s="42" t="s">
        <v>260</v>
      </c>
      <c r="B3040" s="40" t="str">
        <f t="shared" si="463"/>
        <v>No pick yet</v>
      </c>
      <c r="C3040" s="40" t="str">
        <f t="shared" si="462"/>
        <v>15-&gt;</v>
      </c>
      <c r="D3040" s="40" t="str">
        <f t="shared" si="464"/>
        <v xml:space="preserve">No pick yet                                                 </v>
      </c>
      <c r="E3040" s="52">
        <f t="shared" si="465"/>
        <v>0</v>
      </c>
      <c r="M3040" s="18"/>
      <c r="N3040" s="18"/>
      <c r="O3040" s="18"/>
      <c r="P3040" s="18"/>
      <c r="Q3040" s="22"/>
      <c r="R3040" s="21"/>
      <c r="S3040" s="21"/>
      <c r="T3040" s="21"/>
      <c r="AA3040"/>
      <c r="AH3040" t="str">
        <f t="shared" si="466"/>
        <v>k yet</v>
      </c>
    </row>
    <row r="3041" spans="1:39">
      <c r="A3041" s="42" t="s">
        <v>261</v>
      </c>
      <c r="B3041" s="40" t="str">
        <f t="shared" si="463"/>
        <v>No pick yet</v>
      </c>
      <c r="C3041" s="40" t="str">
        <f t="shared" si="462"/>
        <v>16-&gt;</v>
      </c>
      <c r="D3041" s="40" t="str">
        <f t="shared" si="464"/>
        <v xml:space="preserve">No pick yet                                                 </v>
      </c>
      <c r="E3041" s="52">
        <f t="shared" si="465"/>
        <v>0</v>
      </c>
      <c r="M3041" s="18"/>
      <c r="N3041" s="18"/>
      <c r="O3041" s="18"/>
      <c r="P3041" s="18"/>
      <c r="Q3041" s="22"/>
      <c r="R3041" s="21"/>
      <c r="S3041" s="21"/>
      <c r="T3041" s="21"/>
      <c r="AA3041"/>
      <c r="AH3041" t="str">
        <f t="shared" si="466"/>
        <v>k yet</v>
      </c>
    </row>
    <row r="3042" spans="1:39">
      <c r="A3042" s="42" t="s">
        <v>262</v>
      </c>
      <c r="B3042" s="40" t="str">
        <f t="shared" si="463"/>
        <v>No pick yet</v>
      </c>
      <c r="C3042" s="40" t="str">
        <f t="shared" si="462"/>
        <v>17-&gt;</v>
      </c>
      <c r="D3042" s="40" t="str">
        <f t="shared" si="464"/>
        <v xml:space="preserve">No pick yet                                                 </v>
      </c>
      <c r="E3042" s="52">
        <f t="shared" si="465"/>
        <v>0</v>
      </c>
      <c r="K3042" s="22"/>
      <c r="N3042" s="22"/>
      <c r="O3042" s="22"/>
      <c r="P3042" s="22"/>
      <c r="Q3042" s="22"/>
      <c r="R3042" s="22"/>
      <c r="S3042" s="22"/>
      <c r="Z3042" s="53"/>
      <c r="AA3042"/>
      <c r="AH3042" t="str">
        <f t="shared" si="466"/>
        <v>k yet</v>
      </c>
    </row>
    <row r="3043" spans="1:39">
      <c r="A3043" s="42" t="s">
        <v>263</v>
      </c>
      <c r="B3043" s="40" t="str">
        <f t="shared" si="463"/>
        <v>No pick yet</v>
      </c>
      <c r="C3043" s="40" t="str">
        <f t="shared" si="462"/>
        <v>18-&gt;</v>
      </c>
      <c r="D3043" s="40" t="str">
        <f t="shared" si="464"/>
        <v xml:space="preserve">No pick yet                                                 </v>
      </c>
      <c r="E3043" s="52">
        <f t="shared" si="465"/>
        <v>0</v>
      </c>
      <c r="F3043" s="18"/>
      <c r="L3043" s="21"/>
      <c r="N3043" s="22"/>
      <c r="O3043" s="22"/>
      <c r="P3043" s="18"/>
      <c r="Q3043" s="22"/>
      <c r="R3043" s="22"/>
      <c r="S3043" s="22"/>
      <c r="Z3043" s="53"/>
      <c r="AA3043"/>
      <c r="AH3043" t="str">
        <f t="shared" si="466"/>
        <v>k yet</v>
      </c>
    </row>
    <row r="3044" spans="1:39">
      <c r="A3044" s="42" t="s">
        <v>264</v>
      </c>
      <c r="B3044" s="40" t="str">
        <f t="shared" si="463"/>
        <v>No pick yet</v>
      </c>
      <c r="C3044" s="40" t="str">
        <f t="shared" si="462"/>
        <v>19-&gt;</v>
      </c>
      <c r="D3044" s="40" t="str">
        <f t="shared" si="464"/>
        <v xml:space="preserve">No pick yet                                                 </v>
      </c>
      <c r="E3044" s="52">
        <f t="shared" si="465"/>
        <v>0</v>
      </c>
      <c r="F3044" s="18"/>
      <c r="M3044" s="18"/>
      <c r="N3044" s="18"/>
      <c r="O3044" s="18"/>
      <c r="P3044" s="18"/>
      <c r="Q3044" s="22"/>
      <c r="R3044" s="21"/>
      <c r="S3044" s="21"/>
      <c r="T3044" s="21"/>
      <c r="AA3044"/>
      <c r="AH3044" t="str">
        <f t="shared" si="466"/>
        <v>k yet</v>
      </c>
    </row>
    <row r="3045" spans="1:39">
      <c r="A3045" s="42" t="s">
        <v>265</v>
      </c>
      <c r="B3045" s="40" t="str">
        <f t="shared" si="463"/>
        <v>No pick yet</v>
      </c>
      <c r="C3045" s="40" t="str">
        <f t="shared" si="462"/>
        <v>20-&gt;</v>
      </c>
      <c r="D3045" s="40" t="str">
        <f t="shared" si="464"/>
        <v xml:space="preserve">No pick yet                                                 </v>
      </c>
      <c r="E3045" s="52">
        <f t="shared" si="465"/>
        <v>0</v>
      </c>
      <c r="F3045" s="18"/>
      <c r="M3045" s="18"/>
      <c r="N3045" s="18"/>
      <c r="O3045" s="18"/>
      <c r="P3045" s="18"/>
      <c r="Q3045" s="22"/>
      <c r="R3045" s="21"/>
      <c r="S3045" s="21"/>
      <c r="T3045" s="21"/>
      <c r="AA3045"/>
      <c r="AH3045" t="str">
        <f t="shared" si="466"/>
        <v>k yet</v>
      </c>
    </row>
    <row r="3046" spans="1:39">
      <c r="A3046" s="42" t="s">
        <v>266</v>
      </c>
      <c r="B3046" s="40" t="str">
        <f t="shared" si="463"/>
        <v>No pick yet</v>
      </c>
      <c r="C3046" s="40" t="str">
        <f t="shared" si="462"/>
        <v>21-&gt;</v>
      </c>
      <c r="D3046" s="40" t="str">
        <f t="shared" si="464"/>
        <v xml:space="preserve">No pick yet                                                 </v>
      </c>
      <c r="E3046" s="52">
        <f t="shared" si="465"/>
        <v>0</v>
      </c>
      <c r="F3046" s="18"/>
      <c r="M3046" s="18"/>
      <c r="N3046" s="18"/>
      <c r="O3046" s="18"/>
      <c r="P3046" s="18"/>
      <c r="Q3046" s="22"/>
      <c r="R3046" s="21"/>
      <c r="S3046" s="21"/>
      <c r="T3046" s="21"/>
      <c r="AA3046"/>
      <c r="AH3046" t="str">
        <f t="shared" si="466"/>
        <v>k yet</v>
      </c>
    </row>
    <row r="3047" spans="1:39">
      <c r="A3047" s="42" t="s">
        <v>267</v>
      </c>
      <c r="B3047" s="40" t="str">
        <f t="shared" si="463"/>
        <v>No pick yet</v>
      </c>
      <c r="C3047" s="40" t="str">
        <f t="shared" si="462"/>
        <v>22-&gt;</v>
      </c>
      <c r="D3047" s="40" t="str">
        <f t="shared" si="464"/>
        <v xml:space="preserve">No pick yet                                                 </v>
      </c>
      <c r="E3047" s="52">
        <f t="shared" si="465"/>
        <v>0</v>
      </c>
      <c r="F3047" s="18"/>
      <c r="M3047" s="18"/>
      <c r="N3047" s="18"/>
      <c r="O3047" s="18"/>
      <c r="P3047" s="18"/>
      <c r="Q3047" s="22"/>
      <c r="R3047" s="21"/>
      <c r="S3047" s="21"/>
      <c r="T3047" s="21"/>
      <c r="AA3047"/>
      <c r="AH3047" t="str">
        <f t="shared" si="466"/>
        <v>k yet</v>
      </c>
    </row>
    <row r="3048" spans="1:39">
      <c r="A3048" s="42" t="s">
        <v>268</v>
      </c>
      <c r="B3048" s="40" t="str">
        <f t="shared" si="463"/>
        <v>No pick yet</v>
      </c>
      <c r="C3048" s="40" t="str">
        <f t="shared" si="462"/>
        <v>23-&gt;</v>
      </c>
      <c r="D3048" s="40" t="str">
        <f t="shared" si="464"/>
        <v xml:space="preserve">No pick yet                                                 </v>
      </c>
      <c r="E3048" s="52">
        <f t="shared" si="465"/>
        <v>0</v>
      </c>
      <c r="F3048" s="18"/>
      <c r="M3048" s="18"/>
      <c r="N3048" s="18"/>
      <c r="O3048" s="18"/>
      <c r="P3048" s="18"/>
      <c r="Q3048" s="22"/>
      <c r="R3048" s="21"/>
      <c r="S3048" s="21"/>
      <c r="T3048" s="21"/>
      <c r="AA3048"/>
      <c r="AH3048" t="str">
        <f t="shared" si="466"/>
        <v>k yet</v>
      </c>
    </row>
    <row r="3049" spans="1:39">
      <c r="A3049" s="42" t="s">
        <v>269</v>
      </c>
      <c r="B3049" s="40" t="str">
        <f t="shared" si="463"/>
        <v>No pick yet</v>
      </c>
      <c r="C3049" s="40" t="str">
        <f t="shared" si="462"/>
        <v>24-&gt;</v>
      </c>
      <c r="D3049" s="40" t="str">
        <f t="shared" si="464"/>
        <v xml:space="preserve">No pick yet                                                 </v>
      </c>
      <c r="E3049" s="52">
        <f t="shared" si="465"/>
        <v>0</v>
      </c>
      <c r="F3049" s="18"/>
      <c r="M3049" s="18"/>
      <c r="N3049" s="18"/>
      <c r="O3049" s="18"/>
      <c r="P3049" s="18"/>
      <c r="Q3049" s="22"/>
      <c r="R3049" s="21"/>
      <c r="S3049" s="21"/>
      <c r="T3049" s="21"/>
      <c r="AA3049"/>
      <c r="AH3049" t="str">
        <f t="shared" si="466"/>
        <v>k yet</v>
      </c>
    </row>
    <row r="3050" spans="1:39">
      <c r="A3050" s="42" t="s">
        <v>270</v>
      </c>
      <c r="B3050" s="40" t="str">
        <f t="shared" si="463"/>
        <v>No pick yet</v>
      </c>
      <c r="C3050" s="40" t="str">
        <f t="shared" si="462"/>
        <v>25-&gt;</v>
      </c>
      <c r="D3050" s="40" t="str">
        <f t="shared" si="464"/>
        <v xml:space="preserve">No pick yet                                                 </v>
      </c>
      <c r="E3050" s="52">
        <f t="shared" si="465"/>
        <v>0</v>
      </c>
      <c r="F3050" s="18"/>
      <c r="M3050" s="18"/>
      <c r="N3050" s="18"/>
      <c r="O3050" s="18"/>
      <c r="P3050" s="18"/>
      <c r="Q3050" s="22"/>
      <c r="R3050" s="21"/>
      <c r="S3050" s="21"/>
      <c r="T3050" s="21"/>
      <c r="AA3050"/>
      <c r="AH3050" t="str">
        <f t="shared" si="466"/>
        <v>k yet</v>
      </c>
    </row>
    <row r="3051" spans="1:39">
      <c r="A3051" s="42" t="s">
        <v>271</v>
      </c>
      <c r="B3051" s="40" t="str">
        <f t="shared" si="463"/>
        <v>No pick yet</v>
      </c>
      <c r="C3051" s="40" t="str">
        <f t="shared" si="462"/>
        <v>26-&gt;</v>
      </c>
      <c r="D3051" s="40" t="str">
        <f t="shared" si="464"/>
        <v xml:space="preserve">No pick yet                                                 </v>
      </c>
      <c r="E3051" s="52">
        <f t="shared" si="465"/>
        <v>0</v>
      </c>
      <c r="F3051" s="18"/>
      <c r="M3051" s="18"/>
      <c r="N3051" s="18"/>
      <c r="O3051" s="18"/>
      <c r="P3051" s="18"/>
      <c r="Q3051" s="22"/>
      <c r="R3051" s="21"/>
      <c r="S3051" s="21"/>
      <c r="T3051" s="21"/>
      <c r="AA3051"/>
      <c r="AH3051" t="str">
        <f t="shared" si="466"/>
        <v>k yet</v>
      </c>
    </row>
    <row r="3052" spans="1:39">
      <c r="A3052" s="38"/>
      <c r="B3052" s="40"/>
      <c r="C3052" s="40"/>
      <c r="D3052" s="49"/>
      <c r="E3052" s="41" t="s">
        <v>69</v>
      </c>
      <c r="F3052" s="18"/>
      <c r="K3052" s="22" t="s">
        <v>73</v>
      </c>
      <c r="L3052" s="18" t="s">
        <v>74</v>
      </c>
      <c r="M3052" s="22" t="s">
        <v>78</v>
      </c>
      <c r="N3052" s="22" t="s">
        <v>79</v>
      </c>
      <c r="O3052" s="22" t="s">
        <v>80</v>
      </c>
      <c r="P3052" s="22" t="s">
        <v>81</v>
      </c>
      <c r="Q3052" s="22" t="s">
        <v>82</v>
      </c>
      <c r="R3052" s="22" t="s">
        <v>83</v>
      </c>
      <c r="S3052" s="22" t="s">
        <v>84</v>
      </c>
      <c r="T3052" s="18" t="s">
        <v>85</v>
      </c>
      <c r="U3052" s="18" t="s">
        <v>86</v>
      </c>
      <c r="V3052" s="18" t="s">
        <v>87</v>
      </c>
      <c r="W3052" s="18" t="s">
        <v>88</v>
      </c>
      <c r="X3052" s="18" t="s">
        <v>89</v>
      </c>
      <c r="Y3052" s="18" t="s">
        <v>90</v>
      </c>
      <c r="Z3052" s="18" t="s">
        <v>91</v>
      </c>
      <c r="AA3052" s="18" t="s">
        <v>92</v>
      </c>
      <c r="AB3052" s="18" t="s">
        <v>93</v>
      </c>
      <c r="AC3052" s="18" t="s">
        <v>94</v>
      </c>
      <c r="AD3052" s="18" t="s">
        <v>235</v>
      </c>
      <c r="AE3052" s="18" t="s">
        <v>236</v>
      </c>
      <c r="AF3052" s="18" t="s">
        <v>237</v>
      </c>
      <c r="AG3052" s="18" t="s">
        <v>238</v>
      </c>
      <c r="AH3052" s="18" t="s">
        <v>239</v>
      </c>
      <c r="AI3052" s="18" t="s">
        <v>240</v>
      </c>
      <c r="AJ3052" s="18" t="s">
        <v>241</v>
      </c>
      <c r="AK3052" s="18" t="s">
        <v>242</v>
      </c>
      <c r="AL3052" s="18" t="s">
        <v>243</v>
      </c>
      <c r="AM3052" s="50" t="s">
        <v>244</v>
      </c>
    </row>
    <row r="3053" spans="1:39">
      <c r="A3053" s="40" t="s">
        <v>245</v>
      </c>
      <c r="B3053" s="51" t="str">
        <f>D108</f>
        <v/>
      </c>
      <c r="C3053" s="40" t="str">
        <f t="shared" ref="C3053:C3079" si="467">A3053</f>
        <v>#</v>
      </c>
      <c r="D3053" s="40" t="str">
        <f>"   "&amp;B3053&amp;REPT(" ",$AH$70-LEN(B3053)-3)</f>
        <v xml:space="preserve">                                                            </v>
      </c>
      <c r="E3053" s="38" t="str">
        <f>SUM(E3054:E3079)&amp;" pts[/b]"</f>
        <v>0 pts[/b]</v>
      </c>
      <c r="F3053" s="21">
        <f>SUM(E3054:E3079)</f>
        <v>0</v>
      </c>
      <c r="K3053" s="18">
        <f>COUNTIF(E3054:E3079,"&gt;0")</f>
        <v>0</v>
      </c>
      <c r="L3053" s="21">
        <f>AM3053-K3053</f>
        <v>0</v>
      </c>
      <c r="M3053" s="22">
        <f>MAX(E3054:E3079)</f>
        <v>0</v>
      </c>
      <c r="N3053" s="22">
        <f>LARGE(E3054:E3079,2)</f>
        <v>0</v>
      </c>
      <c r="O3053" s="22">
        <f>LARGE(E3054:E3079,3)</f>
        <v>0</v>
      </c>
      <c r="P3053" s="18">
        <f>LARGE(E3054:E3079,4)</f>
        <v>0</v>
      </c>
      <c r="Q3053" s="22">
        <f>LARGE(E3054:E3079,5)</f>
        <v>0</v>
      </c>
      <c r="R3053" s="22">
        <f>LARGE(E3054:E3079,6)</f>
        <v>0</v>
      </c>
      <c r="S3053" s="22">
        <f>LARGE(E3054:E3079,7)</f>
        <v>0</v>
      </c>
      <c r="T3053" s="18">
        <f>LARGE(E3054:E3079,8)</f>
        <v>0</v>
      </c>
      <c r="U3053" s="18">
        <f>LARGE(E3054:E3079,9)</f>
        <v>0</v>
      </c>
      <c r="V3053" s="18">
        <f>LARGE(E3054:E3079,10)</f>
        <v>0</v>
      </c>
      <c r="W3053" s="18">
        <f>LARGE(E3054:E3079,11)</f>
        <v>0</v>
      </c>
      <c r="X3053" s="18">
        <f>LARGE(E3054:E3079,12)</f>
        <v>0</v>
      </c>
      <c r="Y3053" s="18">
        <f>LARGE(E3054:E3079,13)</f>
        <v>0</v>
      </c>
      <c r="Z3053" s="18">
        <f>LARGE(E3054:E3079,14)</f>
        <v>0</v>
      </c>
      <c r="AA3053" s="18">
        <f>LARGE(E3054:E3079,15)</f>
        <v>0</v>
      </c>
      <c r="AB3053" s="18">
        <f>LARGE(E3054:E3079,16)</f>
        <v>0</v>
      </c>
      <c r="AC3053" s="18">
        <f>LARGE(E3054:E3079,17)</f>
        <v>0</v>
      </c>
      <c r="AD3053" s="18">
        <f>LARGE(E3054:E3080,13)</f>
        <v>0</v>
      </c>
      <c r="AE3053" s="18">
        <f>LARGE(E3054:E3079,19)</f>
        <v>0</v>
      </c>
      <c r="AF3053" s="18">
        <f>LARGE(E3054:E3079,20)</f>
        <v>0</v>
      </c>
      <c r="AG3053" s="18">
        <f>LARGE(E3054:E3079,21)</f>
        <v>0</v>
      </c>
      <c r="AH3053" s="18">
        <f>LARGE(E3054:E3079,22)</f>
        <v>0</v>
      </c>
      <c r="AI3053" s="18">
        <f>LARGE(E3054:E3079,23)</f>
        <v>0</v>
      </c>
      <c r="AJ3053" s="18">
        <f>LARGE(E3054:E3079,24)</f>
        <v>0</v>
      </c>
      <c r="AK3053" s="18">
        <f>LARGE(E3054:E3079,25)</f>
        <v>0</v>
      </c>
      <c r="AL3053" s="18">
        <f>LARGE(E3054:E3079,26)</f>
        <v>0</v>
      </c>
      <c r="AM3053" s="50">
        <f>COUNTIF(B3054:B3079,"&lt;&gt;"&amp;AH74)</f>
        <v>0</v>
      </c>
    </row>
    <row r="3054" spans="1:39">
      <c r="A3054" s="42" t="s">
        <v>246</v>
      </c>
      <c r="B3054" s="40" t="str">
        <f t="shared" ref="B3054:B3079" si="468">$AH$74</f>
        <v>No pick yet</v>
      </c>
      <c r="C3054" s="40" t="str">
        <f t="shared" si="467"/>
        <v>01-&gt;</v>
      </c>
      <c r="D3054" s="40" t="str">
        <f t="shared" ref="D3054:D3079" si="469">B3054&amp;REPT(" ",$AH$70-LEN(B3054))</f>
        <v xml:space="preserve">No pick yet                                                 </v>
      </c>
      <c r="E3054" s="52">
        <f t="shared" ref="E3054:E3079" si="470">VLOOKUP(RIGHT(B3054,LEN(B3054)-$AH$66),$H$138:$I$420,2,0)</f>
        <v>0</v>
      </c>
      <c r="F3054" s="18"/>
      <c r="M3054" s="18"/>
      <c r="N3054" s="18"/>
      <c r="O3054" s="18"/>
      <c r="P3054" s="18"/>
      <c r="Q3054" s="22"/>
      <c r="R3054" s="21"/>
      <c r="S3054" s="21"/>
      <c r="T3054" s="21"/>
      <c r="AA3054"/>
      <c r="AH3054" t="str">
        <f t="shared" ref="AH3054:AH3079" si="471">RIGHT(B3054,LEN(B3054)-$AH$66)</f>
        <v>k yet</v>
      </c>
    </row>
    <row r="3055" spans="1:39">
      <c r="A3055" s="42" t="s">
        <v>247</v>
      </c>
      <c r="B3055" s="40" t="str">
        <f t="shared" si="468"/>
        <v>No pick yet</v>
      </c>
      <c r="C3055" s="40" t="str">
        <f t="shared" si="467"/>
        <v>02-&gt;</v>
      </c>
      <c r="D3055" s="40" t="str">
        <f t="shared" si="469"/>
        <v xml:space="preserve">No pick yet                                                 </v>
      </c>
      <c r="E3055" s="52">
        <f t="shared" si="470"/>
        <v>0</v>
      </c>
      <c r="F3055" s="18"/>
      <c r="K3055" s="22"/>
      <c r="N3055" s="22"/>
      <c r="O3055" s="22"/>
      <c r="P3055" s="22"/>
      <c r="Q3055" s="22"/>
      <c r="R3055" s="22"/>
      <c r="S3055" s="22"/>
      <c r="Z3055" s="53"/>
      <c r="AA3055"/>
      <c r="AH3055" t="str">
        <f t="shared" si="471"/>
        <v>k yet</v>
      </c>
    </row>
    <row r="3056" spans="1:39">
      <c r="A3056" s="42" t="s">
        <v>248</v>
      </c>
      <c r="B3056" s="40" t="str">
        <f t="shared" si="468"/>
        <v>No pick yet</v>
      </c>
      <c r="C3056" s="40" t="str">
        <f t="shared" si="467"/>
        <v>03-&gt;</v>
      </c>
      <c r="D3056" s="40" t="str">
        <f t="shared" si="469"/>
        <v xml:space="preserve">No pick yet                                                 </v>
      </c>
      <c r="E3056" s="52">
        <f t="shared" si="470"/>
        <v>0</v>
      </c>
      <c r="F3056" s="18"/>
      <c r="L3056" s="21"/>
      <c r="N3056" s="22"/>
      <c r="O3056" s="22"/>
      <c r="P3056" s="18"/>
      <c r="Q3056" s="22"/>
      <c r="R3056" s="22"/>
      <c r="S3056" s="22"/>
      <c r="Z3056" s="53"/>
      <c r="AA3056"/>
      <c r="AH3056" t="str">
        <f t="shared" si="471"/>
        <v>k yet</v>
      </c>
    </row>
    <row r="3057" spans="1:34">
      <c r="A3057" s="42" t="s">
        <v>249</v>
      </c>
      <c r="B3057" s="40" t="str">
        <f t="shared" si="468"/>
        <v>No pick yet</v>
      </c>
      <c r="C3057" s="40" t="str">
        <f t="shared" si="467"/>
        <v>04-&gt;</v>
      </c>
      <c r="D3057" s="40" t="str">
        <f t="shared" si="469"/>
        <v xml:space="preserve">No pick yet                                                 </v>
      </c>
      <c r="E3057" s="52">
        <f t="shared" si="470"/>
        <v>0</v>
      </c>
      <c r="F3057" s="18"/>
      <c r="M3057" s="18"/>
      <c r="N3057" s="18"/>
      <c r="O3057" s="18"/>
      <c r="P3057" s="18"/>
      <c r="Q3057" s="22"/>
      <c r="R3057" s="21"/>
      <c r="S3057" s="21"/>
      <c r="T3057" s="21"/>
      <c r="AA3057"/>
      <c r="AH3057" t="str">
        <f t="shared" si="471"/>
        <v>k yet</v>
      </c>
    </row>
    <row r="3058" spans="1:34">
      <c r="A3058" s="42" t="s">
        <v>250</v>
      </c>
      <c r="B3058" s="40" t="str">
        <f t="shared" si="468"/>
        <v>No pick yet</v>
      </c>
      <c r="C3058" s="40" t="str">
        <f t="shared" si="467"/>
        <v>05-&gt;</v>
      </c>
      <c r="D3058" s="40" t="str">
        <f t="shared" si="469"/>
        <v xml:space="preserve">No pick yet                                                 </v>
      </c>
      <c r="E3058" s="52">
        <f t="shared" si="470"/>
        <v>0</v>
      </c>
      <c r="F3058" s="18"/>
      <c r="M3058" s="18"/>
      <c r="N3058" s="18"/>
      <c r="O3058" s="18"/>
      <c r="P3058" s="18"/>
      <c r="Q3058" s="22"/>
      <c r="R3058" s="21"/>
      <c r="S3058" s="21"/>
      <c r="T3058" s="21"/>
      <c r="AA3058"/>
      <c r="AH3058" t="str">
        <f t="shared" si="471"/>
        <v>k yet</v>
      </c>
    </row>
    <row r="3059" spans="1:34">
      <c r="A3059" s="42" t="s">
        <v>251</v>
      </c>
      <c r="B3059" s="40" t="str">
        <f t="shared" si="468"/>
        <v>No pick yet</v>
      </c>
      <c r="C3059" s="40" t="str">
        <f t="shared" si="467"/>
        <v>06-&gt;</v>
      </c>
      <c r="D3059" s="40" t="str">
        <f t="shared" si="469"/>
        <v xml:space="preserve">No pick yet                                                 </v>
      </c>
      <c r="E3059" s="52">
        <f t="shared" si="470"/>
        <v>0</v>
      </c>
      <c r="F3059" s="18"/>
      <c r="M3059" s="18"/>
      <c r="N3059" s="18"/>
      <c r="O3059" s="18"/>
      <c r="P3059" s="18"/>
      <c r="Q3059" s="22"/>
      <c r="R3059" s="21"/>
      <c r="S3059" s="21"/>
      <c r="T3059" s="21"/>
      <c r="AA3059"/>
      <c r="AH3059" t="str">
        <f t="shared" si="471"/>
        <v>k yet</v>
      </c>
    </row>
    <row r="3060" spans="1:34">
      <c r="A3060" s="42" t="s">
        <v>252</v>
      </c>
      <c r="B3060" s="40" t="str">
        <f t="shared" si="468"/>
        <v>No pick yet</v>
      </c>
      <c r="C3060" s="40" t="str">
        <f t="shared" si="467"/>
        <v>07-&gt;</v>
      </c>
      <c r="D3060" s="40" t="str">
        <f t="shared" si="469"/>
        <v xml:space="preserve">No pick yet                                                 </v>
      </c>
      <c r="E3060" s="52">
        <f t="shared" si="470"/>
        <v>0</v>
      </c>
      <c r="F3060" s="18"/>
      <c r="M3060" s="18"/>
      <c r="N3060" s="18"/>
      <c r="O3060" s="18"/>
      <c r="P3060" s="18"/>
      <c r="Q3060" s="22"/>
      <c r="R3060" s="21"/>
      <c r="S3060" s="21"/>
      <c r="T3060" s="21"/>
      <c r="AA3060"/>
      <c r="AH3060" t="str">
        <f t="shared" si="471"/>
        <v>k yet</v>
      </c>
    </row>
    <row r="3061" spans="1:34">
      <c r="A3061" s="42" t="s">
        <v>253</v>
      </c>
      <c r="B3061" s="40" t="str">
        <f t="shared" si="468"/>
        <v>No pick yet</v>
      </c>
      <c r="C3061" s="40" t="str">
        <f t="shared" si="467"/>
        <v>08-&gt;</v>
      </c>
      <c r="D3061" s="40" t="str">
        <f t="shared" si="469"/>
        <v xml:space="preserve">No pick yet                                                 </v>
      </c>
      <c r="E3061" s="52">
        <f t="shared" si="470"/>
        <v>0</v>
      </c>
      <c r="F3061" s="18"/>
      <c r="M3061" s="18"/>
      <c r="N3061" s="18"/>
      <c r="O3061" s="18"/>
      <c r="P3061" s="18"/>
      <c r="Q3061" s="22"/>
      <c r="R3061" s="21"/>
      <c r="S3061" s="21"/>
      <c r="T3061" s="21"/>
      <c r="AA3061"/>
      <c r="AH3061" t="str">
        <f t="shared" si="471"/>
        <v>k yet</v>
      </c>
    </row>
    <row r="3062" spans="1:34">
      <c r="A3062" s="42" t="s">
        <v>254</v>
      </c>
      <c r="B3062" s="40" t="str">
        <f t="shared" si="468"/>
        <v>No pick yet</v>
      </c>
      <c r="C3062" s="40" t="str">
        <f t="shared" si="467"/>
        <v>09-&gt;</v>
      </c>
      <c r="D3062" s="40" t="str">
        <f t="shared" si="469"/>
        <v xml:space="preserve">No pick yet                                                 </v>
      </c>
      <c r="E3062" s="52">
        <f t="shared" si="470"/>
        <v>0</v>
      </c>
      <c r="F3062" s="18"/>
      <c r="M3062" s="18"/>
      <c r="N3062" s="18"/>
      <c r="O3062" s="18"/>
      <c r="P3062" s="18"/>
      <c r="Q3062" s="22"/>
      <c r="R3062" s="21"/>
      <c r="S3062" s="21"/>
      <c r="T3062" s="21"/>
      <c r="AA3062"/>
      <c r="AH3062" t="str">
        <f t="shared" si="471"/>
        <v>k yet</v>
      </c>
    </row>
    <row r="3063" spans="1:34">
      <c r="A3063" s="42" t="s">
        <v>255</v>
      </c>
      <c r="B3063" s="40" t="str">
        <f t="shared" si="468"/>
        <v>No pick yet</v>
      </c>
      <c r="C3063" s="40" t="str">
        <f t="shared" si="467"/>
        <v>10-&gt;</v>
      </c>
      <c r="D3063" s="40" t="str">
        <f t="shared" si="469"/>
        <v xml:space="preserve">No pick yet                                                 </v>
      </c>
      <c r="E3063" s="52">
        <f t="shared" si="470"/>
        <v>0</v>
      </c>
      <c r="F3063" s="22"/>
      <c r="M3063" s="18"/>
      <c r="N3063" s="18"/>
      <c r="O3063" s="18"/>
      <c r="P3063" s="18"/>
      <c r="Q3063" s="22"/>
      <c r="R3063" s="21"/>
      <c r="S3063" s="21"/>
      <c r="T3063" s="21"/>
      <c r="AA3063"/>
      <c r="AH3063" t="str">
        <f t="shared" si="471"/>
        <v>k yet</v>
      </c>
    </row>
    <row r="3064" spans="1:34">
      <c r="A3064" s="42" t="s">
        <v>256</v>
      </c>
      <c r="B3064" s="40" t="str">
        <f t="shared" si="468"/>
        <v>No pick yet</v>
      </c>
      <c r="C3064" s="40" t="str">
        <f t="shared" si="467"/>
        <v>11-&gt;</v>
      </c>
      <c r="D3064" s="40" t="str">
        <f t="shared" si="469"/>
        <v xml:space="preserve">No pick yet                                                 </v>
      </c>
      <c r="E3064" s="52">
        <f t="shared" si="470"/>
        <v>0</v>
      </c>
      <c r="M3064" s="18"/>
      <c r="N3064" s="18"/>
      <c r="O3064" s="18"/>
      <c r="P3064" s="18"/>
      <c r="Q3064" s="22"/>
      <c r="R3064" s="21"/>
      <c r="S3064" s="21"/>
      <c r="T3064" s="21"/>
      <c r="AA3064"/>
      <c r="AH3064" t="str">
        <f t="shared" si="471"/>
        <v>k yet</v>
      </c>
    </row>
    <row r="3065" spans="1:34">
      <c r="A3065" s="42" t="s">
        <v>257</v>
      </c>
      <c r="B3065" s="40" t="str">
        <f t="shared" si="468"/>
        <v>No pick yet</v>
      </c>
      <c r="C3065" s="40" t="str">
        <f t="shared" si="467"/>
        <v>12-&gt;</v>
      </c>
      <c r="D3065" s="40" t="str">
        <f t="shared" si="469"/>
        <v xml:space="preserve">No pick yet                                                 </v>
      </c>
      <c r="E3065" s="52">
        <f t="shared" si="470"/>
        <v>0</v>
      </c>
      <c r="M3065" s="18"/>
      <c r="N3065" s="18"/>
      <c r="O3065" s="18"/>
      <c r="P3065" s="18"/>
      <c r="Q3065" s="22"/>
      <c r="R3065" s="21"/>
      <c r="S3065" s="21"/>
      <c r="T3065" s="21"/>
      <c r="AA3065"/>
      <c r="AH3065" t="str">
        <f t="shared" si="471"/>
        <v>k yet</v>
      </c>
    </row>
    <row r="3066" spans="1:34">
      <c r="A3066" s="42" t="s">
        <v>258</v>
      </c>
      <c r="B3066" s="40" t="str">
        <f t="shared" si="468"/>
        <v>No pick yet</v>
      </c>
      <c r="C3066" s="40" t="str">
        <f t="shared" si="467"/>
        <v>13-&gt;</v>
      </c>
      <c r="D3066" s="40" t="str">
        <f t="shared" si="469"/>
        <v xml:space="preserve">No pick yet                                                 </v>
      </c>
      <c r="E3066" s="52">
        <f t="shared" si="470"/>
        <v>0</v>
      </c>
      <c r="M3066" s="18"/>
      <c r="N3066" s="18"/>
      <c r="O3066" s="18"/>
      <c r="P3066" s="18"/>
      <c r="Q3066" s="22"/>
      <c r="R3066" s="21"/>
      <c r="S3066" s="21"/>
      <c r="T3066" s="21"/>
      <c r="AA3066"/>
      <c r="AH3066" t="str">
        <f t="shared" si="471"/>
        <v>k yet</v>
      </c>
    </row>
    <row r="3067" spans="1:34">
      <c r="A3067" s="42" t="s">
        <v>259</v>
      </c>
      <c r="B3067" s="40" t="str">
        <f t="shared" si="468"/>
        <v>No pick yet</v>
      </c>
      <c r="C3067" s="40" t="str">
        <f t="shared" si="467"/>
        <v>14-&gt;</v>
      </c>
      <c r="D3067" s="40" t="str">
        <f t="shared" si="469"/>
        <v xml:space="preserve">No pick yet                                                 </v>
      </c>
      <c r="E3067" s="52">
        <f t="shared" si="470"/>
        <v>0</v>
      </c>
      <c r="M3067" s="18"/>
      <c r="N3067" s="18"/>
      <c r="O3067" s="18"/>
      <c r="P3067" s="18"/>
      <c r="Q3067" s="22"/>
      <c r="R3067" s="21"/>
      <c r="S3067" s="21"/>
      <c r="T3067" s="21"/>
      <c r="AA3067"/>
      <c r="AH3067" t="str">
        <f t="shared" si="471"/>
        <v>k yet</v>
      </c>
    </row>
    <row r="3068" spans="1:34">
      <c r="A3068" s="42" t="s">
        <v>260</v>
      </c>
      <c r="B3068" s="40" t="str">
        <f t="shared" si="468"/>
        <v>No pick yet</v>
      </c>
      <c r="C3068" s="40" t="str">
        <f t="shared" si="467"/>
        <v>15-&gt;</v>
      </c>
      <c r="D3068" s="40" t="str">
        <f t="shared" si="469"/>
        <v xml:space="preserve">No pick yet                                                 </v>
      </c>
      <c r="E3068" s="52">
        <f t="shared" si="470"/>
        <v>0</v>
      </c>
      <c r="M3068" s="18"/>
      <c r="N3068" s="18"/>
      <c r="O3068" s="18"/>
      <c r="P3068" s="18"/>
      <c r="Q3068" s="22"/>
      <c r="R3068" s="21"/>
      <c r="S3068" s="21"/>
      <c r="T3068" s="21"/>
      <c r="AA3068"/>
      <c r="AH3068" t="str">
        <f t="shared" si="471"/>
        <v>k yet</v>
      </c>
    </row>
    <row r="3069" spans="1:34">
      <c r="A3069" s="42" t="s">
        <v>261</v>
      </c>
      <c r="B3069" s="40" t="str">
        <f t="shared" si="468"/>
        <v>No pick yet</v>
      </c>
      <c r="C3069" s="40" t="str">
        <f t="shared" si="467"/>
        <v>16-&gt;</v>
      </c>
      <c r="D3069" s="40" t="str">
        <f t="shared" si="469"/>
        <v xml:space="preserve">No pick yet                                                 </v>
      </c>
      <c r="E3069" s="52">
        <f t="shared" si="470"/>
        <v>0</v>
      </c>
      <c r="M3069" s="18"/>
      <c r="N3069" s="18"/>
      <c r="O3069" s="18"/>
      <c r="P3069" s="18"/>
      <c r="Q3069" s="22"/>
      <c r="R3069" s="21"/>
      <c r="S3069" s="21"/>
      <c r="T3069" s="21"/>
      <c r="AA3069"/>
      <c r="AH3069" t="str">
        <f t="shared" si="471"/>
        <v>k yet</v>
      </c>
    </row>
    <row r="3070" spans="1:34">
      <c r="A3070" s="42" t="s">
        <v>262</v>
      </c>
      <c r="B3070" s="40" t="str">
        <f t="shared" si="468"/>
        <v>No pick yet</v>
      </c>
      <c r="C3070" s="40" t="str">
        <f t="shared" si="467"/>
        <v>17-&gt;</v>
      </c>
      <c r="D3070" s="40" t="str">
        <f t="shared" si="469"/>
        <v xml:space="preserve">No pick yet                                                 </v>
      </c>
      <c r="E3070" s="52">
        <f t="shared" si="470"/>
        <v>0</v>
      </c>
      <c r="K3070" s="22"/>
      <c r="N3070" s="22"/>
      <c r="O3070" s="22"/>
      <c r="P3070" s="22"/>
      <c r="Q3070" s="22"/>
      <c r="R3070" s="22"/>
      <c r="S3070" s="22"/>
      <c r="Z3070" s="53"/>
      <c r="AA3070"/>
      <c r="AH3070" t="str">
        <f t="shared" si="471"/>
        <v>k yet</v>
      </c>
    </row>
    <row r="3071" spans="1:34">
      <c r="A3071" s="42" t="s">
        <v>263</v>
      </c>
      <c r="B3071" s="40" t="str">
        <f t="shared" si="468"/>
        <v>No pick yet</v>
      </c>
      <c r="C3071" s="40" t="str">
        <f t="shared" si="467"/>
        <v>18-&gt;</v>
      </c>
      <c r="D3071" s="40" t="str">
        <f t="shared" si="469"/>
        <v xml:space="preserve">No pick yet                                                 </v>
      </c>
      <c r="E3071" s="52">
        <f t="shared" si="470"/>
        <v>0</v>
      </c>
      <c r="F3071" s="18"/>
      <c r="L3071" s="21"/>
      <c r="N3071" s="22"/>
      <c r="O3071" s="22"/>
      <c r="P3071" s="18"/>
      <c r="Q3071" s="22"/>
      <c r="R3071" s="22"/>
      <c r="S3071" s="22"/>
      <c r="Z3071" s="53"/>
      <c r="AA3071"/>
      <c r="AH3071" t="str">
        <f t="shared" si="471"/>
        <v>k yet</v>
      </c>
    </row>
    <row r="3072" spans="1:34">
      <c r="A3072" s="42" t="s">
        <v>264</v>
      </c>
      <c r="B3072" s="40" t="str">
        <f t="shared" si="468"/>
        <v>No pick yet</v>
      </c>
      <c r="C3072" s="40" t="str">
        <f t="shared" si="467"/>
        <v>19-&gt;</v>
      </c>
      <c r="D3072" s="40" t="str">
        <f t="shared" si="469"/>
        <v xml:space="preserve">No pick yet                                                 </v>
      </c>
      <c r="E3072" s="52">
        <f t="shared" si="470"/>
        <v>0</v>
      </c>
      <c r="F3072" s="18"/>
      <c r="M3072" s="18"/>
      <c r="N3072" s="18"/>
      <c r="O3072" s="18"/>
      <c r="P3072" s="18"/>
      <c r="Q3072" s="22"/>
      <c r="R3072" s="21"/>
      <c r="S3072" s="21"/>
      <c r="T3072" s="21"/>
      <c r="AA3072"/>
      <c r="AH3072" t="str">
        <f t="shared" si="471"/>
        <v>k yet</v>
      </c>
    </row>
    <row r="3073" spans="1:39">
      <c r="A3073" s="42" t="s">
        <v>265</v>
      </c>
      <c r="B3073" s="40" t="str">
        <f t="shared" si="468"/>
        <v>No pick yet</v>
      </c>
      <c r="C3073" s="40" t="str">
        <f t="shared" si="467"/>
        <v>20-&gt;</v>
      </c>
      <c r="D3073" s="40" t="str">
        <f t="shared" si="469"/>
        <v xml:space="preserve">No pick yet                                                 </v>
      </c>
      <c r="E3073" s="52">
        <f t="shared" si="470"/>
        <v>0</v>
      </c>
      <c r="F3073" s="18"/>
      <c r="M3073" s="18"/>
      <c r="N3073" s="18"/>
      <c r="O3073" s="18"/>
      <c r="P3073" s="18"/>
      <c r="Q3073" s="22"/>
      <c r="R3073" s="21"/>
      <c r="S3073" s="21"/>
      <c r="T3073" s="21"/>
      <c r="AA3073"/>
      <c r="AH3073" t="str">
        <f t="shared" si="471"/>
        <v>k yet</v>
      </c>
    </row>
    <row r="3074" spans="1:39">
      <c r="A3074" s="42" t="s">
        <v>266</v>
      </c>
      <c r="B3074" s="40" t="str">
        <f t="shared" si="468"/>
        <v>No pick yet</v>
      </c>
      <c r="C3074" s="40" t="str">
        <f t="shared" si="467"/>
        <v>21-&gt;</v>
      </c>
      <c r="D3074" s="40" t="str">
        <f t="shared" si="469"/>
        <v xml:space="preserve">No pick yet                                                 </v>
      </c>
      <c r="E3074" s="52">
        <f t="shared" si="470"/>
        <v>0</v>
      </c>
      <c r="F3074" s="18"/>
      <c r="M3074" s="18"/>
      <c r="N3074" s="18"/>
      <c r="O3074" s="18"/>
      <c r="P3074" s="18"/>
      <c r="Q3074" s="22"/>
      <c r="R3074" s="21"/>
      <c r="S3074" s="21"/>
      <c r="T3074" s="21"/>
      <c r="AA3074"/>
      <c r="AH3074" t="str">
        <f t="shared" si="471"/>
        <v>k yet</v>
      </c>
    </row>
    <row r="3075" spans="1:39">
      <c r="A3075" s="42" t="s">
        <v>267</v>
      </c>
      <c r="B3075" s="40" t="str">
        <f t="shared" si="468"/>
        <v>No pick yet</v>
      </c>
      <c r="C3075" s="40" t="str">
        <f t="shared" si="467"/>
        <v>22-&gt;</v>
      </c>
      <c r="D3075" s="40" t="str">
        <f t="shared" si="469"/>
        <v xml:space="preserve">No pick yet                                                 </v>
      </c>
      <c r="E3075" s="52">
        <f t="shared" si="470"/>
        <v>0</v>
      </c>
      <c r="F3075" s="18"/>
      <c r="M3075" s="18"/>
      <c r="N3075" s="18"/>
      <c r="O3075" s="18"/>
      <c r="P3075" s="18"/>
      <c r="Q3075" s="22"/>
      <c r="R3075" s="21"/>
      <c r="S3075" s="21"/>
      <c r="T3075" s="21"/>
      <c r="AA3075"/>
      <c r="AH3075" t="str">
        <f t="shared" si="471"/>
        <v>k yet</v>
      </c>
    </row>
    <row r="3076" spans="1:39">
      <c r="A3076" s="42" t="s">
        <v>268</v>
      </c>
      <c r="B3076" s="40" t="str">
        <f t="shared" si="468"/>
        <v>No pick yet</v>
      </c>
      <c r="C3076" s="40" t="str">
        <f t="shared" si="467"/>
        <v>23-&gt;</v>
      </c>
      <c r="D3076" s="40" t="str">
        <f t="shared" si="469"/>
        <v xml:space="preserve">No pick yet                                                 </v>
      </c>
      <c r="E3076" s="52">
        <f t="shared" si="470"/>
        <v>0</v>
      </c>
      <c r="F3076" s="18"/>
      <c r="M3076" s="18"/>
      <c r="N3076" s="18"/>
      <c r="O3076" s="18"/>
      <c r="P3076" s="18"/>
      <c r="Q3076" s="22"/>
      <c r="R3076" s="21"/>
      <c r="S3076" s="21"/>
      <c r="T3076" s="21"/>
      <c r="AA3076"/>
      <c r="AH3076" t="str">
        <f t="shared" si="471"/>
        <v>k yet</v>
      </c>
    </row>
    <row r="3077" spans="1:39">
      <c r="A3077" s="42" t="s">
        <v>269</v>
      </c>
      <c r="B3077" s="40" t="str">
        <f t="shared" si="468"/>
        <v>No pick yet</v>
      </c>
      <c r="C3077" s="40" t="str">
        <f t="shared" si="467"/>
        <v>24-&gt;</v>
      </c>
      <c r="D3077" s="40" t="str">
        <f t="shared" si="469"/>
        <v xml:space="preserve">No pick yet                                                 </v>
      </c>
      <c r="E3077" s="52">
        <f t="shared" si="470"/>
        <v>0</v>
      </c>
      <c r="F3077" s="18"/>
      <c r="M3077" s="18"/>
      <c r="N3077" s="18"/>
      <c r="O3077" s="18"/>
      <c r="P3077" s="18"/>
      <c r="Q3077" s="22"/>
      <c r="R3077" s="21"/>
      <c r="S3077" s="21"/>
      <c r="T3077" s="21"/>
      <c r="AA3077"/>
      <c r="AH3077" t="str">
        <f t="shared" si="471"/>
        <v>k yet</v>
      </c>
    </row>
    <row r="3078" spans="1:39">
      <c r="A3078" s="42" t="s">
        <v>270</v>
      </c>
      <c r="B3078" s="40" t="str">
        <f t="shared" si="468"/>
        <v>No pick yet</v>
      </c>
      <c r="C3078" s="40" t="str">
        <f t="shared" si="467"/>
        <v>25-&gt;</v>
      </c>
      <c r="D3078" s="40" t="str">
        <f t="shared" si="469"/>
        <v xml:space="preserve">No pick yet                                                 </v>
      </c>
      <c r="E3078" s="52">
        <f t="shared" si="470"/>
        <v>0</v>
      </c>
      <c r="F3078" s="18"/>
      <c r="M3078" s="18"/>
      <c r="N3078" s="18"/>
      <c r="O3078" s="18"/>
      <c r="P3078" s="18"/>
      <c r="Q3078" s="22"/>
      <c r="R3078" s="21"/>
      <c r="S3078" s="21"/>
      <c r="T3078" s="21"/>
      <c r="AA3078"/>
      <c r="AH3078" t="str">
        <f t="shared" si="471"/>
        <v>k yet</v>
      </c>
    </row>
    <row r="3079" spans="1:39">
      <c r="A3079" s="42" t="s">
        <v>271</v>
      </c>
      <c r="B3079" s="40" t="str">
        <f t="shared" si="468"/>
        <v>No pick yet</v>
      </c>
      <c r="C3079" s="40" t="str">
        <f t="shared" si="467"/>
        <v>26-&gt;</v>
      </c>
      <c r="D3079" s="40" t="str">
        <f t="shared" si="469"/>
        <v xml:space="preserve">No pick yet                                                 </v>
      </c>
      <c r="E3079" s="52">
        <f t="shared" si="470"/>
        <v>0</v>
      </c>
      <c r="F3079" s="18"/>
      <c r="M3079" s="18"/>
      <c r="N3079" s="18"/>
      <c r="O3079" s="18"/>
      <c r="P3079" s="18"/>
      <c r="Q3079" s="22"/>
      <c r="R3079" s="21"/>
      <c r="S3079" s="21"/>
      <c r="T3079" s="21"/>
      <c r="AA3079"/>
      <c r="AH3079" t="str">
        <f t="shared" si="471"/>
        <v>k yet</v>
      </c>
    </row>
    <row r="3080" spans="1:39">
      <c r="A3080" s="38"/>
      <c r="B3080" s="40"/>
      <c r="C3080" s="40"/>
      <c r="D3080" s="49"/>
      <c r="E3080" s="41" t="s">
        <v>69</v>
      </c>
      <c r="F3080" s="18"/>
      <c r="K3080" s="22" t="s">
        <v>73</v>
      </c>
      <c r="L3080" s="18" t="s">
        <v>74</v>
      </c>
      <c r="M3080" s="22" t="s">
        <v>78</v>
      </c>
      <c r="N3080" s="22" t="s">
        <v>79</v>
      </c>
      <c r="O3080" s="22" t="s">
        <v>80</v>
      </c>
      <c r="P3080" s="22" t="s">
        <v>81</v>
      </c>
      <c r="Q3080" s="22" t="s">
        <v>82</v>
      </c>
      <c r="R3080" s="22" t="s">
        <v>83</v>
      </c>
      <c r="S3080" s="22" t="s">
        <v>84</v>
      </c>
      <c r="T3080" s="18" t="s">
        <v>85</v>
      </c>
      <c r="U3080" s="18" t="s">
        <v>86</v>
      </c>
      <c r="V3080" s="18" t="s">
        <v>87</v>
      </c>
      <c r="W3080" s="18" t="s">
        <v>88</v>
      </c>
      <c r="X3080" s="18" t="s">
        <v>89</v>
      </c>
      <c r="Y3080" s="18" t="s">
        <v>90</v>
      </c>
      <c r="Z3080" s="18" t="s">
        <v>91</v>
      </c>
      <c r="AA3080" s="18" t="s">
        <v>92</v>
      </c>
      <c r="AB3080" s="18" t="s">
        <v>93</v>
      </c>
      <c r="AC3080" s="18" t="s">
        <v>94</v>
      </c>
      <c r="AD3080" s="18" t="s">
        <v>235</v>
      </c>
      <c r="AE3080" s="18" t="s">
        <v>236</v>
      </c>
      <c r="AF3080" s="18" t="s">
        <v>237</v>
      </c>
      <c r="AG3080" s="18" t="s">
        <v>238</v>
      </c>
      <c r="AH3080" s="18" t="s">
        <v>239</v>
      </c>
      <c r="AI3080" s="18" t="s">
        <v>240</v>
      </c>
      <c r="AJ3080" s="18" t="s">
        <v>241</v>
      </c>
      <c r="AK3080" s="18" t="s">
        <v>242</v>
      </c>
      <c r="AL3080" s="18" t="s">
        <v>243</v>
      </c>
      <c r="AM3080" s="50" t="s">
        <v>244</v>
      </c>
    </row>
    <row r="3081" spans="1:39">
      <c r="A3081" s="40" t="s">
        <v>245</v>
      </c>
      <c r="B3081" s="51" t="str">
        <f>D109</f>
        <v/>
      </c>
      <c r="C3081" s="40" t="str">
        <f t="shared" ref="C3081:C3107" si="472">A3081</f>
        <v>#</v>
      </c>
      <c r="D3081" s="40" t="str">
        <f>"   "&amp;B3081&amp;REPT(" ",$AH$70-LEN(B3081)-3)</f>
        <v xml:space="preserve">                                                            </v>
      </c>
      <c r="E3081" s="38" t="str">
        <f>SUM(E3082:E3107)&amp;" pts[/b]"</f>
        <v>0 pts[/b]</v>
      </c>
      <c r="F3081" s="21">
        <f>SUM(E3082:E3107)</f>
        <v>0</v>
      </c>
      <c r="K3081" s="18">
        <f>COUNTIF(E3082:E3107,"&gt;0")</f>
        <v>0</v>
      </c>
      <c r="L3081" s="21">
        <f>AM3081-K3081</f>
        <v>0</v>
      </c>
      <c r="M3081" s="22">
        <f>MAX(E3082:E3107)</f>
        <v>0</v>
      </c>
      <c r="N3081" s="22">
        <f>LARGE(E3082:E3107,2)</f>
        <v>0</v>
      </c>
      <c r="O3081" s="22">
        <f>LARGE(E3082:E3107,3)</f>
        <v>0</v>
      </c>
      <c r="P3081" s="18">
        <f>LARGE(E3082:E3107,4)</f>
        <v>0</v>
      </c>
      <c r="Q3081" s="22">
        <f>LARGE(E3082:E3107,5)</f>
        <v>0</v>
      </c>
      <c r="R3081" s="22">
        <f>LARGE(E3082:E3107,6)</f>
        <v>0</v>
      </c>
      <c r="S3081" s="22">
        <f>LARGE(E3082:E3107,7)</f>
        <v>0</v>
      </c>
      <c r="T3081" s="18">
        <f>LARGE(E3082:E3107,8)</f>
        <v>0</v>
      </c>
      <c r="U3081" s="18">
        <f>LARGE(E3082:E3107,9)</f>
        <v>0</v>
      </c>
      <c r="V3081" s="18">
        <f>LARGE(E3082:E3107,10)</f>
        <v>0</v>
      </c>
      <c r="W3081" s="18">
        <f>LARGE(E3082:E3107,11)</f>
        <v>0</v>
      </c>
      <c r="X3081" s="18">
        <f>LARGE(E3082:E3107,12)</f>
        <v>0</v>
      </c>
      <c r="Y3081" s="18">
        <f>LARGE(E3082:E3107,13)</f>
        <v>0</v>
      </c>
      <c r="Z3081" s="18">
        <f>LARGE(E3082:E3107,14)</f>
        <v>0</v>
      </c>
      <c r="AA3081" s="18">
        <f>LARGE(E3082:E3107,15)</f>
        <v>0</v>
      </c>
      <c r="AB3081" s="18">
        <f>LARGE(E3082:E3107,16)</f>
        <v>0</v>
      </c>
      <c r="AC3081" s="18">
        <f>LARGE(E3082:E3107,17)</f>
        <v>0</v>
      </c>
      <c r="AD3081" s="18">
        <f>LARGE(E3082:E3108,13)</f>
        <v>0</v>
      </c>
      <c r="AE3081" s="18">
        <f>LARGE(E3082:E3107,19)</f>
        <v>0</v>
      </c>
      <c r="AF3081" s="18">
        <f>LARGE(E3082:E3107,20)</f>
        <v>0</v>
      </c>
      <c r="AG3081" s="18">
        <f>LARGE(E3082:E3107,21)</f>
        <v>0</v>
      </c>
      <c r="AH3081" s="18">
        <f>LARGE(E3082:E3107,22)</f>
        <v>0</v>
      </c>
      <c r="AI3081" s="18">
        <f>LARGE(E3082:E3107,23)</f>
        <v>0</v>
      </c>
      <c r="AJ3081" s="18">
        <f>LARGE(E3082:E3107,24)</f>
        <v>0</v>
      </c>
      <c r="AK3081" s="18">
        <f>LARGE(E3082:E3107,25)</f>
        <v>0</v>
      </c>
      <c r="AL3081" s="18">
        <f>LARGE(E3082:E3107,26)</f>
        <v>0</v>
      </c>
      <c r="AM3081" s="50">
        <f>COUNTIF(B3082:B3107,"&lt;&gt;"&amp;AH74)</f>
        <v>0</v>
      </c>
    </row>
    <row r="3082" spans="1:39">
      <c r="A3082" s="42" t="s">
        <v>246</v>
      </c>
      <c r="B3082" s="40" t="str">
        <f t="shared" ref="B3082:B3107" si="473">$AH$74</f>
        <v>No pick yet</v>
      </c>
      <c r="C3082" s="40" t="str">
        <f t="shared" si="472"/>
        <v>01-&gt;</v>
      </c>
      <c r="D3082" s="40" t="str">
        <f t="shared" ref="D3082:D3107" si="474">B3082&amp;REPT(" ",$AH$70-LEN(B3082))</f>
        <v xml:space="preserve">No pick yet                                                 </v>
      </c>
      <c r="E3082" s="52">
        <f t="shared" ref="E3082:E3107" si="475">VLOOKUP(RIGHT(B3082,LEN(B3082)-$AH$66),$H$138:$I$420,2,0)</f>
        <v>0</v>
      </c>
      <c r="F3082" s="18"/>
      <c r="M3082" s="18"/>
      <c r="N3082" s="18"/>
      <c r="O3082" s="18"/>
      <c r="P3082" s="18"/>
      <c r="Q3082" s="22"/>
      <c r="R3082" s="21"/>
      <c r="S3082" s="21"/>
      <c r="T3082" s="21"/>
      <c r="AA3082"/>
      <c r="AH3082" t="str">
        <f t="shared" ref="AH3082:AH3107" si="476">RIGHT(B3082,LEN(B3082)-$AH$66)</f>
        <v>k yet</v>
      </c>
    </row>
    <row r="3083" spans="1:39">
      <c r="A3083" s="42" t="s">
        <v>247</v>
      </c>
      <c r="B3083" s="40" t="str">
        <f t="shared" si="473"/>
        <v>No pick yet</v>
      </c>
      <c r="C3083" s="40" t="str">
        <f t="shared" si="472"/>
        <v>02-&gt;</v>
      </c>
      <c r="D3083" s="40" t="str">
        <f t="shared" si="474"/>
        <v xml:space="preserve">No pick yet                                                 </v>
      </c>
      <c r="E3083" s="52">
        <f t="shared" si="475"/>
        <v>0</v>
      </c>
      <c r="F3083" s="18"/>
      <c r="K3083" s="22"/>
      <c r="N3083" s="22"/>
      <c r="O3083" s="22"/>
      <c r="P3083" s="22"/>
      <c r="Q3083" s="22"/>
      <c r="R3083" s="22"/>
      <c r="S3083" s="22"/>
      <c r="Z3083" s="53"/>
      <c r="AA3083"/>
      <c r="AH3083" t="str">
        <f t="shared" si="476"/>
        <v>k yet</v>
      </c>
    </row>
    <row r="3084" spans="1:39">
      <c r="A3084" s="42" t="s">
        <v>248</v>
      </c>
      <c r="B3084" s="40" t="str">
        <f t="shared" si="473"/>
        <v>No pick yet</v>
      </c>
      <c r="C3084" s="40" t="str">
        <f t="shared" si="472"/>
        <v>03-&gt;</v>
      </c>
      <c r="D3084" s="40" t="str">
        <f t="shared" si="474"/>
        <v xml:space="preserve">No pick yet                                                 </v>
      </c>
      <c r="E3084" s="52">
        <f t="shared" si="475"/>
        <v>0</v>
      </c>
      <c r="F3084" s="18"/>
      <c r="L3084" s="21"/>
      <c r="N3084" s="22"/>
      <c r="O3084" s="22"/>
      <c r="P3084" s="18"/>
      <c r="Q3084" s="22"/>
      <c r="R3084" s="22"/>
      <c r="S3084" s="22"/>
      <c r="Z3084" s="53"/>
      <c r="AA3084"/>
      <c r="AH3084" t="str">
        <f t="shared" si="476"/>
        <v>k yet</v>
      </c>
    </row>
    <row r="3085" spans="1:39">
      <c r="A3085" s="42" t="s">
        <v>249</v>
      </c>
      <c r="B3085" s="40" t="str">
        <f t="shared" si="473"/>
        <v>No pick yet</v>
      </c>
      <c r="C3085" s="40" t="str">
        <f t="shared" si="472"/>
        <v>04-&gt;</v>
      </c>
      <c r="D3085" s="40" t="str">
        <f t="shared" si="474"/>
        <v xml:space="preserve">No pick yet                                                 </v>
      </c>
      <c r="E3085" s="52">
        <f t="shared" si="475"/>
        <v>0</v>
      </c>
      <c r="F3085" s="18"/>
      <c r="M3085" s="18"/>
      <c r="N3085" s="18"/>
      <c r="O3085" s="18"/>
      <c r="P3085" s="18"/>
      <c r="Q3085" s="22"/>
      <c r="R3085" s="21"/>
      <c r="S3085" s="21"/>
      <c r="T3085" s="21"/>
      <c r="AA3085"/>
      <c r="AH3085" t="str">
        <f t="shared" si="476"/>
        <v>k yet</v>
      </c>
    </row>
    <row r="3086" spans="1:39">
      <c r="A3086" s="42" t="s">
        <v>250</v>
      </c>
      <c r="B3086" s="40" t="str">
        <f t="shared" si="473"/>
        <v>No pick yet</v>
      </c>
      <c r="C3086" s="40" t="str">
        <f t="shared" si="472"/>
        <v>05-&gt;</v>
      </c>
      <c r="D3086" s="40" t="str">
        <f t="shared" si="474"/>
        <v xml:space="preserve">No pick yet                                                 </v>
      </c>
      <c r="E3086" s="52">
        <f t="shared" si="475"/>
        <v>0</v>
      </c>
      <c r="F3086" s="18"/>
      <c r="M3086" s="18"/>
      <c r="N3086" s="18"/>
      <c r="O3086" s="18"/>
      <c r="P3086" s="18"/>
      <c r="Q3086" s="22"/>
      <c r="R3086" s="21"/>
      <c r="S3086" s="21"/>
      <c r="T3086" s="21"/>
      <c r="AA3086"/>
      <c r="AH3086" t="str">
        <f t="shared" si="476"/>
        <v>k yet</v>
      </c>
    </row>
    <row r="3087" spans="1:39">
      <c r="A3087" s="42" t="s">
        <v>251</v>
      </c>
      <c r="B3087" s="40" t="str">
        <f t="shared" si="473"/>
        <v>No pick yet</v>
      </c>
      <c r="C3087" s="40" t="str">
        <f t="shared" si="472"/>
        <v>06-&gt;</v>
      </c>
      <c r="D3087" s="40" t="str">
        <f t="shared" si="474"/>
        <v xml:space="preserve">No pick yet                                                 </v>
      </c>
      <c r="E3087" s="52">
        <f t="shared" si="475"/>
        <v>0</v>
      </c>
      <c r="F3087" s="18"/>
      <c r="M3087" s="18"/>
      <c r="N3087" s="18"/>
      <c r="O3087" s="18"/>
      <c r="P3087" s="18"/>
      <c r="Q3087" s="22"/>
      <c r="R3087" s="21"/>
      <c r="S3087" s="21"/>
      <c r="T3087" s="21"/>
      <c r="AA3087"/>
      <c r="AH3087" t="str">
        <f t="shared" si="476"/>
        <v>k yet</v>
      </c>
    </row>
    <row r="3088" spans="1:39">
      <c r="A3088" s="42" t="s">
        <v>252</v>
      </c>
      <c r="B3088" s="40" t="str">
        <f t="shared" si="473"/>
        <v>No pick yet</v>
      </c>
      <c r="C3088" s="40" t="str">
        <f t="shared" si="472"/>
        <v>07-&gt;</v>
      </c>
      <c r="D3088" s="40" t="str">
        <f t="shared" si="474"/>
        <v xml:space="preserve">No pick yet                                                 </v>
      </c>
      <c r="E3088" s="52">
        <f t="shared" si="475"/>
        <v>0</v>
      </c>
      <c r="F3088" s="18"/>
      <c r="M3088" s="18"/>
      <c r="N3088" s="18"/>
      <c r="O3088" s="18"/>
      <c r="P3088" s="18"/>
      <c r="Q3088" s="22"/>
      <c r="R3088" s="21"/>
      <c r="S3088" s="21"/>
      <c r="T3088" s="21"/>
      <c r="AA3088"/>
      <c r="AH3088" t="str">
        <f t="shared" si="476"/>
        <v>k yet</v>
      </c>
    </row>
    <row r="3089" spans="1:34">
      <c r="A3089" s="42" t="s">
        <v>253</v>
      </c>
      <c r="B3089" s="40" t="str">
        <f t="shared" si="473"/>
        <v>No pick yet</v>
      </c>
      <c r="C3089" s="40" t="str">
        <f t="shared" si="472"/>
        <v>08-&gt;</v>
      </c>
      <c r="D3089" s="40" t="str">
        <f t="shared" si="474"/>
        <v xml:space="preserve">No pick yet                                                 </v>
      </c>
      <c r="E3089" s="52">
        <f t="shared" si="475"/>
        <v>0</v>
      </c>
      <c r="F3089" s="18"/>
      <c r="M3089" s="18"/>
      <c r="N3089" s="18"/>
      <c r="O3089" s="18"/>
      <c r="P3089" s="18"/>
      <c r="Q3089" s="22"/>
      <c r="R3089" s="21"/>
      <c r="S3089" s="21"/>
      <c r="T3089" s="21"/>
      <c r="AA3089"/>
      <c r="AH3089" t="str">
        <f t="shared" si="476"/>
        <v>k yet</v>
      </c>
    </row>
    <row r="3090" spans="1:34">
      <c r="A3090" s="42" t="s">
        <v>254</v>
      </c>
      <c r="B3090" s="40" t="str">
        <f t="shared" si="473"/>
        <v>No pick yet</v>
      </c>
      <c r="C3090" s="40" t="str">
        <f t="shared" si="472"/>
        <v>09-&gt;</v>
      </c>
      <c r="D3090" s="40" t="str">
        <f t="shared" si="474"/>
        <v xml:space="preserve">No pick yet                                                 </v>
      </c>
      <c r="E3090" s="52">
        <f t="shared" si="475"/>
        <v>0</v>
      </c>
      <c r="F3090" s="18"/>
      <c r="M3090" s="18"/>
      <c r="N3090" s="18"/>
      <c r="O3090" s="18"/>
      <c r="P3090" s="18"/>
      <c r="Q3090" s="22"/>
      <c r="R3090" s="21"/>
      <c r="S3090" s="21"/>
      <c r="T3090" s="21"/>
      <c r="AA3090"/>
      <c r="AH3090" t="str">
        <f t="shared" si="476"/>
        <v>k yet</v>
      </c>
    </row>
    <row r="3091" spans="1:34">
      <c r="A3091" s="42" t="s">
        <v>255</v>
      </c>
      <c r="B3091" s="40" t="str">
        <f t="shared" si="473"/>
        <v>No pick yet</v>
      </c>
      <c r="C3091" s="40" t="str">
        <f t="shared" si="472"/>
        <v>10-&gt;</v>
      </c>
      <c r="D3091" s="40" t="str">
        <f t="shared" si="474"/>
        <v xml:space="preserve">No pick yet                                                 </v>
      </c>
      <c r="E3091" s="52">
        <f t="shared" si="475"/>
        <v>0</v>
      </c>
      <c r="F3091" s="22"/>
      <c r="M3091" s="18"/>
      <c r="N3091" s="18"/>
      <c r="O3091" s="18"/>
      <c r="P3091" s="18"/>
      <c r="Q3091" s="22"/>
      <c r="R3091" s="21"/>
      <c r="S3091" s="21"/>
      <c r="T3091" s="21"/>
      <c r="AA3091"/>
      <c r="AH3091" t="str">
        <f t="shared" si="476"/>
        <v>k yet</v>
      </c>
    </row>
    <row r="3092" spans="1:34">
      <c r="A3092" s="42" t="s">
        <v>256</v>
      </c>
      <c r="B3092" s="40" t="str">
        <f t="shared" si="473"/>
        <v>No pick yet</v>
      </c>
      <c r="C3092" s="40" t="str">
        <f t="shared" si="472"/>
        <v>11-&gt;</v>
      </c>
      <c r="D3092" s="40" t="str">
        <f t="shared" si="474"/>
        <v xml:space="preserve">No pick yet                                                 </v>
      </c>
      <c r="E3092" s="52">
        <f t="shared" si="475"/>
        <v>0</v>
      </c>
      <c r="M3092" s="18"/>
      <c r="N3092" s="18"/>
      <c r="O3092" s="18"/>
      <c r="P3092" s="18"/>
      <c r="Q3092" s="22"/>
      <c r="R3092" s="21"/>
      <c r="S3092" s="21"/>
      <c r="T3092" s="21"/>
      <c r="AA3092"/>
      <c r="AH3092" t="str">
        <f t="shared" si="476"/>
        <v>k yet</v>
      </c>
    </row>
    <row r="3093" spans="1:34">
      <c r="A3093" s="42" t="s">
        <v>257</v>
      </c>
      <c r="B3093" s="40" t="str">
        <f t="shared" si="473"/>
        <v>No pick yet</v>
      </c>
      <c r="C3093" s="40" t="str">
        <f t="shared" si="472"/>
        <v>12-&gt;</v>
      </c>
      <c r="D3093" s="40" t="str">
        <f t="shared" si="474"/>
        <v xml:space="preserve">No pick yet                                                 </v>
      </c>
      <c r="E3093" s="52">
        <f t="shared" si="475"/>
        <v>0</v>
      </c>
      <c r="M3093" s="18"/>
      <c r="N3093" s="18"/>
      <c r="O3093" s="18"/>
      <c r="P3093" s="18"/>
      <c r="Q3093" s="22"/>
      <c r="R3093" s="21"/>
      <c r="S3093" s="21"/>
      <c r="T3093" s="21"/>
      <c r="AA3093"/>
      <c r="AH3093" t="str">
        <f t="shared" si="476"/>
        <v>k yet</v>
      </c>
    </row>
    <row r="3094" spans="1:34">
      <c r="A3094" s="42" t="s">
        <v>258</v>
      </c>
      <c r="B3094" s="40" t="str">
        <f t="shared" si="473"/>
        <v>No pick yet</v>
      </c>
      <c r="C3094" s="40" t="str">
        <f t="shared" si="472"/>
        <v>13-&gt;</v>
      </c>
      <c r="D3094" s="40" t="str">
        <f t="shared" si="474"/>
        <v xml:space="preserve">No pick yet                                                 </v>
      </c>
      <c r="E3094" s="52">
        <f t="shared" si="475"/>
        <v>0</v>
      </c>
      <c r="M3094" s="18"/>
      <c r="N3094" s="18"/>
      <c r="O3094" s="18"/>
      <c r="P3094" s="18"/>
      <c r="Q3094" s="22"/>
      <c r="R3094" s="21"/>
      <c r="S3094" s="21"/>
      <c r="T3094" s="21"/>
      <c r="AA3094"/>
      <c r="AH3094" t="str">
        <f t="shared" si="476"/>
        <v>k yet</v>
      </c>
    </row>
    <row r="3095" spans="1:34">
      <c r="A3095" s="42" t="s">
        <v>259</v>
      </c>
      <c r="B3095" s="40" t="str">
        <f t="shared" si="473"/>
        <v>No pick yet</v>
      </c>
      <c r="C3095" s="40" t="str">
        <f t="shared" si="472"/>
        <v>14-&gt;</v>
      </c>
      <c r="D3095" s="40" t="str">
        <f t="shared" si="474"/>
        <v xml:space="preserve">No pick yet                                                 </v>
      </c>
      <c r="E3095" s="52">
        <f t="shared" si="475"/>
        <v>0</v>
      </c>
      <c r="M3095" s="18"/>
      <c r="N3095" s="18"/>
      <c r="O3095" s="18"/>
      <c r="P3095" s="18"/>
      <c r="Q3095" s="22"/>
      <c r="R3095" s="21"/>
      <c r="S3095" s="21"/>
      <c r="T3095" s="21"/>
      <c r="AA3095"/>
      <c r="AH3095" t="str">
        <f t="shared" si="476"/>
        <v>k yet</v>
      </c>
    </row>
    <row r="3096" spans="1:34">
      <c r="A3096" s="42" t="s">
        <v>260</v>
      </c>
      <c r="B3096" s="40" t="str">
        <f t="shared" si="473"/>
        <v>No pick yet</v>
      </c>
      <c r="C3096" s="40" t="str">
        <f t="shared" si="472"/>
        <v>15-&gt;</v>
      </c>
      <c r="D3096" s="40" t="str">
        <f t="shared" si="474"/>
        <v xml:space="preserve">No pick yet                                                 </v>
      </c>
      <c r="E3096" s="52">
        <f t="shared" si="475"/>
        <v>0</v>
      </c>
      <c r="M3096" s="18"/>
      <c r="N3096" s="18"/>
      <c r="O3096" s="18"/>
      <c r="P3096" s="18"/>
      <c r="Q3096" s="22"/>
      <c r="R3096" s="21"/>
      <c r="S3096" s="21"/>
      <c r="T3096" s="21"/>
      <c r="AA3096"/>
      <c r="AH3096" t="str">
        <f t="shared" si="476"/>
        <v>k yet</v>
      </c>
    </row>
    <row r="3097" spans="1:34">
      <c r="A3097" s="42" t="s">
        <v>261</v>
      </c>
      <c r="B3097" s="40" t="str">
        <f t="shared" si="473"/>
        <v>No pick yet</v>
      </c>
      <c r="C3097" s="40" t="str">
        <f t="shared" si="472"/>
        <v>16-&gt;</v>
      </c>
      <c r="D3097" s="40" t="str">
        <f t="shared" si="474"/>
        <v xml:space="preserve">No pick yet                                                 </v>
      </c>
      <c r="E3097" s="52">
        <f t="shared" si="475"/>
        <v>0</v>
      </c>
      <c r="M3097" s="18"/>
      <c r="N3097" s="18"/>
      <c r="O3097" s="18"/>
      <c r="P3097" s="18"/>
      <c r="Q3097" s="22"/>
      <c r="R3097" s="21"/>
      <c r="S3097" s="21"/>
      <c r="T3097" s="21"/>
      <c r="AA3097"/>
      <c r="AH3097" t="str">
        <f t="shared" si="476"/>
        <v>k yet</v>
      </c>
    </row>
    <row r="3098" spans="1:34">
      <c r="A3098" s="42" t="s">
        <v>262</v>
      </c>
      <c r="B3098" s="40" t="str">
        <f t="shared" si="473"/>
        <v>No pick yet</v>
      </c>
      <c r="C3098" s="40" t="str">
        <f t="shared" si="472"/>
        <v>17-&gt;</v>
      </c>
      <c r="D3098" s="40" t="str">
        <f t="shared" si="474"/>
        <v xml:space="preserve">No pick yet                                                 </v>
      </c>
      <c r="E3098" s="52">
        <f t="shared" si="475"/>
        <v>0</v>
      </c>
      <c r="K3098" s="22"/>
      <c r="N3098" s="22"/>
      <c r="O3098" s="22"/>
      <c r="P3098" s="22"/>
      <c r="Q3098" s="22"/>
      <c r="R3098" s="22"/>
      <c r="S3098" s="22"/>
      <c r="Z3098" s="53"/>
      <c r="AA3098"/>
      <c r="AH3098" t="str">
        <f t="shared" si="476"/>
        <v>k yet</v>
      </c>
    </row>
    <row r="3099" spans="1:34">
      <c r="A3099" s="42" t="s">
        <v>263</v>
      </c>
      <c r="B3099" s="40" t="str">
        <f t="shared" si="473"/>
        <v>No pick yet</v>
      </c>
      <c r="C3099" s="40" t="str">
        <f t="shared" si="472"/>
        <v>18-&gt;</v>
      </c>
      <c r="D3099" s="40" t="str">
        <f t="shared" si="474"/>
        <v xml:space="preserve">No pick yet                                                 </v>
      </c>
      <c r="E3099" s="52">
        <f t="shared" si="475"/>
        <v>0</v>
      </c>
      <c r="F3099" s="18"/>
      <c r="L3099" s="21"/>
      <c r="N3099" s="22"/>
      <c r="O3099" s="22"/>
      <c r="P3099" s="18"/>
      <c r="Q3099" s="22"/>
      <c r="R3099" s="22"/>
      <c r="S3099" s="22"/>
      <c r="Z3099" s="53"/>
      <c r="AA3099"/>
      <c r="AH3099" t="str">
        <f t="shared" si="476"/>
        <v>k yet</v>
      </c>
    </row>
    <row r="3100" spans="1:34">
      <c r="A3100" s="42" t="s">
        <v>264</v>
      </c>
      <c r="B3100" s="40" t="str">
        <f t="shared" si="473"/>
        <v>No pick yet</v>
      </c>
      <c r="C3100" s="40" t="str">
        <f t="shared" si="472"/>
        <v>19-&gt;</v>
      </c>
      <c r="D3100" s="40" t="str">
        <f t="shared" si="474"/>
        <v xml:space="preserve">No pick yet                                                 </v>
      </c>
      <c r="E3100" s="52">
        <f t="shared" si="475"/>
        <v>0</v>
      </c>
      <c r="F3100" s="18"/>
      <c r="M3100" s="18"/>
      <c r="N3100" s="18"/>
      <c r="O3100" s="18"/>
      <c r="P3100" s="18"/>
      <c r="Q3100" s="22"/>
      <c r="R3100" s="21"/>
      <c r="S3100" s="21"/>
      <c r="T3100" s="21"/>
      <c r="AA3100"/>
      <c r="AH3100" t="str">
        <f t="shared" si="476"/>
        <v>k yet</v>
      </c>
    </row>
    <row r="3101" spans="1:34">
      <c r="A3101" s="42" t="s">
        <v>265</v>
      </c>
      <c r="B3101" s="40" t="str">
        <f t="shared" si="473"/>
        <v>No pick yet</v>
      </c>
      <c r="C3101" s="40" t="str">
        <f t="shared" si="472"/>
        <v>20-&gt;</v>
      </c>
      <c r="D3101" s="40" t="str">
        <f t="shared" si="474"/>
        <v xml:space="preserve">No pick yet                                                 </v>
      </c>
      <c r="E3101" s="52">
        <f t="shared" si="475"/>
        <v>0</v>
      </c>
      <c r="F3101" s="18"/>
      <c r="M3101" s="18"/>
      <c r="N3101" s="18"/>
      <c r="O3101" s="18"/>
      <c r="P3101" s="18"/>
      <c r="Q3101" s="22"/>
      <c r="R3101" s="21"/>
      <c r="S3101" s="21"/>
      <c r="T3101" s="21"/>
      <c r="AA3101"/>
      <c r="AH3101" t="str">
        <f t="shared" si="476"/>
        <v>k yet</v>
      </c>
    </row>
    <row r="3102" spans="1:34">
      <c r="A3102" s="42" t="s">
        <v>266</v>
      </c>
      <c r="B3102" s="40" t="str">
        <f t="shared" si="473"/>
        <v>No pick yet</v>
      </c>
      <c r="C3102" s="40" t="str">
        <f t="shared" si="472"/>
        <v>21-&gt;</v>
      </c>
      <c r="D3102" s="40" t="str">
        <f t="shared" si="474"/>
        <v xml:space="preserve">No pick yet                                                 </v>
      </c>
      <c r="E3102" s="52">
        <f t="shared" si="475"/>
        <v>0</v>
      </c>
      <c r="F3102" s="18"/>
      <c r="M3102" s="18"/>
      <c r="N3102" s="18"/>
      <c r="O3102" s="18"/>
      <c r="P3102" s="18"/>
      <c r="Q3102" s="22"/>
      <c r="R3102" s="21"/>
      <c r="S3102" s="21"/>
      <c r="T3102" s="21"/>
      <c r="AA3102"/>
      <c r="AH3102" t="str">
        <f t="shared" si="476"/>
        <v>k yet</v>
      </c>
    </row>
    <row r="3103" spans="1:34">
      <c r="A3103" s="42" t="s">
        <v>267</v>
      </c>
      <c r="B3103" s="40" t="str">
        <f t="shared" si="473"/>
        <v>No pick yet</v>
      </c>
      <c r="C3103" s="40" t="str">
        <f t="shared" si="472"/>
        <v>22-&gt;</v>
      </c>
      <c r="D3103" s="40" t="str">
        <f t="shared" si="474"/>
        <v xml:space="preserve">No pick yet                                                 </v>
      </c>
      <c r="E3103" s="52">
        <f t="shared" si="475"/>
        <v>0</v>
      </c>
      <c r="F3103" s="18"/>
      <c r="M3103" s="18"/>
      <c r="N3103" s="18"/>
      <c r="O3103" s="18"/>
      <c r="P3103" s="18"/>
      <c r="Q3103" s="22"/>
      <c r="R3103" s="21"/>
      <c r="S3103" s="21"/>
      <c r="T3103" s="21"/>
      <c r="AA3103"/>
      <c r="AH3103" t="str">
        <f t="shared" si="476"/>
        <v>k yet</v>
      </c>
    </row>
    <row r="3104" spans="1:34">
      <c r="A3104" s="42" t="s">
        <v>268</v>
      </c>
      <c r="B3104" s="40" t="str">
        <f t="shared" si="473"/>
        <v>No pick yet</v>
      </c>
      <c r="C3104" s="40" t="str">
        <f t="shared" si="472"/>
        <v>23-&gt;</v>
      </c>
      <c r="D3104" s="40" t="str">
        <f t="shared" si="474"/>
        <v xml:space="preserve">No pick yet                                                 </v>
      </c>
      <c r="E3104" s="52">
        <f t="shared" si="475"/>
        <v>0</v>
      </c>
      <c r="F3104" s="18"/>
      <c r="M3104" s="18"/>
      <c r="N3104" s="18"/>
      <c r="O3104" s="18"/>
      <c r="P3104" s="18"/>
      <c r="Q3104" s="22"/>
      <c r="R3104" s="21"/>
      <c r="S3104" s="21"/>
      <c r="T3104" s="21"/>
      <c r="AA3104"/>
      <c r="AH3104" t="str">
        <f t="shared" si="476"/>
        <v>k yet</v>
      </c>
    </row>
    <row r="3105" spans="1:39">
      <c r="A3105" s="42" t="s">
        <v>269</v>
      </c>
      <c r="B3105" s="40" t="str">
        <f t="shared" si="473"/>
        <v>No pick yet</v>
      </c>
      <c r="C3105" s="40" t="str">
        <f t="shared" si="472"/>
        <v>24-&gt;</v>
      </c>
      <c r="D3105" s="40" t="str">
        <f t="shared" si="474"/>
        <v xml:space="preserve">No pick yet                                                 </v>
      </c>
      <c r="E3105" s="52">
        <f t="shared" si="475"/>
        <v>0</v>
      </c>
      <c r="F3105" s="18"/>
      <c r="M3105" s="18"/>
      <c r="N3105" s="18"/>
      <c r="O3105" s="18"/>
      <c r="P3105" s="18"/>
      <c r="Q3105" s="22"/>
      <c r="R3105" s="21"/>
      <c r="S3105" s="21"/>
      <c r="T3105" s="21"/>
      <c r="AA3105"/>
      <c r="AH3105" t="str">
        <f t="shared" si="476"/>
        <v>k yet</v>
      </c>
    </row>
    <row r="3106" spans="1:39">
      <c r="A3106" s="42" t="s">
        <v>270</v>
      </c>
      <c r="B3106" s="40" t="str">
        <f t="shared" si="473"/>
        <v>No pick yet</v>
      </c>
      <c r="C3106" s="40" t="str">
        <f t="shared" si="472"/>
        <v>25-&gt;</v>
      </c>
      <c r="D3106" s="40" t="str">
        <f t="shared" si="474"/>
        <v xml:space="preserve">No pick yet                                                 </v>
      </c>
      <c r="E3106" s="52">
        <f t="shared" si="475"/>
        <v>0</v>
      </c>
      <c r="F3106" s="18"/>
      <c r="M3106" s="18"/>
      <c r="N3106" s="18"/>
      <c r="O3106" s="18"/>
      <c r="P3106" s="18"/>
      <c r="Q3106" s="22"/>
      <c r="R3106" s="21"/>
      <c r="S3106" s="21"/>
      <c r="T3106" s="21"/>
      <c r="AA3106"/>
      <c r="AH3106" t="str">
        <f t="shared" si="476"/>
        <v>k yet</v>
      </c>
    </row>
    <row r="3107" spans="1:39">
      <c r="A3107" s="42" t="s">
        <v>271</v>
      </c>
      <c r="B3107" s="40" t="str">
        <f t="shared" si="473"/>
        <v>No pick yet</v>
      </c>
      <c r="C3107" s="40" t="str">
        <f t="shared" si="472"/>
        <v>26-&gt;</v>
      </c>
      <c r="D3107" s="40" t="str">
        <f t="shared" si="474"/>
        <v xml:space="preserve">No pick yet                                                 </v>
      </c>
      <c r="E3107" s="52">
        <f t="shared" si="475"/>
        <v>0</v>
      </c>
      <c r="F3107" s="18"/>
      <c r="M3107" s="18"/>
      <c r="N3107" s="18"/>
      <c r="O3107" s="18"/>
      <c r="P3107" s="18"/>
      <c r="Q3107" s="22"/>
      <c r="R3107" s="21"/>
      <c r="S3107" s="21"/>
      <c r="T3107" s="21"/>
      <c r="AA3107"/>
      <c r="AH3107" t="str">
        <f t="shared" si="476"/>
        <v>k yet</v>
      </c>
    </row>
    <row r="3108" spans="1:39">
      <c r="A3108" s="38"/>
      <c r="B3108" s="40"/>
      <c r="C3108" s="40"/>
      <c r="D3108" s="49"/>
      <c r="E3108" s="41" t="s">
        <v>69</v>
      </c>
      <c r="F3108" s="18"/>
      <c r="K3108" s="22" t="s">
        <v>73</v>
      </c>
      <c r="L3108" s="18" t="s">
        <v>74</v>
      </c>
      <c r="M3108" s="22" t="s">
        <v>78</v>
      </c>
      <c r="N3108" s="22" t="s">
        <v>79</v>
      </c>
      <c r="O3108" s="22" t="s">
        <v>80</v>
      </c>
      <c r="P3108" s="22" t="s">
        <v>81</v>
      </c>
      <c r="Q3108" s="22" t="s">
        <v>82</v>
      </c>
      <c r="R3108" s="22" t="s">
        <v>83</v>
      </c>
      <c r="S3108" s="22" t="s">
        <v>84</v>
      </c>
      <c r="T3108" s="18" t="s">
        <v>85</v>
      </c>
      <c r="U3108" s="18" t="s">
        <v>86</v>
      </c>
      <c r="V3108" s="18" t="s">
        <v>87</v>
      </c>
      <c r="W3108" s="18" t="s">
        <v>88</v>
      </c>
      <c r="X3108" s="18" t="s">
        <v>89</v>
      </c>
      <c r="Y3108" s="18" t="s">
        <v>90</v>
      </c>
      <c r="Z3108" s="18" t="s">
        <v>91</v>
      </c>
      <c r="AA3108" s="18" t="s">
        <v>92</v>
      </c>
      <c r="AB3108" s="18" t="s">
        <v>93</v>
      </c>
      <c r="AC3108" s="18" t="s">
        <v>94</v>
      </c>
      <c r="AD3108" s="18" t="s">
        <v>235</v>
      </c>
      <c r="AE3108" s="18" t="s">
        <v>236</v>
      </c>
      <c r="AF3108" s="18" t="s">
        <v>237</v>
      </c>
      <c r="AG3108" s="18" t="s">
        <v>238</v>
      </c>
      <c r="AH3108" s="18" t="s">
        <v>239</v>
      </c>
      <c r="AI3108" s="18" t="s">
        <v>240</v>
      </c>
      <c r="AJ3108" s="18" t="s">
        <v>241</v>
      </c>
      <c r="AK3108" s="18" t="s">
        <v>242</v>
      </c>
      <c r="AL3108" s="18" t="s">
        <v>243</v>
      </c>
      <c r="AM3108" s="50" t="s">
        <v>244</v>
      </c>
    </row>
    <row r="3109" spans="1:39">
      <c r="A3109" s="40" t="s">
        <v>245</v>
      </c>
      <c r="B3109" s="51" t="str">
        <f>D110</f>
        <v/>
      </c>
      <c r="C3109" s="40" t="str">
        <f t="shared" ref="C3109:C3135" si="477">A3109</f>
        <v>#</v>
      </c>
      <c r="D3109" s="40" t="str">
        <f>"   "&amp;B3109&amp;REPT(" ",$AH$70-LEN(B3109)-3)</f>
        <v xml:space="preserve">                                                            </v>
      </c>
      <c r="E3109" s="38" t="str">
        <f>SUM(E3110:E3135)&amp;" pts[/b]"</f>
        <v>0 pts[/b]</v>
      </c>
      <c r="F3109" s="21">
        <f>SUM(E3110:E3135)</f>
        <v>0</v>
      </c>
      <c r="K3109" s="18">
        <f>COUNTIF(E3110:E3135,"&gt;0")</f>
        <v>0</v>
      </c>
      <c r="L3109" s="21">
        <f>AM3109-K3109</f>
        <v>0</v>
      </c>
      <c r="M3109" s="22">
        <f>MAX(E3110:E3135)</f>
        <v>0</v>
      </c>
      <c r="N3109" s="22">
        <f>LARGE(E3110:E3135,2)</f>
        <v>0</v>
      </c>
      <c r="O3109" s="22">
        <f>LARGE(E3110:E3135,3)</f>
        <v>0</v>
      </c>
      <c r="P3109" s="18">
        <f>LARGE(E3110:E3135,4)</f>
        <v>0</v>
      </c>
      <c r="Q3109" s="22">
        <f>LARGE(E3110:E3135,5)</f>
        <v>0</v>
      </c>
      <c r="R3109" s="22">
        <f>LARGE(E3110:E3135,6)</f>
        <v>0</v>
      </c>
      <c r="S3109" s="22">
        <f>LARGE(E3110:E3135,7)</f>
        <v>0</v>
      </c>
      <c r="T3109" s="18">
        <f>LARGE(E3110:E3135,8)</f>
        <v>0</v>
      </c>
      <c r="U3109" s="18">
        <f>LARGE(E3110:E3135,9)</f>
        <v>0</v>
      </c>
      <c r="V3109" s="18">
        <f>LARGE(E3110:E3135,10)</f>
        <v>0</v>
      </c>
      <c r="W3109" s="18">
        <f>LARGE(E3110:E3135,11)</f>
        <v>0</v>
      </c>
      <c r="X3109" s="18">
        <f>LARGE(E3110:E3135,12)</f>
        <v>0</v>
      </c>
      <c r="Y3109" s="18">
        <f>LARGE(E3110:E3135,13)</f>
        <v>0</v>
      </c>
      <c r="Z3109" s="18">
        <f>LARGE(E3110:E3135,14)</f>
        <v>0</v>
      </c>
      <c r="AA3109" s="18">
        <f>LARGE(E3110:E3135,15)</f>
        <v>0</v>
      </c>
      <c r="AB3109" s="18">
        <f>LARGE(E3110:E3135,16)</f>
        <v>0</v>
      </c>
      <c r="AC3109" s="18">
        <f>LARGE(E3110:E3135,17)</f>
        <v>0</v>
      </c>
      <c r="AD3109" s="18">
        <f>LARGE(E3110:E3136,13)</f>
        <v>0</v>
      </c>
      <c r="AE3109" s="18">
        <f>LARGE(E3110:E3135,19)</f>
        <v>0</v>
      </c>
      <c r="AF3109" s="18">
        <f>LARGE(E3110:E3135,20)</f>
        <v>0</v>
      </c>
      <c r="AG3109" s="18">
        <f>LARGE(E3110:E3135,21)</f>
        <v>0</v>
      </c>
      <c r="AH3109" s="18">
        <f>LARGE(E3110:E3135,22)</f>
        <v>0</v>
      </c>
      <c r="AI3109" s="18">
        <f>LARGE(E3110:E3135,23)</f>
        <v>0</v>
      </c>
      <c r="AJ3109" s="18">
        <f>LARGE(E3110:E3135,24)</f>
        <v>0</v>
      </c>
      <c r="AK3109" s="18">
        <f>LARGE(E3110:E3135,25)</f>
        <v>0</v>
      </c>
      <c r="AL3109" s="18">
        <f>LARGE(E3110:E3135,26)</f>
        <v>0</v>
      </c>
      <c r="AM3109" s="50">
        <f>COUNTIF(B3110:B3135,"&lt;&gt;"&amp;AH74)</f>
        <v>0</v>
      </c>
    </row>
    <row r="3110" spans="1:39">
      <c r="A3110" s="42" t="s">
        <v>246</v>
      </c>
      <c r="B3110" s="40" t="str">
        <f t="shared" ref="B3110:B3135" si="478">$AH$74</f>
        <v>No pick yet</v>
      </c>
      <c r="C3110" s="40" t="str">
        <f t="shared" si="477"/>
        <v>01-&gt;</v>
      </c>
      <c r="D3110" s="40" t="str">
        <f t="shared" ref="D3110:D3135" si="479">B3110&amp;REPT(" ",$AH$70-LEN(B3110))</f>
        <v xml:space="preserve">No pick yet                                                 </v>
      </c>
      <c r="E3110" s="52">
        <f t="shared" ref="E3110:E3135" si="480">VLOOKUP(RIGHT(B3110,LEN(B3110)-$AH$66),$H$138:$I$420,2,0)</f>
        <v>0</v>
      </c>
      <c r="F3110" s="18"/>
      <c r="M3110" s="18"/>
      <c r="N3110" s="18"/>
      <c r="O3110" s="18"/>
      <c r="P3110" s="18"/>
      <c r="Q3110" s="22"/>
      <c r="R3110" s="21"/>
      <c r="S3110" s="21"/>
      <c r="T3110" s="21"/>
      <c r="AA3110"/>
      <c r="AH3110" t="str">
        <f t="shared" ref="AH3110:AH3135" si="481">RIGHT(B3110,LEN(B3110)-$AH$66)</f>
        <v>k yet</v>
      </c>
    </row>
    <row r="3111" spans="1:39">
      <c r="A3111" s="42" t="s">
        <v>247</v>
      </c>
      <c r="B3111" s="40" t="str">
        <f t="shared" si="478"/>
        <v>No pick yet</v>
      </c>
      <c r="C3111" s="40" t="str">
        <f t="shared" si="477"/>
        <v>02-&gt;</v>
      </c>
      <c r="D3111" s="40" t="str">
        <f t="shared" si="479"/>
        <v xml:space="preserve">No pick yet                                                 </v>
      </c>
      <c r="E3111" s="52">
        <f t="shared" si="480"/>
        <v>0</v>
      </c>
      <c r="F3111" s="18"/>
      <c r="K3111" s="22"/>
      <c r="N3111" s="22"/>
      <c r="O3111" s="22"/>
      <c r="P3111" s="22"/>
      <c r="Q3111" s="22"/>
      <c r="R3111" s="22"/>
      <c r="S3111" s="22"/>
      <c r="Z3111" s="53"/>
      <c r="AA3111"/>
      <c r="AH3111" t="str">
        <f t="shared" si="481"/>
        <v>k yet</v>
      </c>
    </row>
    <row r="3112" spans="1:39">
      <c r="A3112" s="42" t="s">
        <v>248</v>
      </c>
      <c r="B3112" s="40" t="str">
        <f t="shared" si="478"/>
        <v>No pick yet</v>
      </c>
      <c r="C3112" s="40" t="str">
        <f t="shared" si="477"/>
        <v>03-&gt;</v>
      </c>
      <c r="D3112" s="40" t="str">
        <f t="shared" si="479"/>
        <v xml:space="preserve">No pick yet                                                 </v>
      </c>
      <c r="E3112" s="52">
        <f t="shared" si="480"/>
        <v>0</v>
      </c>
      <c r="F3112" s="18"/>
      <c r="L3112" s="21"/>
      <c r="N3112" s="22"/>
      <c r="O3112" s="22"/>
      <c r="P3112" s="18"/>
      <c r="Q3112" s="22"/>
      <c r="R3112" s="22"/>
      <c r="S3112" s="22"/>
      <c r="Z3112" s="53"/>
      <c r="AA3112"/>
      <c r="AH3112" t="str">
        <f t="shared" si="481"/>
        <v>k yet</v>
      </c>
    </row>
    <row r="3113" spans="1:39">
      <c r="A3113" s="42" t="s">
        <v>249</v>
      </c>
      <c r="B3113" s="40" t="str">
        <f t="shared" si="478"/>
        <v>No pick yet</v>
      </c>
      <c r="C3113" s="40" t="str">
        <f t="shared" si="477"/>
        <v>04-&gt;</v>
      </c>
      <c r="D3113" s="40" t="str">
        <f t="shared" si="479"/>
        <v xml:space="preserve">No pick yet                                                 </v>
      </c>
      <c r="E3113" s="52">
        <f t="shared" si="480"/>
        <v>0</v>
      </c>
      <c r="F3113" s="18"/>
      <c r="M3113" s="18"/>
      <c r="N3113" s="18"/>
      <c r="O3113" s="18"/>
      <c r="P3113" s="18"/>
      <c r="Q3113" s="22"/>
      <c r="R3113" s="21"/>
      <c r="S3113" s="21"/>
      <c r="T3113" s="21"/>
      <c r="AA3113"/>
      <c r="AH3113" t="str">
        <f t="shared" si="481"/>
        <v>k yet</v>
      </c>
    </row>
    <row r="3114" spans="1:39">
      <c r="A3114" s="42" t="s">
        <v>250</v>
      </c>
      <c r="B3114" s="40" t="str">
        <f t="shared" si="478"/>
        <v>No pick yet</v>
      </c>
      <c r="C3114" s="40" t="str">
        <f t="shared" si="477"/>
        <v>05-&gt;</v>
      </c>
      <c r="D3114" s="40" t="str">
        <f t="shared" si="479"/>
        <v xml:space="preserve">No pick yet                                                 </v>
      </c>
      <c r="E3114" s="52">
        <f t="shared" si="480"/>
        <v>0</v>
      </c>
      <c r="F3114" s="18"/>
      <c r="M3114" s="18"/>
      <c r="N3114" s="18"/>
      <c r="O3114" s="18"/>
      <c r="P3114" s="18"/>
      <c r="Q3114" s="22"/>
      <c r="R3114" s="21"/>
      <c r="S3114" s="21"/>
      <c r="T3114" s="21"/>
      <c r="AA3114"/>
      <c r="AH3114" t="str">
        <f t="shared" si="481"/>
        <v>k yet</v>
      </c>
    </row>
    <row r="3115" spans="1:39">
      <c r="A3115" s="42" t="s">
        <v>251</v>
      </c>
      <c r="B3115" s="40" t="str">
        <f t="shared" si="478"/>
        <v>No pick yet</v>
      </c>
      <c r="C3115" s="40" t="str">
        <f t="shared" si="477"/>
        <v>06-&gt;</v>
      </c>
      <c r="D3115" s="40" t="str">
        <f t="shared" si="479"/>
        <v xml:space="preserve">No pick yet                                                 </v>
      </c>
      <c r="E3115" s="52">
        <f t="shared" si="480"/>
        <v>0</v>
      </c>
      <c r="F3115" s="18"/>
      <c r="M3115" s="18"/>
      <c r="N3115" s="18"/>
      <c r="O3115" s="18"/>
      <c r="P3115" s="18"/>
      <c r="Q3115" s="22"/>
      <c r="R3115" s="21"/>
      <c r="S3115" s="21"/>
      <c r="T3115" s="21"/>
      <c r="AA3115"/>
      <c r="AH3115" t="str">
        <f t="shared" si="481"/>
        <v>k yet</v>
      </c>
    </row>
    <row r="3116" spans="1:39">
      <c r="A3116" s="42" t="s">
        <v>252</v>
      </c>
      <c r="B3116" s="40" t="str">
        <f t="shared" si="478"/>
        <v>No pick yet</v>
      </c>
      <c r="C3116" s="40" t="str">
        <f t="shared" si="477"/>
        <v>07-&gt;</v>
      </c>
      <c r="D3116" s="40" t="str">
        <f t="shared" si="479"/>
        <v xml:space="preserve">No pick yet                                                 </v>
      </c>
      <c r="E3116" s="52">
        <f t="shared" si="480"/>
        <v>0</v>
      </c>
      <c r="F3116" s="18"/>
      <c r="M3116" s="18"/>
      <c r="N3116" s="18"/>
      <c r="O3116" s="18"/>
      <c r="P3116" s="18"/>
      <c r="Q3116" s="22"/>
      <c r="R3116" s="21"/>
      <c r="S3116" s="21"/>
      <c r="T3116" s="21"/>
      <c r="AA3116"/>
      <c r="AH3116" t="str">
        <f t="shared" si="481"/>
        <v>k yet</v>
      </c>
    </row>
    <row r="3117" spans="1:39">
      <c r="A3117" s="42" t="s">
        <v>253</v>
      </c>
      <c r="B3117" s="40" t="str">
        <f t="shared" si="478"/>
        <v>No pick yet</v>
      </c>
      <c r="C3117" s="40" t="str">
        <f t="shared" si="477"/>
        <v>08-&gt;</v>
      </c>
      <c r="D3117" s="40" t="str">
        <f t="shared" si="479"/>
        <v xml:space="preserve">No pick yet                                                 </v>
      </c>
      <c r="E3117" s="52">
        <f t="shared" si="480"/>
        <v>0</v>
      </c>
      <c r="F3117" s="18"/>
      <c r="M3117" s="18"/>
      <c r="N3117" s="18"/>
      <c r="O3117" s="18"/>
      <c r="P3117" s="18"/>
      <c r="Q3117" s="22"/>
      <c r="R3117" s="21"/>
      <c r="S3117" s="21"/>
      <c r="T3117" s="21"/>
      <c r="AA3117"/>
      <c r="AH3117" t="str">
        <f t="shared" si="481"/>
        <v>k yet</v>
      </c>
    </row>
    <row r="3118" spans="1:39">
      <c r="A3118" s="42" t="s">
        <v>254</v>
      </c>
      <c r="B3118" s="40" t="str">
        <f t="shared" si="478"/>
        <v>No pick yet</v>
      </c>
      <c r="C3118" s="40" t="str">
        <f t="shared" si="477"/>
        <v>09-&gt;</v>
      </c>
      <c r="D3118" s="40" t="str">
        <f t="shared" si="479"/>
        <v xml:space="preserve">No pick yet                                                 </v>
      </c>
      <c r="E3118" s="52">
        <f t="shared" si="480"/>
        <v>0</v>
      </c>
      <c r="F3118" s="18"/>
      <c r="M3118" s="18"/>
      <c r="N3118" s="18"/>
      <c r="O3118" s="18"/>
      <c r="P3118" s="18"/>
      <c r="Q3118" s="22"/>
      <c r="R3118" s="21"/>
      <c r="S3118" s="21"/>
      <c r="T3118" s="21"/>
      <c r="AA3118"/>
      <c r="AH3118" t="str">
        <f t="shared" si="481"/>
        <v>k yet</v>
      </c>
    </row>
    <row r="3119" spans="1:39">
      <c r="A3119" s="42" t="s">
        <v>255</v>
      </c>
      <c r="B3119" s="40" t="str">
        <f t="shared" si="478"/>
        <v>No pick yet</v>
      </c>
      <c r="C3119" s="40" t="str">
        <f t="shared" si="477"/>
        <v>10-&gt;</v>
      </c>
      <c r="D3119" s="40" t="str">
        <f t="shared" si="479"/>
        <v xml:space="preserve">No pick yet                                                 </v>
      </c>
      <c r="E3119" s="52">
        <f t="shared" si="480"/>
        <v>0</v>
      </c>
      <c r="F3119" s="22"/>
      <c r="M3119" s="18"/>
      <c r="N3119" s="18"/>
      <c r="O3119" s="18"/>
      <c r="P3119" s="18"/>
      <c r="Q3119" s="22"/>
      <c r="R3119" s="21"/>
      <c r="S3119" s="21"/>
      <c r="T3119" s="21"/>
      <c r="AA3119"/>
      <c r="AH3119" t="str">
        <f t="shared" si="481"/>
        <v>k yet</v>
      </c>
    </row>
    <row r="3120" spans="1:39">
      <c r="A3120" s="42" t="s">
        <v>256</v>
      </c>
      <c r="B3120" s="40" t="str">
        <f t="shared" si="478"/>
        <v>No pick yet</v>
      </c>
      <c r="C3120" s="40" t="str">
        <f t="shared" si="477"/>
        <v>11-&gt;</v>
      </c>
      <c r="D3120" s="40" t="str">
        <f t="shared" si="479"/>
        <v xml:space="preserve">No pick yet                                                 </v>
      </c>
      <c r="E3120" s="52">
        <f t="shared" si="480"/>
        <v>0</v>
      </c>
      <c r="M3120" s="18"/>
      <c r="N3120" s="18"/>
      <c r="O3120" s="18"/>
      <c r="P3120" s="18"/>
      <c r="Q3120" s="22"/>
      <c r="R3120" s="21"/>
      <c r="S3120" s="21"/>
      <c r="T3120" s="21"/>
      <c r="AA3120"/>
      <c r="AH3120" t="str">
        <f t="shared" si="481"/>
        <v>k yet</v>
      </c>
    </row>
    <row r="3121" spans="1:39">
      <c r="A3121" s="42" t="s">
        <v>257</v>
      </c>
      <c r="B3121" s="40" t="str">
        <f t="shared" si="478"/>
        <v>No pick yet</v>
      </c>
      <c r="C3121" s="40" t="str">
        <f t="shared" si="477"/>
        <v>12-&gt;</v>
      </c>
      <c r="D3121" s="40" t="str">
        <f t="shared" si="479"/>
        <v xml:space="preserve">No pick yet                                                 </v>
      </c>
      <c r="E3121" s="52">
        <f t="shared" si="480"/>
        <v>0</v>
      </c>
      <c r="M3121" s="18"/>
      <c r="N3121" s="18"/>
      <c r="O3121" s="18"/>
      <c r="P3121" s="18"/>
      <c r="Q3121" s="22"/>
      <c r="R3121" s="21"/>
      <c r="S3121" s="21"/>
      <c r="T3121" s="21"/>
      <c r="AA3121"/>
      <c r="AH3121" t="str">
        <f t="shared" si="481"/>
        <v>k yet</v>
      </c>
    </row>
    <row r="3122" spans="1:39">
      <c r="A3122" s="42" t="s">
        <v>258</v>
      </c>
      <c r="B3122" s="40" t="str">
        <f t="shared" si="478"/>
        <v>No pick yet</v>
      </c>
      <c r="C3122" s="40" t="str">
        <f t="shared" si="477"/>
        <v>13-&gt;</v>
      </c>
      <c r="D3122" s="40" t="str">
        <f t="shared" si="479"/>
        <v xml:space="preserve">No pick yet                                                 </v>
      </c>
      <c r="E3122" s="52">
        <f t="shared" si="480"/>
        <v>0</v>
      </c>
      <c r="M3122" s="18"/>
      <c r="N3122" s="18"/>
      <c r="O3122" s="18"/>
      <c r="P3122" s="18"/>
      <c r="Q3122" s="22"/>
      <c r="R3122" s="21"/>
      <c r="S3122" s="21"/>
      <c r="T3122" s="21"/>
      <c r="AA3122"/>
      <c r="AH3122" t="str">
        <f t="shared" si="481"/>
        <v>k yet</v>
      </c>
    </row>
    <row r="3123" spans="1:39">
      <c r="A3123" s="42" t="s">
        <v>259</v>
      </c>
      <c r="B3123" s="40" t="str">
        <f t="shared" si="478"/>
        <v>No pick yet</v>
      </c>
      <c r="C3123" s="40" t="str">
        <f t="shared" si="477"/>
        <v>14-&gt;</v>
      </c>
      <c r="D3123" s="40" t="str">
        <f t="shared" si="479"/>
        <v xml:space="preserve">No pick yet                                                 </v>
      </c>
      <c r="E3123" s="52">
        <f t="shared" si="480"/>
        <v>0</v>
      </c>
      <c r="M3123" s="18"/>
      <c r="N3123" s="18"/>
      <c r="O3123" s="18"/>
      <c r="P3123" s="18"/>
      <c r="Q3123" s="22"/>
      <c r="R3123" s="21"/>
      <c r="S3123" s="21"/>
      <c r="T3123" s="21"/>
      <c r="AA3123"/>
      <c r="AH3123" t="str">
        <f t="shared" si="481"/>
        <v>k yet</v>
      </c>
    </row>
    <row r="3124" spans="1:39">
      <c r="A3124" s="42" t="s">
        <v>260</v>
      </c>
      <c r="B3124" s="40" t="str">
        <f t="shared" si="478"/>
        <v>No pick yet</v>
      </c>
      <c r="C3124" s="40" t="str">
        <f t="shared" si="477"/>
        <v>15-&gt;</v>
      </c>
      <c r="D3124" s="40" t="str">
        <f t="shared" si="479"/>
        <v xml:space="preserve">No pick yet                                                 </v>
      </c>
      <c r="E3124" s="52">
        <f t="shared" si="480"/>
        <v>0</v>
      </c>
      <c r="M3124" s="18"/>
      <c r="N3124" s="18"/>
      <c r="O3124" s="18"/>
      <c r="P3124" s="18"/>
      <c r="Q3124" s="22"/>
      <c r="R3124" s="21"/>
      <c r="S3124" s="21"/>
      <c r="T3124" s="21"/>
      <c r="AA3124"/>
      <c r="AH3124" t="str">
        <f t="shared" si="481"/>
        <v>k yet</v>
      </c>
    </row>
    <row r="3125" spans="1:39">
      <c r="A3125" s="42" t="s">
        <v>261</v>
      </c>
      <c r="B3125" s="40" t="str">
        <f t="shared" si="478"/>
        <v>No pick yet</v>
      </c>
      <c r="C3125" s="40" t="str">
        <f t="shared" si="477"/>
        <v>16-&gt;</v>
      </c>
      <c r="D3125" s="40" t="str">
        <f t="shared" si="479"/>
        <v xml:space="preserve">No pick yet                                                 </v>
      </c>
      <c r="E3125" s="52">
        <f t="shared" si="480"/>
        <v>0</v>
      </c>
      <c r="M3125" s="18"/>
      <c r="N3125" s="18"/>
      <c r="O3125" s="18"/>
      <c r="P3125" s="18"/>
      <c r="Q3125" s="22"/>
      <c r="R3125" s="21"/>
      <c r="S3125" s="21"/>
      <c r="T3125" s="21"/>
      <c r="AA3125"/>
      <c r="AH3125" t="str">
        <f t="shared" si="481"/>
        <v>k yet</v>
      </c>
    </row>
    <row r="3126" spans="1:39">
      <c r="A3126" s="42" t="s">
        <v>262</v>
      </c>
      <c r="B3126" s="40" t="str">
        <f t="shared" si="478"/>
        <v>No pick yet</v>
      </c>
      <c r="C3126" s="40" t="str">
        <f t="shared" si="477"/>
        <v>17-&gt;</v>
      </c>
      <c r="D3126" s="40" t="str">
        <f t="shared" si="479"/>
        <v xml:space="preserve">No pick yet                                                 </v>
      </c>
      <c r="E3126" s="52">
        <f t="shared" si="480"/>
        <v>0</v>
      </c>
      <c r="K3126" s="22"/>
      <c r="N3126" s="22"/>
      <c r="O3126" s="22"/>
      <c r="P3126" s="22"/>
      <c r="Q3126" s="22"/>
      <c r="R3126" s="22"/>
      <c r="S3126" s="22"/>
      <c r="Z3126" s="53"/>
      <c r="AA3126"/>
      <c r="AH3126" t="str">
        <f t="shared" si="481"/>
        <v>k yet</v>
      </c>
    </row>
    <row r="3127" spans="1:39">
      <c r="A3127" s="42" t="s">
        <v>263</v>
      </c>
      <c r="B3127" s="40" t="str">
        <f t="shared" si="478"/>
        <v>No pick yet</v>
      </c>
      <c r="C3127" s="40" t="str">
        <f t="shared" si="477"/>
        <v>18-&gt;</v>
      </c>
      <c r="D3127" s="40" t="str">
        <f t="shared" si="479"/>
        <v xml:space="preserve">No pick yet                                                 </v>
      </c>
      <c r="E3127" s="52">
        <f t="shared" si="480"/>
        <v>0</v>
      </c>
      <c r="F3127" s="18"/>
      <c r="L3127" s="21"/>
      <c r="N3127" s="22"/>
      <c r="O3127" s="22"/>
      <c r="P3127" s="18"/>
      <c r="Q3127" s="22"/>
      <c r="R3127" s="22"/>
      <c r="S3127" s="22"/>
      <c r="Z3127" s="53"/>
      <c r="AA3127"/>
      <c r="AH3127" t="str">
        <f t="shared" si="481"/>
        <v>k yet</v>
      </c>
    </row>
    <row r="3128" spans="1:39">
      <c r="A3128" s="42" t="s">
        <v>264</v>
      </c>
      <c r="B3128" s="40" t="str">
        <f t="shared" si="478"/>
        <v>No pick yet</v>
      </c>
      <c r="C3128" s="40" t="str">
        <f t="shared" si="477"/>
        <v>19-&gt;</v>
      </c>
      <c r="D3128" s="40" t="str">
        <f t="shared" si="479"/>
        <v xml:space="preserve">No pick yet                                                 </v>
      </c>
      <c r="E3128" s="52">
        <f t="shared" si="480"/>
        <v>0</v>
      </c>
      <c r="F3128" s="18"/>
      <c r="M3128" s="18"/>
      <c r="N3128" s="18"/>
      <c r="O3128" s="18"/>
      <c r="P3128" s="18"/>
      <c r="Q3128" s="22"/>
      <c r="R3128" s="21"/>
      <c r="S3128" s="21"/>
      <c r="T3128" s="21"/>
      <c r="AA3128"/>
      <c r="AH3128" t="str">
        <f t="shared" si="481"/>
        <v>k yet</v>
      </c>
    </row>
    <row r="3129" spans="1:39">
      <c r="A3129" s="42" t="s">
        <v>265</v>
      </c>
      <c r="B3129" s="40" t="str">
        <f t="shared" si="478"/>
        <v>No pick yet</v>
      </c>
      <c r="C3129" s="40" t="str">
        <f t="shared" si="477"/>
        <v>20-&gt;</v>
      </c>
      <c r="D3129" s="40" t="str">
        <f t="shared" si="479"/>
        <v xml:space="preserve">No pick yet                                                 </v>
      </c>
      <c r="E3129" s="52">
        <f t="shared" si="480"/>
        <v>0</v>
      </c>
      <c r="F3129" s="18"/>
      <c r="M3129" s="18"/>
      <c r="N3129" s="18"/>
      <c r="O3129" s="18"/>
      <c r="P3129" s="18"/>
      <c r="Q3129" s="22"/>
      <c r="R3129" s="21"/>
      <c r="S3129" s="21"/>
      <c r="T3129" s="21"/>
      <c r="AA3129"/>
      <c r="AH3129" t="str">
        <f t="shared" si="481"/>
        <v>k yet</v>
      </c>
    </row>
    <row r="3130" spans="1:39">
      <c r="A3130" s="42" t="s">
        <v>266</v>
      </c>
      <c r="B3130" s="40" t="str">
        <f t="shared" si="478"/>
        <v>No pick yet</v>
      </c>
      <c r="C3130" s="40" t="str">
        <f t="shared" si="477"/>
        <v>21-&gt;</v>
      </c>
      <c r="D3130" s="40" t="str">
        <f t="shared" si="479"/>
        <v xml:space="preserve">No pick yet                                                 </v>
      </c>
      <c r="E3130" s="52">
        <f t="shared" si="480"/>
        <v>0</v>
      </c>
      <c r="F3130" s="18"/>
      <c r="M3130" s="18"/>
      <c r="N3130" s="18"/>
      <c r="O3130" s="18"/>
      <c r="P3130" s="18"/>
      <c r="Q3130" s="22"/>
      <c r="R3130" s="21"/>
      <c r="S3130" s="21"/>
      <c r="T3130" s="21"/>
      <c r="AA3130"/>
      <c r="AH3130" t="str">
        <f t="shared" si="481"/>
        <v>k yet</v>
      </c>
    </row>
    <row r="3131" spans="1:39">
      <c r="A3131" s="42" t="s">
        <v>267</v>
      </c>
      <c r="B3131" s="40" t="str">
        <f t="shared" si="478"/>
        <v>No pick yet</v>
      </c>
      <c r="C3131" s="40" t="str">
        <f t="shared" si="477"/>
        <v>22-&gt;</v>
      </c>
      <c r="D3131" s="40" t="str">
        <f t="shared" si="479"/>
        <v xml:space="preserve">No pick yet                                                 </v>
      </c>
      <c r="E3131" s="52">
        <f t="shared" si="480"/>
        <v>0</v>
      </c>
      <c r="F3131" s="18"/>
      <c r="M3131" s="18"/>
      <c r="N3131" s="18"/>
      <c r="O3131" s="18"/>
      <c r="P3131" s="18"/>
      <c r="Q3131" s="22"/>
      <c r="R3131" s="21"/>
      <c r="S3131" s="21"/>
      <c r="T3131" s="21"/>
      <c r="AA3131"/>
      <c r="AH3131" t="str">
        <f t="shared" si="481"/>
        <v>k yet</v>
      </c>
    </row>
    <row r="3132" spans="1:39">
      <c r="A3132" s="42" t="s">
        <v>268</v>
      </c>
      <c r="B3132" s="40" t="str">
        <f t="shared" si="478"/>
        <v>No pick yet</v>
      </c>
      <c r="C3132" s="40" t="str">
        <f t="shared" si="477"/>
        <v>23-&gt;</v>
      </c>
      <c r="D3132" s="40" t="str">
        <f t="shared" si="479"/>
        <v xml:space="preserve">No pick yet                                                 </v>
      </c>
      <c r="E3132" s="52">
        <f t="shared" si="480"/>
        <v>0</v>
      </c>
      <c r="F3132" s="18"/>
      <c r="M3132" s="18"/>
      <c r="N3132" s="18"/>
      <c r="O3132" s="18"/>
      <c r="P3132" s="18"/>
      <c r="Q3132" s="22"/>
      <c r="R3132" s="21"/>
      <c r="S3132" s="21"/>
      <c r="T3132" s="21"/>
      <c r="AA3132"/>
      <c r="AH3132" t="str">
        <f t="shared" si="481"/>
        <v>k yet</v>
      </c>
    </row>
    <row r="3133" spans="1:39">
      <c r="A3133" s="42" t="s">
        <v>269</v>
      </c>
      <c r="B3133" s="40" t="str">
        <f t="shared" si="478"/>
        <v>No pick yet</v>
      </c>
      <c r="C3133" s="40" t="str">
        <f t="shared" si="477"/>
        <v>24-&gt;</v>
      </c>
      <c r="D3133" s="40" t="str">
        <f t="shared" si="479"/>
        <v xml:space="preserve">No pick yet                                                 </v>
      </c>
      <c r="E3133" s="52">
        <f t="shared" si="480"/>
        <v>0</v>
      </c>
      <c r="F3133" s="18"/>
      <c r="M3133" s="18"/>
      <c r="N3133" s="18"/>
      <c r="O3133" s="18"/>
      <c r="P3133" s="18"/>
      <c r="Q3133" s="22"/>
      <c r="R3133" s="21"/>
      <c r="S3133" s="21"/>
      <c r="T3133" s="21"/>
      <c r="AA3133"/>
      <c r="AH3133" t="str">
        <f t="shared" si="481"/>
        <v>k yet</v>
      </c>
    </row>
    <row r="3134" spans="1:39">
      <c r="A3134" s="42" t="s">
        <v>270</v>
      </c>
      <c r="B3134" s="40" t="str">
        <f t="shared" si="478"/>
        <v>No pick yet</v>
      </c>
      <c r="C3134" s="40" t="str">
        <f t="shared" si="477"/>
        <v>25-&gt;</v>
      </c>
      <c r="D3134" s="40" t="str">
        <f t="shared" si="479"/>
        <v xml:space="preserve">No pick yet                                                 </v>
      </c>
      <c r="E3134" s="52">
        <f t="shared" si="480"/>
        <v>0</v>
      </c>
      <c r="F3134" s="18"/>
      <c r="M3134" s="18"/>
      <c r="N3134" s="18"/>
      <c r="O3134" s="18"/>
      <c r="P3134" s="18"/>
      <c r="Q3134" s="22"/>
      <c r="R3134" s="21"/>
      <c r="S3134" s="21"/>
      <c r="T3134" s="21"/>
      <c r="AA3134"/>
      <c r="AH3134" t="str">
        <f t="shared" si="481"/>
        <v>k yet</v>
      </c>
    </row>
    <row r="3135" spans="1:39">
      <c r="A3135" s="42" t="s">
        <v>271</v>
      </c>
      <c r="B3135" s="40" t="str">
        <f t="shared" si="478"/>
        <v>No pick yet</v>
      </c>
      <c r="C3135" s="40" t="str">
        <f t="shared" si="477"/>
        <v>26-&gt;</v>
      </c>
      <c r="D3135" s="40" t="str">
        <f t="shared" si="479"/>
        <v xml:space="preserve">No pick yet                                                 </v>
      </c>
      <c r="E3135" s="52">
        <f t="shared" si="480"/>
        <v>0</v>
      </c>
      <c r="F3135" s="18"/>
      <c r="M3135" s="18"/>
      <c r="N3135" s="18"/>
      <c r="O3135" s="18"/>
      <c r="P3135" s="18"/>
      <c r="Q3135" s="22"/>
      <c r="R3135" s="21"/>
      <c r="S3135" s="21"/>
      <c r="T3135" s="21"/>
      <c r="AA3135"/>
      <c r="AH3135" t="str">
        <f t="shared" si="481"/>
        <v>k yet</v>
      </c>
    </row>
    <row r="3136" spans="1:39">
      <c r="A3136" s="38"/>
      <c r="B3136" s="40"/>
      <c r="C3136" s="40"/>
      <c r="D3136" s="49"/>
      <c r="E3136" s="41" t="s">
        <v>69</v>
      </c>
      <c r="F3136" s="18"/>
      <c r="K3136" s="22" t="s">
        <v>73</v>
      </c>
      <c r="L3136" s="18" t="s">
        <v>74</v>
      </c>
      <c r="M3136" s="22" t="s">
        <v>78</v>
      </c>
      <c r="N3136" s="22" t="s">
        <v>79</v>
      </c>
      <c r="O3136" s="22" t="s">
        <v>80</v>
      </c>
      <c r="P3136" s="22" t="s">
        <v>81</v>
      </c>
      <c r="Q3136" s="22" t="s">
        <v>82</v>
      </c>
      <c r="R3136" s="22" t="s">
        <v>83</v>
      </c>
      <c r="S3136" s="22" t="s">
        <v>84</v>
      </c>
      <c r="T3136" s="18" t="s">
        <v>85</v>
      </c>
      <c r="U3136" s="18" t="s">
        <v>86</v>
      </c>
      <c r="V3136" s="18" t="s">
        <v>87</v>
      </c>
      <c r="W3136" s="18" t="s">
        <v>88</v>
      </c>
      <c r="X3136" s="18" t="s">
        <v>89</v>
      </c>
      <c r="Y3136" s="18" t="s">
        <v>90</v>
      </c>
      <c r="Z3136" s="18" t="s">
        <v>91</v>
      </c>
      <c r="AA3136" s="18" t="s">
        <v>92</v>
      </c>
      <c r="AB3136" s="18" t="s">
        <v>93</v>
      </c>
      <c r="AC3136" s="18" t="s">
        <v>94</v>
      </c>
      <c r="AD3136" s="18" t="s">
        <v>235</v>
      </c>
      <c r="AE3136" s="18" t="s">
        <v>236</v>
      </c>
      <c r="AF3136" s="18" t="s">
        <v>237</v>
      </c>
      <c r="AG3136" s="18" t="s">
        <v>238</v>
      </c>
      <c r="AH3136" s="18" t="s">
        <v>239</v>
      </c>
      <c r="AI3136" s="18" t="s">
        <v>240</v>
      </c>
      <c r="AJ3136" s="18" t="s">
        <v>241</v>
      </c>
      <c r="AK3136" s="18" t="s">
        <v>242</v>
      </c>
      <c r="AL3136" s="18" t="s">
        <v>243</v>
      </c>
      <c r="AM3136" s="50" t="s">
        <v>244</v>
      </c>
    </row>
    <row r="3137" spans="1:39">
      <c r="A3137" s="40" t="s">
        <v>245</v>
      </c>
      <c r="B3137" s="51" t="str">
        <f>D111</f>
        <v/>
      </c>
      <c r="C3137" s="40" t="str">
        <f t="shared" ref="C3137:C3163" si="482">A3137</f>
        <v>#</v>
      </c>
      <c r="D3137" s="40" t="str">
        <f>"   "&amp;B3137&amp;REPT(" ",$AH$70-LEN(B3137)-3)</f>
        <v xml:space="preserve">                                                            </v>
      </c>
      <c r="E3137" s="38" t="str">
        <f>SUM(E3138:E3163)&amp;" pts[/b]"</f>
        <v>0 pts[/b]</v>
      </c>
      <c r="F3137" s="21">
        <f>SUM(E3138:E3163)</f>
        <v>0</v>
      </c>
      <c r="K3137" s="18">
        <f>COUNTIF(E3138:E3163,"&gt;0")</f>
        <v>0</v>
      </c>
      <c r="L3137" s="21">
        <f>AM3137-K3137</f>
        <v>0</v>
      </c>
      <c r="M3137" s="22">
        <f>MAX(E3138:E3163)</f>
        <v>0</v>
      </c>
      <c r="N3137" s="22">
        <f>LARGE(E3138:E3163,2)</f>
        <v>0</v>
      </c>
      <c r="O3137" s="22">
        <f>LARGE(E3138:E3163,3)</f>
        <v>0</v>
      </c>
      <c r="P3137" s="18">
        <f>LARGE(E3138:E3163,4)</f>
        <v>0</v>
      </c>
      <c r="Q3137" s="22">
        <f>LARGE(E3138:E3163,5)</f>
        <v>0</v>
      </c>
      <c r="R3137" s="22">
        <f>LARGE(E3138:E3163,6)</f>
        <v>0</v>
      </c>
      <c r="S3137" s="22">
        <f>LARGE(E3138:E3163,7)</f>
        <v>0</v>
      </c>
      <c r="T3137" s="18">
        <f>LARGE(E3138:E3163,8)</f>
        <v>0</v>
      </c>
      <c r="U3137" s="18">
        <f>LARGE(E3138:E3163,9)</f>
        <v>0</v>
      </c>
      <c r="V3137" s="18">
        <f>LARGE(E3138:E3163,10)</f>
        <v>0</v>
      </c>
      <c r="W3137" s="18">
        <f>LARGE(E3138:E3163,11)</f>
        <v>0</v>
      </c>
      <c r="X3137" s="18">
        <f>LARGE(E3138:E3163,12)</f>
        <v>0</v>
      </c>
      <c r="Y3137" s="18">
        <f>LARGE(E3138:E3163,13)</f>
        <v>0</v>
      </c>
      <c r="Z3137" s="18">
        <f>LARGE(E3138:E3163,14)</f>
        <v>0</v>
      </c>
      <c r="AA3137" s="18">
        <f>LARGE(E3138:E3163,15)</f>
        <v>0</v>
      </c>
      <c r="AB3137" s="18">
        <f>LARGE(E3138:E3163,16)</f>
        <v>0</v>
      </c>
      <c r="AC3137" s="18">
        <f>LARGE(E3138:E3163,17)</f>
        <v>0</v>
      </c>
      <c r="AD3137" s="18">
        <f>LARGE(E3138:E3164,13)</f>
        <v>0</v>
      </c>
      <c r="AE3137" s="18">
        <f>LARGE(E3138:E3163,19)</f>
        <v>0</v>
      </c>
      <c r="AF3137" s="18">
        <f>LARGE(E3138:E3163,20)</f>
        <v>0</v>
      </c>
      <c r="AG3137" s="18">
        <f>LARGE(E3138:E3163,21)</f>
        <v>0</v>
      </c>
      <c r="AH3137" s="18">
        <f>LARGE(E3138:E3163,22)</f>
        <v>0</v>
      </c>
      <c r="AI3137" s="18">
        <f>LARGE(E3138:E3163,23)</f>
        <v>0</v>
      </c>
      <c r="AJ3137" s="18">
        <f>LARGE(E3138:E3163,24)</f>
        <v>0</v>
      </c>
      <c r="AK3137" s="18">
        <f>LARGE(E3138:E3163,25)</f>
        <v>0</v>
      </c>
      <c r="AL3137" s="18">
        <f>LARGE(E3138:E3163,26)</f>
        <v>0</v>
      </c>
      <c r="AM3137" s="50">
        <f>COUNTIF(B3138:B3163,"&lt;&gt;"&amp;AH74)</f>
        <v>0</v>
      </c>
    </row>
    <row r="3138" spans="1:39">
      <c r="A3138" s="42" t="s">
        <v>246</v>
      </c>
      <c r="B3138" s="40" t="str">
        <f t="shared" ref="B3138:B3163" si="483">$AH$74</f>
        <v>No pick yet</v>
      </c>
      <c r="C3138" s="40" t="str">
        <f t="shared" si="482"/>
        <v>01-&gt;</v>
      </c>
      <c r="D3138" s="40" t="str">
        <f t="shared" ref="D3138:D3163" si="484">B3138&amp;REPT(" ",$AH$70-LEN(B3138))</f>
        <v xml:space="preserve">No pick yet                                                 </v>
      </c>
      <c r="E3138" s="52">
        <f t="shared" ref="E3138:E3163" si="485">VLOOKUP(RIGHT(B3138,LEN(B3138)-$AH$66),$H$138:$I$420,2,0)</f>
        <v>0</v>
      </c>
      <c r="F3138" s="18"/>
      <c r="M3138" s="18"/>
      <c r="N3138" s="18"/>
      <c r="O3138" s="18"/>
      <c r="P3138" s="18"/>
      <c r="Q3138" s="22"/>
      <c r="R3138" s="21"/>
      <c r="S3138" s="21"/>
      <c r="T3138" s="21"/>
      <c r="AA3138"/>
      <c r="AH3138" t="str">
        <f t="shared" ref="AH3138:AH3163" si="486">RIGHT(B3138,LEN(B3138)-$AH$66)</f>
        <v>k yet</v>
      </c>
    </row>
    <row r="3139" spans="1:39">
      <c r="A3139" s="42" t="s">
        <v>247</v>
      </c>
      <c r="B3139" s="40" t="str">
        <f t="shared" si="483"/>
        <v>No pick yet</v>
      </c>
      <c r="C3139" s="40" t="str">
        <f t="shared" si="482"/>
        <v>02-&gt;</v>
      </c>
      <c r="D3139" s="40" t="str">
        <f t="shared" si="484"/>
        <v xml:space="preserve">No pick yet                                                 </v>
      </c>
      <c r="E3139" s="52">
        <f t="shared" si="485"/>
        <v>0</v>
      </c>
      <c r="F3139" s="18"/>
      <c r="K3139" s="22"/>
      <c r="N3139" s="22"/>
      <c r="O3139" s="22"/>
      <c r="P3139" s="22"/>
      <c r="Q3139" s="22"/>
      <c r="R3139" s="22"/>
      <c r="S3139" s="22"/>
      <c r="Z3139" s="53"/>
      <c r="AA3139"/>
      <c r="AH3139" t="str">
        <f t="shared" si="486"/>
        <v>k yet</v>
      </c>
    </row>
    <row r="3140" spans="1:39">
      <c r="A3140" s="42" t="s">
        <v>248</v>
      </c>
      <c r="B3140" s="40" t="str">
        <f t="shared" si="483"/>
        <v>No pick yet</v>
      </c>
      <c r="C3140" s="40" t="str">
        <f t="shared" si="482"/>
        <v>03-&gt;</v>
      </c>
      <c r="D3140" s="40" t="str">
        <f t="shared" si="484"/>
        <v xml:space="preserve">No pick yet                                                 </v>
      </c>
      <c r="E3140" s="52">
        <f t="shared" si="485"/>
        <v>0</v>
      </c>
      <c r="F3140" s="18"/>
      <c r="L3140" s="21"/>
      <c r="N3140" s="22"/>
      <c r="O3140" s="22"/>
      <c r="P3140" s="18"/>
      <c r="Q3140" s="22"/>
      <c r="R3140" s="22"/>
      <c r="S3140" s="22"/>
      <c r="Z3140" s="53"/>
      <c r="AA3140"/>
      <c r="AH3140" t="str">
        <f t="shared" si="486"/>
        <v>k yet</v>
      </c>
    </row>
    <row r="3141" spans="1:39">
      <c r="A3141" s="42" t="s">
        <v>249</v>
      </c>
      <c r="B3141" s="40" t="str">
        <f t="shared" si="483"/>
        <v>No pick yet</v>
      </c>
      <c r="C3141" s="40" t="str">
        <f t="shared" si="482"/>
        <v>04-&gt;</v>
      </c>
      <c r="D3141" s="40" t="str">
        <f t="shared" si="484"/>
        <v xml:space="preserve">No pick yet                                                 </v>
      </c>
      <c r="E3141" s="52">
        <f t="shared" si="485"/>
        <v>0</v>
      </c>
      <c r="F3141" s="18"/>
      <c r="M3141" s="18"/>
      <c r="N3141" s="18"/>
      <c r="O3141" s="18"/>
      <c r="P3141" s="18"/>
      <c r="Q3141" s="22"/>
      <c r="R3141" s="21"/>
      <c r="S3141" s="21"/>
      <c r="T3141" s="21"/>
      <c r="AA3141"/>
      <c r="AH3141" t="str">
        <f t="shared" si="486"/>
        <v>k yet</v>
      </c>
    </row>
    <row r="3142" spans="1:39">
      <c r="A3142" s="42" t="s">
        <v>250</v>
      </c>
      <c r="B3142" s="40" t="str">
        <f t="shared" si="483"/>
        <v>No pick yet</v>
      </c>
      <c r="C3142" s="40" t="str">
        <f t="shared" si="482"/>
        <v>05-&gt;</v>
      </c>
      <c r="D3142" s="40" t="str">
        <f t="shared" si="484"/>
        <v xml:space="preserve">No pick yet                                                 </v>
      </c>
      <c r="E3142" s="52">
        <f t="shared" si="485"/>
        <v>0</v>
      </c>
      <c r="F3142" s="18"/>
      <c r="M3142" s="18"/>
      <c r="N3142" s="18"/>
      <c r="O3142" s="18"/>
      <c r="P3142" s="18"/>
      <c r="Q3142" s="22"/>
      <c r="R3142" s="21"/>
      <c r="S3142" s="21"/>
      <c r="T3142" s="21"/>
      <c r="AA3142"/>
      <c r="AH3142" t="str">
        <f t="shared" si="486"/>
        <v>k yet</v>
      </c>
    </row>
    <row r="3143" spans="1:39">
      <c r="A3143" s="42" t="s">
        <v>251</v>
      </c>
      <c r="B3143" s="40" t="str">
        <f t="shared" si="483"/>
        <v>No pick yet</v>
      </c>
      <c r="C3143" s="40" t="str">
        <f t="shared" si="482"/>
        <v>06-&gt;</v>
      </c>
      <c r="D3143" s="40" t="str">
        <f t="shared" si="484"/>
        <v xml:space="preserve">No pick yet                                                 </v>
      </c>
      <c r="E3143" s="52">
        <f t="shared" si="485"/>
        <v>0</v>
      </c>
      <c r="F3143" s="18"/>
      <c r="M3143" s="18"/>
      <c r="N3143" s="18"/>
      <c r="O3143" s="18"/>
      <c r="P3143" s="18"/>
      <c r="Q3143" s="22"/>
      <c r="R3143" s="21"/>
      <c r="S3143" s="21"/>
      <c r="T3143" s="21"/>
      <c r="AA3143"/>
      <c r="AH3143" t="str">
        <f t="shared" si="486"/>
        <v>k yet</v>
      </c>
    </row>
    <row r="3144" spans="1:39">
      <c r="A3144" s="42" t="s">
        <v>252</v>
      </c>
      <c r="B3144" s="40" t="str">
        <f t="shared" si="483"/>
        <v>No pick yet</v>
      </c>
      <c r="C3144" s="40" t="str">
        <f t="shared" si="482"/>
        <v>07-&gt;</v>
      </c>
      <c r="D3144" s="40" t="str">
        <f t="shared" si="484"/>
        <v xml:space="preserve">No pick yet                                                 </v>
      </c>
      <c r="E3144" s="52">
        <f t="shared" si="485"/>
        <v>0</v>
      </c>
      <c r="F3144" s="18"/>
      <c r="M3144" s="18"/>
      <c r="N3144" s="18"/>
      <c r="O3144" s="18"/>
      <c r="P3144" s="18"/>
      <c r="Q3144" s="22"/>
      <c r="R3144" s="21"/>
      <c r="S3144" s="21"/>
      <c r="T3144" s="21"/>
      <c r="AA3144"/>
      <c r="AH3144" t="str">
        <f t="shared" si="486"/>
        <v>k yet</v>
      </c>
    </row>
    <row r="3145" spans="1:39">
      <c r="A3145" s="42" t="s">
        <v>253</v>
      </c>
      <c r="B3145" s="40" t="str">
        <f t="shared" si="483"/>
        <v>No pick yet</v>
      </c>
      <c r="C3145" s="40" t="str">
        <f t="shared" si="482"/>
        <v>08-&gt;</v>
      </c>
      <c r="D3145" s="40" t="str">
        <f t="shared" si="484"/>
        <v xml:space="preserve">No pick yet                                                 </v>
      </c>
      <c r="E3145" s="52">
        <f t="shared" si="485"/>
        <v>0</v>
      </c>
      <c r="F3145" s="18"/>
      <c r="M3145" s="18"/>
      <c r="N3145" s="18"/>
      <c r="O3145" s="18"/>
      <c r="P3145" s="18"/>
      <c r="Q3145" s="22"/>
      <c r="R3145" s="21"/>
      <c r="S3145" s="21"/>
      <c r="T3145" s="21"/>
      <c r="AA3145"/>
      <c r="AH3145" t="str">
        <f t="shared" si="486"/>
        <v>k yet</v>
      </c>
    </row>
    <row r="3146" spans="1:39">
      <c r="A3146" s="42" t="s">
        <v>254</v>
      </c>
      <c r="B3146" s="40" t="str">
        <f t="shared" si="483"/>
        <v>No pick yet</v>
      </c>
      <c r="C3146" s="40" t="str">
        <f t="shared" si="482"/>
        <v>09-&gt;</v>
      </c>
      <c r="D3146" s="40" t="str">
        <f t="shared" si="484"/>
        <v xml:space="preserve">No pick yet                                                 </v>
      </c>
      <c r="E3146" s="52">
        <f t="shared" si="485"/>
        <v>0</v>
      </c>
      <c r="F3146" s="18"/>
      <c r="M3146" s="18"/>
      <c r="N3146" s="18"/>
      <c r="O3146" s="18"/>
      <c r="P3146" s="18"/>
      <c r="Q3146" s="22"/>
      <c r="R3146" s="21"/>
      <c r="S3146" s="21"/>
      <c r="T3146" s="21"/>
      <c r="AA3146"/>
      <c r="AH3146" t="str">
        <f t="shared" si="486"/>
        <v>k yet</v>
      </c>
    </row>
    <row r="3147" spans="1:39">
      <c r="A3147" s="42" t="s">
        <v>255</v>
      </c>
      <c r="B3147" s="40" t="str">
        <f t="shared" si="483"/>
        <v>No pick yet</v>
      </c>
      <c r="C3147" s="40" t="str">
        <f t="shared" si="482"/>
        <v>10-&gt;</v>
      </c>
      <c r="D3147" s="40" t="str">
        <f t="shared" si="484"/>
        <v xml:space="preserve">No pick yet                                                 </v>
      </c>
      <c r="E3147" s="52">
        <f t="shared" si="485"/>
        <v>0</v>
      </c>
      <c r="F3147" s="22"/>
      <c r="M3147" s="18"/>
      <c r="N3147" s="18"/>
      <c r="O3147" s="18"/>
      <c r="P3147" s="18"/>
      <c r="Q3147" s="22"/>
      <c r="R3147" s="21"/>
      <c r="S3147" s="21"/>
      <c r="T3147" s="21"/>
      <c r="AA3147"/>
      <c r="AH3147" t="str">
        <f t="shared" si="486"/>
        <v>k yet</v>
      </c>
    </row>
    <row r="3148" spans="1:39">
      <c r="A3148" s="42" t="s">
        <v>256</v>
      </c>
      <c r="B3148" s="40" t="str">
        <f t="shared" si="483"/>
        <v>No pick yet</v>
      </c>
      <c r="C3148" s="40" t="str">
        <f t="shared" si="482"/>
        <v>11-&gt;</v>
      </c>
      <c r="D3148" s="40" t="str">
        <f t="shared" si="484"/>
        <v xml:space="preserve">No pick yet                                                 </v>
      </c>
      <c r="E3148" s="52">
        <f t="shared" si="485"/>
        <v>0</v>
      </c>
      <c r="M3148" s="18"/>
      <c r="N3148" s="18"/>
      <c r="O3148" s="18"/>
      <c r="P3148" s="18"/>
      <c r="Q3148" s="22"/>
      <c r="R3148" s="21"/>
      <c r="S3148" s="21"/>
      <c r="T3148" s="21"/>
      <c r="AA3148"/>
      <c r="AH3148" t="str">
        <f t="shared" si="486"/>
        <v>k yet</v>
      </c>
    </row>
    <row r="3149" spans="1:39">
      <c r="A3149" s="42" t="s">
        <v>257</v>
      </c>
      <c r="B3149" s="40" t="str">
        <f t="shared" si="483"/>
        <v>No pick yet</v>
      </c>
      <c r="C3149" s="40" t="str">
        <f t="shared" si="482"/>
        <v>12-&gt;</v>
      </c>
      <c r="D3149" s="40" t="str">
        <f t="shared" si="484"/>
        <v xml:space="preserve">No pick yet                                                 </v>
      </c>
      <c r="E3149" s="52">
        <f t="shared" si="485"/>
        <v>0</v>
      </c>
      <c r="M3149" s="18"/>
      <c r="N3149" s="18"/>
      <c r="O3149" s="18"/>
      <c r="P3149" s="18"/>
      <c r="Q3149" s="22"/>
      <c r="R3149" s="21"/>
      <c r="S3149" s="21"/>
      <c r="T3149" s="21"/>
      <c r="AA3149"/>
      <c r="AH3149" t="str">
        <f t="shared" si="486"/>
        <v>k yet</v>
      </c>
    </row>
    <row r="3150" spans="1:39">
      <c r="A3150" s="42" t="s">
        <v>258</v>
      </c>
      <c r="B3150" s="40" t="str">
        <f t="shared" si="483"/>
        <v>No pick yet</v>
      </c>
      <c r="C3150" s="40" t="str">
        <f t="shared" si="482"/>
        <v>13-&gt;</v>
      </c>
      <c r="D3150" s="40" t="str">
        <f t="shared" si="484"/>
        <v xml:space="preserve">No pick yet                                                 </v>
      </c>
      <c r="E3150" s="52">
        <f t="shared" si="485"/>
        <v>0</v>
      </c>
      <c r="M3150" s="18"/>
      <c r="N3150" s="18"/>
      <c r="O3150" s="18"/>
      <c r="P3150" s="18"/>
      <c r="Q3150" s="22"/>
      <c r="R3150" s="21"/>
      <c r="S3150" s="21"/>
      <c r="T3150" s="21"/>
      <c r="AA3150"/>
      <c r="AH3150" t="str">
        <f t="shared" si="486"/>
        <v>k yet</v>
      </c>
    </row>
    <row r="3151" spans="1:39">
      <c r="A3151" s="42" t="s">
        <v>259</v>
      </c>
      <c r="B3151" s="40" t="str">
        <f t="shared" si="483"/>
        <v>No pick yet</v>
      </c>
      <c r="C3151" s="40" t="str">
        <f t="shared" si="482"/>
        <v>14-&gt;</v>
      </c>
      <c r="D3151" s="40" t="str">
        <f t="shared" si="484"/>
        <v xml:space="preserve">No pick yet                                                 </v>
      </c>
      <c r="E3151" s="52">
        <f t="shared" si="485"/>
        <v>0</v>
      </c>
      <c r="M3151" s="18"/>
      <c r="N3151" s="18"/>
      <c r="O3151" s="18"/>
      <c r="P3151" s="18"/>
      <c r="Q3151" s="22"/>
      <c r="R3151" s="21"/>
      <c r="S3151" s="21"/>
      <c r="T3151" s="21"/>
      <c r="AA3151"/>
      <c r="AH3151" t="str">
        <f t="shared" si="486"/>
        <v>k yet</v>
      </c>
    </row>
    <row r="3152" spans="1:39">
      <c r="A3152" s="42" t="s">
        <v>260</v>
      </c>
      <c r="B3152" s="40" t="str">
        <f t="shared" si="483"/>
        <v>No pick yet</v>
      </c>
      <c r="C3152" s="40" t="str">
        <f t="shared" si="482"/>
        <v>15-&gt;</v>
      </c>
      <c r="D3152" s="40" t="str">
        <f t="shared" si="484"/>
        <v xml:space="preserve">No pick yet                                                 </v>
      </c>
      <c r="E3152" s="52">
        <f t="shared" si="485"/>
        <v>0</v>
      </c>
      <c r="M3152" s="18"/>
      <c r="N3152" s="18"/>
      <c r="O3152" s="18"/>
      <c r="P3152" s="18"/>
      <c r="Q3152" s="22"/>
      <c r="R3152" s="21"/>
      <c r="S3152" s="21"/>
      <c r="T3152" s="21"/>
      <c r="AA3152"/>
      <c r="AH3152" t="str">
        <f t="shared" si="486"/>
        <v>k yet</v>
      </c>
    </row>
    <row r="3153" spans="1:39">
      <c r="A3153" s="42" t="s">
        <v>261</v>
      </c>
      <c r="B3153" s="40" t="str">
        <f t="shared" si="483"/>
        <v>No pick yet</v>
      </c>
      <c r="C3153" s="40" t="str">
        <f t="shared" si="482"/>
        <v>16-&gt;</v>
      </c>
      <c r="D3153" s="40" t="str">
        <f t="shared" si="484"/>
        <v xml:space="preserve">No pick yet                                                 </v>
      </c>
      <c r="E3153" s="52">
        <f t="shared" si="485"/>
        <v>0</v>
      </c>
      <c r="M3153" s="18"/>
      <c r="N3153" s="18"/>
      <c r="O3153" s="18"/>
      <c r="P3153" s="18"/>
      <c r="Q3153" s="22"/>
      <c r="R3153" s="21"/>
      <c r="S3153" s="21"/>
      <c r="T3153" s="21"/>
      <c r="AA3153"/>
      <c r="AH3153" t="str">
        <f t="shared" si="486"/>
        <v>k yet</v>
      </c>
    </row>
    <row r="3154" spans="1:39">
      <c r="A3154" s="42" t="s">
        <v>262</v>
      </c>
      <c r="B3154" s="40" t="str">
        <f t="shared" si="483"/>
        <v>No pick yet</v>
      </c>
      <c r="C3154" s="40" t="str">
        <f t="shared" si="482"/>
        <v>17-&gt;</v>
      </c>
      <c r="D3154" s="40" t="str">
        <f t="shared" si="484"/>
        <v xml:space="preserve">No pick yet                                                 </v>
      </c>
      <c r="E3154" s="52">
        <f t="shared" si="485"/>
        <v>0</v>
      </c>
      <c r="K3154" s="22"/>
      <c r="N3154" s="22"/>
      <c r="O3154" s="22"/>
      <c r="P3154" s="22"/>
      <c r="Q3154" s="22"/>
      <c r="R3154" s="22"/>
      <c r="S3154" s="22"/>
      <c r="Z3154" s="53"/>
      <c r="AA3154"/>
      <c r="AH3154" t="str">
        <f t="shared" si="486"/>
        <v>k yet</v>
      </c>
    </row>
    <row r="3155" spans="1:39">
      <c r="A3155" s="42" t="s">
        <v>263</v>
      </c>
      <c r="B3155" s="40" t="str">
        <f t="shared" si="483"/>
        <v>No pick yet</v>
      </c>
      <c r="C3155" s="40" t="str">
        <f t="shared" si="482"/>
        <v>18-&gt;</v>
      </c>
      <c r="D3155" s="40" t="str">
        <f t="shared" si="484"/>
        <v xml:space="preserve">No pick yet                                                 </v>
      </c>
      <c r="E3155" s="52">
        <f t="shared" si="485"/>
        <v>0</v>
      </c>
      <c r="F3155" s="18"/>
      <c r="L3155" s="21"/>
      <c r="N3155" s="22"/>
      <c r="O3155" s="22"/>
      <c r="P3155" s="18"/>
      <c r="Q3155" s="22"/>
      <c r="R3155" s="22"/>
      <c r="S3155" s="22"/>
      <c r="Z3155" s="53"/>
      <c r="AA3155"/>
      <c r="AH3155" t="str">
        <f t="shared" si="486"/>
        <v>k yet</v>
      </c>
    </row>
    <row r="3156" spans="1:39">
      <c r="A3156" s="42" t="s">
        <v>264</v>
      </c>
      <c r="B3156" s="40" t="str">
        <f t="shared" si="483"/>
        <v>No pick yet</v>
      </c>
      <c r="C3156" s="40" t="str">
        <f t="shared" si="482"/>
        <v>19-&gt;</v>
      </c>
      <c r="D3156" s="40" t="str">
        <f t="shared" si="484"/>
        <v xml:space="preserve">No pick yet                                                 </v>
      </c>
      <c r="E3156" s="52">
        <f t="shared" si="485"/>
        <v>0</v>
      </c>
      <c r="F3156" s="18"/>
      <c r="M3156" s="18"/>
      <c r="N3156" s="18"/>
      <c r="O3156" s="18"/>
      <c r="P3156" s="18"/>
      <c r="Q3156" s="22"/>
      <c r="R3156" s="21"/>
      <c r="S3156" s="21"/>
      <c r="T3156" s="21"/>
      <c r="AA3156"/>
      <c r="AH3156" t="str">
        <f t="shared" si="486"/>
        <v>k yet</v>
      </c>
    </row>
    <row r="3157" spans="1:39">
      <c r="A3157" s="42" t="s">
        <v>265</v>
      </c>
      <c r="B3157" s="40" t="str">
        <f t="shared" si="483"/>
        <v>No pick yet</v>
      </c>
      <c r="C3157" s="40" t="str">
        <f t="shared" si="482"/>
        <v>20-&gt;</v>
      </c>
      <c r="D3157" s="40" t="str">
        <f t="shared" si="484"/>
        <v xml:space="preserve">No pick yet                                                 </v>
      </c>
      <c r="E3157" s="52">
        <f t="shared" si="485"/>
        <v>0</v>
      </c>
      <c r="F3157" s="18"/>
      <c r="M3157" s="18"/>
      <c r="N3157" s="18"/>
      <c r="O3157" s="18"/>
      <c r="P3157" s="18"/>
      <c r="Q3157" s="22"/>
      <c r="R3157" s="21"/>
      <c r="S3157" s="21"/>
      <c r="T3157" s="21"/>
      <c r="AA3157"/>
      <c r="AH3157" t="str">
        <f t="shared" si="486"/>
        <v>k yet</v>
      </c>
    </row>
    <row r="3158" spans="1:39">
      <c r="A3158" s="42" t="s">
        <v>266</v>
      </c>
      <c r="B3158" s="40" t="str">
        <f t="shared" si="483"/>
        <v>No pick yet</v>
      </c>
      <c r="C3158" s="40" t="str">
        <f t="shared" si="482"/>
        <v>21-&gt;</v>
      </c>
      <c r="D3158" s="40" t="str">
        <f t="shared" si="484"/>
        <v xml:space="preserve">No pick yet                                                 </v>
      </c>
      <c r="E3158" s="52">
        <f t="shared" si="485"/>
        <v>0</v>
      </c>
      <c r="F3158" s="18"/>
      <c r="M3158" s="18"/>
      <c r="N3158" s="18"/>
      <c r="O3158" s="18"/>
      <c r="P3158" s="18"/>
      <c r="Q3158" s="22"/>
      <c r="R3158" s="21"/>
      <c r="S3158" s="21"/>
      <c r="T3158" s="21"/>
      <c r="AA3158"/>
      <c r="AH3158" t="str">
        <f t="shared" si="486"/>
        <v>k yet</v>
      </c>
    </row>
    <row r="3159" spans="1:39">
      <c r="A3159" s="42" t="s">
        <v>267</v>
      </c>
      <c r="B3159" s="40" t="str">
        <f t="shared" si="483"/>
        <v>No pick yet</v>
      </c>
      <c r="C3159" s="40" t="str">
        <f t="shared" si="482"/>
        <v>22-&gt;</v>
      </c>
      <c r="D3159" s="40" t="str">
        <f t="shared" si="484"/>
        <v xml:space="preserve">No pick yet                                                 </v>
      </c>
      <c r="E3159" s="52">
        <f t="shared" si="485"/>
        <v>0</v>
      </c>
      <c r="F3159" s="18"/>
      <c r="M3159" s="18"/>
      <c r="N3159" s="18"/>
      <c r="O3159" s="18"/>
      <c r="P3159" s="18"/>
      <c r="Q3159" s="22"/>
      <c r="R3159" s="21"/>
      <c r="S3159" s="21"/>
      <c r="T3159" s="21"/>
      <c r="AA3159"/>
      <c r="AH3159" t="str">
        <f t="shared" si="486"/>
        <v>k yet</v>
      </c>
    </row>
    <row r="3160" spans="1:39">
      <c r="A3160" s="42" t="s">
        <v>268</v>
      </c>
      <c r="B3160" s="40" t="str">
        <f t="shared" si="483"/>
        <v>No pick yet</v>
      </c>
      <c r="C3160" s="40" t="str">
        <f t="shared" si="482"/>
        <v>23-&gt;</v>
      </c>
      <c r="D3160" s="40" t="str">
        <f t="shared" si="484"/>
        <v xml:space="preserve">No pick yet                                                 </v>
      </c>
      <c r="E3160" s="52">
        <f t="shared" si="485"/>
        <v>0</v>
      </c>
      <c r="F3160" s="18"/>
      <c r="M3160" s="18"/>
      <c r="N3160" s="18"/>
      <c r="O3160" s="18"/>
      <c r="P3160" s="18"/>
      <c r="Q3160" s="22"/>
      <c r="R3160" s="21"/>
      <c r="S3160" s="21"/>
      <c r="T3160" s="21"/>
      <c r="AA3160"/>
      <c r="AH3160" t="str">
        <f t="shared" si="486"/>
        <v>k yet</v>
      </c>
    </row>
    <row r="3161" spans="1:39">
      <c r="A3161" s="42" t="s">
        <v>269</v>
      </c>
      <c r="B3161" s="40" t="str">
        <f t="shared" si="483"/>
        <v>No pick yet</v>
      </c>
      <c r="C3161" s="40" t="str">
        <f t="shared" si="482"/>
        <v>24-&gt;</v>
      </c>
      <c r="D3161" s="40" t="str">
        <f t="shared" si="484"/>
        <v xml:space="preserve">No pick yet                                                 </v>
      </c>
      <c r="E3161" s="52">
        <f t="shared" si="485"/>
        <v>0</v>
      </c>
      <c r="F3161" s="18"/>
      <c r="M3161" s="18"/>
      <c r="N3161" s="18"/>
      <c r="O3161" s="18"/>
      <c r="P3161" s="18"/>
      <c r="Q3161" s="22"/>
      <c r="R3161" s="21"/>
      <c r="S3161" s="21"/>
      <c r="T3161" s="21"/>
      <c r="AA3161"/>
      <c r="AH3161" t="str">
        <f t="shared" si="486"/>
        <v>k yet</v>
      </c>
    </row>
    <row r="3162" spans="1:39">
      <c r="A3162" s="42" t="s">
        <v>270</v>
      </c>
      <c r="B3162" s="40" t="str">
        <f t="shared" si="483"/>
        <v>No pick yet</v>
      </c>
      <c r="C3162" s="40" t="str">
        <f t="shared" si="482"/>
        <v>25-&gt;</v>
      </c>
      <c r="D3162" s="40" t="str">
        <f t="shared" si="484"/>
        <v xml:space="preserve">No pick yet                                                 </v>
      </c>
      <c r="E3162" s="52">
        <f t="shared" si="485"/>
        <v>0</v>
      </c>
      <c r="F3162" s="18"/>
      <c r="M3162" s="18"/>
      <c r="N3162" s="18"/>
      <c r="O3162" s="18"/>
      <c r="P3162" s="18"/>
      <c r="Q3162" s="22"/>
      <c r="R3162" s="21"/>
      <c r="S3162" s="21"/>
      <c r="T3162" s="21"/>
      <c r="AA3162"/>
      <c r="AH3162" t="str">
        <f t="shared" si="486"/>
        <v>k yet</v>
      </c>
    </row>
    <row r="3163" spans="1:39">
      <c r="A3163" s="42" t="s">
        <v>271</v>
      </c>
      <c r="B3163" s="40" t="str">
        <f t="shared" si="483"/>
        <v>No pick yet</v>
      </c>
      <c r="C3163" s="40" t="str">
        <f t="shared" si="482"/>
        <v>26-&gt;</v>
      </c>
      <c r="D3163" s="40" t="str">
        <f t="shared" si="484"/>
        <v xml:space="preserve">No pick yet                                                 </v>
      </c>
      <c r="E3163" s="52">
        <f t="shared" si="485"/>
        <v>0</v>
      </c>
      <c r="F3163" s="18"/>
      <c r="M3163" s="18"/>
      <c r="N3163" s="18"/>
      <c r="O3163" s="18"/>
      <c r="P3163" s="18"/>
      <c r="Q3163" s="22"/>
      <c r="R3163" s="21"/>
      <c r="S3163" s="21"/>
      <c r="T3163" s="21"/>
      <c r="AA3163"/>
      <c r="AH3163" t="str">
        <f t="shared" si="486"/>
        <v>k yet</v>
      </c>
    </row>
    <row r="3164" spans="1:39">
      <c r="A3164" s="38"/>
      <c r="B3164" s="40"/>
      <c r="C3164" s="40"/>
      <c r="D3164" s="49"/>
      <c r="E3164" s="41" t="s">
        <v>69</v>
      </c>
      <c r="F3164" s="18"/>
      <c r="K3164" s="22" t="s">
        <v>73</v>
      </c>
      <c r="L3164" s="18" t="s">
        <v>74</v>
      </c>
      <c r="M3164" s="22" t="s">
        <v>78</v>
      </c>
      <c r="N3164" s="22" t="s">
        <v>79</v>
      </c>
      <c r="O3164" s="22" t="s">
        <v>80</v>
      </c>
      <c r="P3164" s="22" t="s">
        <v>81</v>
      </c>
      <c r="Q3164" s="22" t="s">
        <v>82</v>
      </c>
      <c r="R3164" s="22" t="s">
        <v>83</v>
      </c>
      <c r="S3164" s="22" t="s">
        <v>84</v>
      </c>
      <c r="T3164" s="18" t="s">
        <v>85</v>
      </c>
      <c r="U3164" s="18" t="s">
        <v>86</v>
      </c>
      <c r="V3164" s="18" t="s">
        <v>87</v>
      </c>
      <c r="W3164" s="18" t="s">
        <v>88</v>
      </c>
      <c r="X3164" s="18" t="s">
        <v>89</v>
      </c>
      <c r="Y3164" s="18" t="s">
        <v>90</v>
      </c>
      <c r="Z3164" s="18" t="s">
        <v>91</v>
      </c>
      <c r="AA3164" s="18" t="s">
        <v>92</v>
      </c>
      <c r="AB3164" s="18" t="s">
        <v>93</v>
      </c>
      <c r="AC3164" s="18" t="s">
        <v>94</v>
      </c>
      <c r="AD3164" s="18" t="s">
        <v>235</v>
      </c>
      <c r="AE3164" s="18" t="s">
        <v>236</v>
      </c>
      <c r="AF3164" s="18" t="s">
        <v>237</v>
      </c>
      <c r="AG3164" s="18" t="s">
        <v>238</v>
      </c>
      <c r="AH3164" s="18" t="s">
        <v>239</v>
      </c>
      <c r="AI3164" s="18" t="s">
        <v>240</v>
      </c>
      <c r="AJ3164" s="18" t="s">
        <v>241</v>
      </c>
      <c r="AK3164" s="18" t="s">
        <v>242</v>
      </c>
      <c r="AL3164" s="18" t="s">
        <v>243</v>
      </c>
      <c r="AM3164" s="50" t="s">
        <v>244</v>
      </c>
    </row>
    <row r="3165" spans="1:39">
      <c r="A3165" s="40" t="s">
        <v>245</v>
      </c>
      <c r="B3165" s="51" t="str">
        <f>D112</f>
        <v/>
      </c>
      <c r="C3165" s="40" t="str">
        <f t="shared" ref="C3165:C3191" si="487">A3165</f>
        <v>#</v>
      </c>
      <c r="D3165" s="40" t="str">
        <f>"   "&amp;B3165&amp;REPT(" ",$AH$70-LEN(B3165)-3)</f>
        <v xml:space="preserve">                                                            </v>
      </c>
      <c r="E3165" s="38" t="str">
        <f>SUM(E3166:E3191)&amp;" pts[/b]"</f>
        <v>0 pts[/b]</v>
      </c>
      <c r="F3165" s="21">
        <f>SUM(E3166:E3191)</f>
        <v>0</v>
      </c>
      <c r="K3165" s="18">
        <f>COUNTIF(E3166:E3191,"&gt;0")</f>
        <v>0</v>
      </c>
      <c r="L3165" s="21">
        <f>AM3165-K3165</f>
        <v>0</v>
      </c>
      <c r="M3165" s="22">
        <f>MAX(E3166:E3191)</f>
        <v>0</v>
      </c>
      <c r="N3165" s="22">
        <f>LARGE(E3166:E3191,2)</f>
        <v>0</v>
      </c>
      <c r="O3165" s="22">
        <f>LARGE(E3166:E3191,3)</f>
        <v>0</v>
      </c>
      <c r="P3165" s="18">
        <f>LARGE(E3166:E3191,4)</f>
        <v>0</v>
      </c>
      <c r="Q3165" s="22">
        <f>LARGE(E3166:E3191,5)</f>
        <v>0</v>
      </c>
      <c r="R3165" s="22">
        <f>LARGE(E3166:E3191,6)</f>
        <v>0</v>
      </c>
      <c r="S3165" s="22">
        <f>LARGE(E3166:E3191,7)</f>
        <v>0</v>
      </c>
      <c r="T3165" s="18">
        <f>LARGE(E3166:E3191,8)</f>
        <v>0</v>
      </c>
      <c r="U3165" s="18">
        <f>LARGE(E3166:E3191,9)</f>
        <v>0</v>
      </c>
      <c r="V3165" s="18">
        <f>LARGE(E3166:E3191,10)</f>
        <v>0</v>
      </c>
      <c r="W3165" s="18">
        <f>LARGE(E3166:E3191,11)</f>
        <v>0</v>
      </c>
      <c r="X3165" s="18">
        <f>LARGE(E3166:E3191,12)</f>
        <v>0</v>
      </c>
      <c r="Y3165" s="18">
        <f>LARGE(E3166:E3191,13)</f>
        <v>0</v>
      </c>
      <c r="Z3165" s="18">
        <f>LARGE(E3166:E3191,14)</f>
        <v>0</v>
      </c>
      <c r="AA3165" s="18">
        <f>LARGE(E3166:E3191,15)</f>
        <v>0</v>
      </c>
      <c r="AB3165" s="18">
        <f>LARGE(E3166:E3191,16)</f>
        <v>0</v>
      </c>
      <c r="AC3165" s="18">
        <f>LARGE(E3166:E3191,17)</f>
        <v>0</v>
      </c>
      <c r="AD3165" s="18">
        <f>LARGE(E3166:E3192,13)</f>
        <v>0</v>
      </c>
      <c r="AE3165" s="18">
        <f>LARGE(E3166:E3191,19)</f>
        <v>0</v>
      </c>
      <c r="AF3165" s="18">
        <f>LARGE(E3166:E3191,20)</f>
        <v>0</v>
      </c>
      <c r="AG3165" s="18">
        <f>LARGE(E3166:E3191,21)</f>
        <v>0</v>
      </c>
      <c r="AH3165" s="18">
        <f>LARGE(E3166:E3191,22)</f>
        <v>0</v>
      </c>
      <c r="AI3165" s="18">
        <f>LARGE(E3166:E3191,23)</f>
        <v>0</v>
      </c>
      <c r="AJ3165" s="18">
        <f>LARGE(E3166:E3191,24)</f>
        <v>0</v>
      </c>
      <c r="AK3165" s="18">
        <f>LARGE(E3166:E3191,25)</f>
        <v>0</v>
      </c>
      <c r="AL3165" s="18">
        <f>LARGE(E3166:E3191,26)</f>
        <v>0</v>
      </c>
      <c r="AM3165" s="50">
        <f>COUNTIF(B3166:B3191,"&lt;&gt;"&amp;AH74)</f>
        <v>0</v>
      </c>
    </row>
    <row r="3166" spans="1:39">
      <c r="A3166" s="42" t="s">
        <v>246</v>
      </c>
      <c r="B3166" s="40" t="str">
        <f t="shared" ref="B3166:B3191" si="488">$AH$74</f>
        <v>No pick yet</v>
      </c>
      <c r="C3166" s="40" t="str">
        <f t="shared" si="487"/>
        <v>01-&gt;</v>
      </c>
      <c r="D3166" s="40" t="str">
        <f t="shared" ref="D3166:D3191" si="489">B3166&amp;REPT(" ",$AH$70-LEN(B3166))</f>
        <v xml:space="preserve">No pick yet                                                 </v>
      </c>
      <c r="E3166" s="52">
        <f t="shared" ref="E3166:E3191" si="490">VLOOKUP(RIGHT(B3166,LEN(B3166)-$AH$66),$H$138:$I$420,2,0)</f>
        <v>0</v>
      </c>
      <c r="F3166" s="18"/>
      <c r="M3166" s="18"/>
      <c r="N3166" s="18"/>
      <c r="O3166" s="18"/>
      <c r="P3166" s="18"/>
      <c r="Q3166" s="22"/>
      <c r="R3166" s="21"/>
      <c r="S3166" s="21"/>
      <c r="T3166" s="21"/>
      <c r="AA3166"/>
      <c r="AH3166" t="str">
        <f t="shared" ref="AH3166:AH3191" si="491">RIGHT(B3166,LEN(B3166)-$AH$66)</f>
        <v>k yet</v>
      </c>
    </row>
    <row r="3167" spans="1:39">
      <c r="A3167" s="42" t="s">
        <v>247</v>
      </c>
      <c r="B3167" s="40" t="str">
        <f t="shared" si="488"/>
        <v>No pick yet</v>
      </c>
      <c r="C3167" s="40" t="str">
        <f t="shared" si="487"/>
        <v>02-&gt;</v>
      </c>
      <c r="D3167" s="40" t="str">
        <f t="shared" si="489"/>
        <v xml:space="preserve">No pick yet                                                 </v>
      </c>
      <c r="E3167" s="52">
        <f t="shared" si="490"/>
        <v>0</v>
      </c>
      <c r="F3167" s="18"/>
      <c r="K3167" s="22"/>
      <c r="N3167" s="22"/>
      <c r="O3167" s="22"/>
      <c r="P3167" s="22"/>
      <c r="Q3167" s="22"/>
      <c r="R3167" s="22"/>
      <c r="S3167" s="22"/>
      <c r="Z3167" s="53"/>
      <c r="AA3167"/>
      <c r="AH3167" t="str">
        <f t="shared" si="491"/>
        <v>k yet</v>
      </c>
    </row>
    <row r="3168" spans="1:39">
      <c r="A3168" s="42" t="s">
        <v>248</v>
      </c>
      <c r="B3168" s="40" t="str">
        <f t="shared" si="488"/>
        <v>No pick yet</v>
      </c>
      <c r="C3168" s="40" t="str">
        <f t="shared" si="487"/>
        <v>03-&gt;</v>
      </c>
      <c r="D3168" s="40" t="str">
        <f t="shared" si="489"/>
        <v xml:space="preserve">No pick yet                                                 </v>
      </c>
      <c r="E3168" s="52">
        <f t="shared" si="490"/>
        <v>0</v>
      </c>
      <c r="F3168" s="18"/>
      <c r="L3168" s="21"/>
      <c r="N3168" s="22"/>
      <c r="O3168" s="22"/>
      <c r="P3168" s="18"/>
      <c r="Q3168" s="22"/>
      <c r="R3168" s="22"/>
      <c r="S3168" s="22"/>
      <c r="Z3168" s="53"/>
      <c r="AA3168"/>
      <c r="AH3168" t="str">
        <f t="shared" si="491"/>
        <v>k yet</v>
      </c>
    </row>
    <row r="3169" spans="1:34">
      <c r="A3169" s="42" t="s">
        <v>249</v>
      </c>
      <c r="B3169" s="40" t="str">
        <f t="shared" si="488"/>
        <v>No pick yet</v>
      </c>
      <c r="C3169" s="40" t="str">
        <f t="shared" si="487"/>
        <v>04-&gt;</v>
      </c>
      <c r="D3169" s="40" t="str">
        <f t="shared" si="489"/>
        <v xml:space="preserve">No pick yet                                                 </v>
      </c>
      <c r="E3169" s="52">
        <f t="shared" si="490"/>
        <v>0</v>
      </c>
      <c r="F3169" s="18"/>
      <c r="M3169" s="18"/>
      <c r="N3169" s="18"/>
      <c r="O3169" s="18"/>
      <c r="P3169" s="18"/>
      <c r="Q3169" s="22"/>
      <c r="R3169" s="21"/>
      <c r="S3169" s="21"/>
      <c r="T3169" s="21"/>
      <c r="AA3169"/>
      <c r="AH3169" t="str">
        <f t="shared" si="491"/>
        <v>k yet</v>
      </c>
    </row>
    <row r="3170" spans="1:34">
      <c r="A3170" s="42" t="s">
        <v>250</v>
      </c>
      <c r="B3170" s="40" t="str">
        <f t="shared" si="488"/>
        <v>No pick yet</v>
      </c>
      <c r="C3170" s="40" t="str">
        <f t="shared" si="487"/>
        <v>05-&gt;</v>
      </c>
      <c r="D3170" s="40" t="str">
        <f t="shared" si="489"/>
        <v xml:space="preserve">No pick yet                                                 </v>
      </c>
      <c r="E3170" s="52">
        <f t="shared" si="490"/>
        <v>0</v>
      </c>
      <c r="F3170" s="18"/>
      <c r="M3170" s="18"/>
      <c r="N3170" s="18"/>
      <c r="O3170" s="18"/>
      <c r="P3170" s="18"/>
      <c r="Q3170" s="22"/>
      <c r="R3170" s="21"/>
      <c r="S3170" s="21"/>
      <c r="T3170" s="21"/>
      <c r="AA3170"/>
      <c r="AH3170" t="str">
        <f t="shared" si="491"/>
        <v>k yet</v>
      </c>
    </row>
    <row r="3171" spans="1:34">
      <c r="A3171" s="42" t="s">
        <v>251</v>
      </c>
      <c r="B3171" s="40" t="str">
        <f t="shared" si="488"/>
        <v>No pick yet</v>
      </c>
      <c r="C3171" s="40" t="str">
        <f t="shared" si="487"/>
        <v>06-&gt;</v>
      </c>
      <c r="D3171" s="40" t="str">
        <f t="shared" si="489"/>
        <v xml:space="preserve">No pick yet                                                 </v>
      </c>
      <c r="E3171" s="52">
        <f t="shared" si="490"/>
        <v>0</v>
      </c>
      <c r="F3171" s="18"/>
      <c r="M3171" s="18"/>
      <c r="N3171" s="18"/>
      <c r="O3171" s="18"/>
      <c r="P3171" s="18"/>
      <c r="Q3171" s="22"/>
      <c r="R3171" s="21"/>
      <c r="S3171" s="21"/>
      <c r="T3171" s="21"/>
      <c r="AA3171"/>
      <c r="AH3171" t="str">
        <f t="shared" si="491"/>
        <v>k yet</v>
      </c>
    </row>
    <row r="3172" spans="1:34">
      <c r="A3172" s="42" t="s">
        <v>252</v>
      </c>
      <c r="B3172" s="40" t="str">
        <f t="shared" si="488"/>
        <v>No pick yet</v>
      </c>
      <c r="C3172" s="40" t="str">
        <f t="shared" si="487"/>
        <v>07-&gt;</v>
      </c>
      <c r="D3172" s="40" t="str">
        <f t="shared" si="489"/>
        <v xml:space="preserve">No pick yet                                                 </v>
      </c>
      <c r="E3172" s="52">
        <f t="shared" si="490"/>
        <v>0</v>
      </c>
      <c r="F3172" s="18"/>
      <c r="M3172" s="18"/>
      <c r="N3172" s="18"/>
      <c r="O3172" s="18"/>
      <c r="P3172" s="18"/>
      <c r="Q3172" s="22"/>
      <c r="R3172" s="21"/>
      <c r="S3172" s="21"/>
      <c r="T3172" s="21"/>
      <c r="AA3172"/>
      <c r="AH3172" t="str">
        <f t="shared" si="491"/>
        <v>k yet</v>
      </c>
    </row>
    <row r="3173" spans="1:34">
      <c r="A3173" s="42" t="s">
        <v>253</v>
      </c>
      <c r="B3173" s="40" t="str">
        <f t="shared" si="488"/>
        <v>No pick yet</v>
      </c>
      <c r="C3173" s="40" t="str">
        <f t="shared" si="487"/>
        <v>08-&gt;</v>
      </c>
      <c r="D3173" s="40" t="str">
        <f t="shared" si="489"/>
        <v xml:space="preserve">No pick yet                                                 </v>
      </c>
      <c r="E3173" s="52">
        <f t="shared" si="490"/>
        <v>0</v>
      </c>
      <c r="F3173" s="18"/>
      <c r="M3173" s="18"/>
      <c r="N3173" s="18"/>
      <c r="O3173" s="18"/>
      <c r="P3173" s="18"/>
      <c r="Q3173" s="22"/>
      <c r="R3173" s="21"/>
      <c r="S3173" s="21"/>
      <c r="T3173" s="21"/>
      <c r="AA3173"/>
      <c r="AH3173" t="str">
        <f t="shared" si="491"/>
        <v>k yet</v>
      </c>
    </row>
    <row r="3174" spans="1:34">
      <c r="A3174" s="42" t="s">
        <v>254</v>
      </c>
      <c r="B3174" s="40" t="str">
        <f t="shared" si="488"/>
        <v>No pick yet</v>
      </c>
      <c r="C3174" s="40" t="str">
        <f t="shared" si="487"/>
        <v>09-&gt;</v>
      </c>
      <c r="D3174" s="40" t="str">
        <f t="shared" si="489"/>
        <v xml:space="preserve">No pick yet                                                 </v>
      </c>
      <c r="E3174" s="52">
        <f t="shared" si="490"/>
        <v>0</v>
      </c>
      <c r="F3174" s="18"/>
      <c r="M3174" s="18"/>
      <c r="N3174" s="18"/>
      <c r="O3174" s="18"/>
      <c r="P3174" s="18"/>
      <c r="Q3174" s="22"/>
      <c r="R3174" s="21"/>
      <c r="S3174" s="21"/>
      <c r="T3174" s="21"/>
      <c r="AA3174"/>
      <c r="AH3174" t="str">
        <f t="shared" si="491"/>
        <v>k yet</v>
      </c>
    </row>
    <row r="3175" spans="1:34">
      <c r="A3175" s="42" t="s">
        <v>255</v>
      </c>
      <c r="B3175" s="40" t="str">
        <f t="shared" si="488"/>
        <v>No pick yet</v>
      </c>
      <c r="C3175" s="40" t="str">
        <f t="shared" si="487"/>
        <v>10-&gt;</v>
      </c>
      <c r="D3175" s="40" t="str">
        <f t="shared" si="489"/>
        <v xml:space="preserve">No pick yet                                                 </v>
      </c>
      <c r="E3175" s="52">
        <f t="shared" si="490"/>
        <v>0</v>
      </c>
      <c r="F3175" s="22"/>
      <c r="M3175" s="18"/>
      <c r="N3175" s="18"/>
      <c r="O3175" s="18"/>
      <c r="P3175" s="18"/>
      <c r="Q3175" s="22"/>
      <c r="R3175" s="21"/>
      <c r="S3175" s="21"/>
      <c r="T3175" s="21"/>
      <c r="AA3175"/>
      <c r="AH3175" t="str">
        <f t="shared" si="491"/>
        <v>k yet</v>
      </c>
    </row>
    <row r="3176" spans="1:34">
      <c r="A3176" s="42" t="s">
        <v>256</v>
      </c>
      <c r="B3176" s="40" t="str">
        <f t="shared" si="488"/>
        <v>No pick yet</v>
      </c>
      <c r="C3176" s="40" t="str">
        <f t="shared" si="487"/>
        <v>11-&gt;</v>
      </c>
      <c r="D3176" s="40" t="str">
        <f t="shared" si="489"/>
        <v xml:space="preserve">No pick yet                                                 </v>
      </c>
      <c r="E3176" s="52">
        <f t="shared" si="490"/>
        <v>0</v>
      </c>
      <c r="M3176" s="18"/>
      <c r="N3176" s="18"/>
      <c r="O3176" s="18"/>
      <c r="P3176" s="18"/>
      <c r="Q3176" s="22"/>
      <c r="R3176" s="21"/>
      <c r="S3176" s="21"/>
      <c r="T3176" s="21"/>
      <c r="AA3176"/>
      <c r="AH3176" t="str">
        <f t="shared" si="491"/>
        <v>k yet</v>
      </c>
    </row>
    <row r="3177" spans="1:34">
      <c r="A3177" s="42" t="s">
        <v>257</v>
      </c>
      <c r="B3177" s="40" t="str">
        <f t="shared" si="488"/>
        <v>No pick yet</v>
      </c>
      <c r="C3177" s="40" t="str">
        <f t="shared" si="487"/>
        <v>12-&gt;</v>
      </c>
      <c r="D3177" s="40" t="str">
        <f t="shared" si="489"/>
        <v xml:space="preserve">No pick yet                                                 </v>
      </c>
      <c r="E3177" s="52">
        <f t="shared" si="490"/>
        <v>0</v>
      </c>
      <c r="M3177" s="18"/>
      <c r="N3177" s="18"/>
      <c r="O3177" s="18"/>
      <c r="P3177" s="18"/>
      <c r="Q3177" s="22"/>
      <c r="R3177" s="21"/>
      <c r="S3177" s="21"/>
      <c r="T3177" s="21"/>
      <c r="AA3177"/>
      <c r="AH3177" t="str">
        <f t="shared" si="491"/>
        <v>k yet</v>
      </c>
    </row>
    <row r="3178" spans="1:34">
      <c r="A3178" s="42" t="s">
        <v>258</v>
      </c>
      <c r="B3178" s="40" t="str">
        <f t="shared" si="488"/>
        <v>No pick yet</v>
      </c>
      <c r="C3178" s="40" t="str">
        <f t="shared" si="487"/>
        <v>13-&gt;</v>
      </c>
      <c r="D3178" s="40" t="str">
        <f t="shared" si="489"/>
        <v xml:space="preserve">No pick yet                                                 </v>
      </c>
      <c r="E3178" s="52">
        <f t="shared" si="490"/>
        <v>0</v>
      </c>
      <c r="M3178" s="18"/>
      <c r="N3178" s="18"/>
      <c r="O3178" s="18"/>
      <c r="P3178" s="18"/>
      <c r="Q3178" s="22"/>
      <c r="R3178" s="21"/>
      <c r="S3178" s="21"/>
      <c r="T3178" s="21"/>
      <c r="AA3178"/>
      <c r="AH3178" t="str">
        <f t="shared" si="491"/>
        <v>k yet</v>
      </c>
    </row>
    <row r="3179" spans="1:34">
      <c r="A3179" s="42" t="s">
        <v>259</v>
      </c>
      <c r="B3179" s="40" t="str">
        <f t="shared" si="488"/>
        <v>No pick yet</v>
      </c>
      <c r="C3179" s="40" t="str">
        <f t="shared" si="487"/>
        <v>14-&gt;</v>
      </c>
      <c r="D3179" s="40" t="str">
        <f t="shared" si="489"/>
        <v xml:space="preserve">No pick yet                                                 </v>
      </c>
      <c r="E3179" s="52">
        <f t="shared" si="490"/>
        <v>0</v>
      </c>
      <c r="M3179" s="18"/>
      <c r="N3179" s="18"/>
      <c r="O3179" s="18"/>
      <c r="P3179" s="18"/>
      <c r="Q3179" s="22"/>
      <c r="R3179" s="21"/>
      <c r="S3179" s="21"/>
      <c r="T3179" s="21"/>
      <c r="AA3179"/>
      <c r="AH3179" t="str">
        <f t="shared" si="491"/>
        <v>k yet</v>
      </c>
    </row>
    <row r="3180" spans="1:34">
      <c r="A3180" s="42" t="s">
        <v>260</v>
      </c>
      <c r="B3180" s="40" t="str">
        <f t="shared" si="488"/>
        <v>No pick yet</v>
      </c>
      <c r="C3180" s="40" t="str">
        <f t="shared" si="487"/>
        <v>15-&gt;</v>
      </c>
      <c r="D3180" s="40" t="str">
        <f t="shared" si="489"/>
        <v xml:space="preserve">No pick yet                                                 </v>
      </c>
      <c r="E3180" s="52">
        <f t="shared" si="490"/>
        <v>0</v>
      </c>
      <c r="M3180" s="18"/>
      <c r="N3180" s="18"/>
      <c r="O3180" s="18"/>
      <c r="P3180" s="18"/>
      <c r="Q3180" s="22"/>
      <c r="R3180" s="21"/>
      <c r="S3180" s="21"/>
      <c r="T3180" s="21"/>
      <c r="AA3180"/>
      <c r="AH3180" t="str">
        <f t="shared" si="491"/>
        <v>k yet</v>
      </c>
    </row>
    <row r="3181" spans="1:34">
      <c r="A3181" s="42" t="s">
        <v>261</v>
      </c>
      <c r="B3181" s="40" t="str">
        <f t="shared" si="488"/>
        <v>No pick yet</v>
      </c>
      <c r="C3181" s="40" t="str">
        <f t="shared" si="487"/>
        <v>16-&gt;</v>
      </c>
      <c r="D3181" s="40" t="str">
        <f t="shared" si="489"/>
        <v xml:space="preserve">No pick yet                                                 </v>
      </c>
      <c r="E3181" s="52">
        <f t="shared" si="490"/>
        <v>0</v>
      </c>
      <c r="M3181" s="18"/>
      <c r="N3181" s="18"/>
      <c r="O3181" s="18"/>
      <c r="P3181" s="18"/>
      <c r="Q3181" s="22"/>
      <c r="R3181" s="21"/>
      <c r="S3181" s="21"/>
      <c r="T3181" s="21"/>
      <c r="AA3181"/>
      <c r="AH3181" t="str">
        <f t="shared" si="491"/>
        <v>k yet</v>
      </c>
    </row>
    <row r="3182" spans="1:34">
      <c r="A3182" s="42" t="s">
        <v>262</v>
      </c>
      <c r="B3182" s="40" t="str">
        <f t="shared" si="488"/>
        <v>No pick yet</v>
      </c>
      <c r="C3182" s="40" t="str">
        <f t="shared" si="487"/>
        <v>17-&gt;</v>
      </c>
      <c r="D3182" s="40" t="str">
        <f t="shared" si="489"/>
        <v xml:space="preserve">No pick yet                                                 </v>
      </c>
      <c r="E3182" s="52">
        <f t="shared" si="490"/>
        <v>0</v>
      </c>
      <c r="K3182" s="22"/>
      <c r="N3182" s="22"/>
      <c r="O3182" s="22"/>
      <c r="P3182" s="22"/>
      <c r="Q3182" s="22"/>
      <c r="R3182" s="22"/>
      <c r="S3182" s="22"/>
      <c r="Z3182" s="53"/>
      <c r="AA3182"/>
      <c r="AH3182" t="str">
        <f t="shared" si="491"/>
        <v>k yet</v>
      </c>
    </row>
    <row r="3183" spans="1:34">
      <c r="A3183" s="42" t="s">
        <v>263</v>
      </c>
      <c r="B3183" s="40" t="str">
        <f t="shared" si="488"/>
        <v>No pick yet</v>
      </c>
      <c r="C3183" s="40" t="str">
        <f t="shared" si="487"/>
        <v>18-&gt;</v>
      </c>
      <c r="D3183" s="40" t="str">
        <f t="shared" si="489"/>
        <v xml:space="preserve">No pick yet                                                 </v>
      </c>
      <c r="E3183" s="52">
        <f t="shared" si="490"/>
        <v>0</v>
      </c>
      <c r="F3183" s="18"/>
      <c r="L3183" s="21"/>
      <c r="N3183" s="22"/>
      <c r="O3183" s="22"/>
      <c r="P3183" s="18"/>
      <c r="Q3183" s="22"/>
      <c r="R3183" s="22"/>
      <c r="S3183" s="22"/>
      <c r="Z3183" s="53"/>
      <c r="AA3183"/>
      <c r="AH3183" t="str">
        <f t="shared" si="491"/>
        <v>k yet</v>
      </c>
    </row>
    <row r="3184" spans="1:34">
      <c r="A3184" s="42" t="s">
        <v>264</v>
      </c>
      <c r="B3184" s="40" t="str">
        <f t="shared" si="488"/>
        <v>No pick yet</v>
      </c>
      <c r="C3184" s="40" t="str">
        <f t="shared" si="487"/>
        <v>19-&gt;</v>
      </c>
      <c r="D3184" s="40" t="str">
        <f t="shared" si="489"/>
        <v xml:space="preserve">No pick yet                                                 </v>
      </c>
      <c r="E3184" s="52">
        <f t="shared" si="490"/>
        <v>0</v>
      </c>
      <c r="F3184" s="18"/>
      <c r="M3184" s="18"/>
      <c r="N3184" s="18"/>
      <c r="O3184" s="18"/>
      <c r="P3184" s="18"/>
      <c r="Q3184" s="22"/>
      <c r="R3184" s="21"/>
      <c r="S3184" s="21"/>
      <c r="T3184" s="21"/>
      <c r="AA3184"/>
      <c r="AH3184" t="str">
        <f t="shared" si="491"/>
        <v>k yet</v>
      </c>
    </row>
    <row r="3185" spans="1:39">
      <c r="A3185" s="42" t="s">
        <v>265</v>
      </c>
      <c r="B3185" s="40" t="str">
        <f t="shared" si="488"/>
        <v>No pick yet</v>
      </c>
      <c r="C3185" s="40" t="str">
        <f t="shared" si="487"/>
        <v>20-&gt;</v>
      </c>
      <c r="D3185" s="40" t="str">
        <f t="shared" si="489"/>
        <v xml:space="preserve">No pick yet                                                 </v>
      </c>
      <c r="E3185" s="52">
        <f t="shared" si="490"/>
        <v>0</v>
      </c>
      <c r="F3185" s="18"/>
      <c r="M3185" s="18"/>
      <c r="N3185" s="18"/>
      <c r="O3185" s="18"/>
      <c r="P3185" s="18"/>
      <c r="Q3185" s="22"/>
      <c r="R3185" s="21"/>
      <c r="S3185" s="21"/>
      <c r="T3185" s="21"/>
      <c r="AA3185"/>
      <c r="AH3185" t="str">
        <f t="shared" si="491"/>
        <v>k yet</v>
      </c>
    </row>
    <row r="3186" spans="1:39">
      <c r="A3186" s="42" t="s">
        <v>266</v>
      </c>
      <c r="B3186" s="40" t="str">
        <f t="shared" si="488"/>
        <v>No pick yet</v>
      </c>
      <c r="C3186" s="40" t="str">
        <f t="shared" si="487"/>
        <v>21-&gt;</v>
      </c>
      <c r="D3186" s="40" t="str">
        <f t="shared" si="489"/>
        <v xml:space="preserve">No pick yet                                                 </v>
      </c>
      <c r="E3186" s="52">
        <f t="shared" si="490"/>
        <v>0</v>
      </c>
      <c r="F3186" s="18"/>
      <c r="M3186" s="18"/>
      <c r="N3186" s="18"/>
      <c r="O3186" s="18"/>
      <c r="P3186" s="18"/>
      <c r="Q3186" s="22"/>
      <c r="R3186" s="21"/>
      <c r="S3186" s="21"/>
      <c r="T3186" s="21"/>
      <c r="AA3186"/>
      <c r="AH3186" t="str">
        <f t="shared" si="491"/>
        <v>k yet</v>
      </c>
    </row>
    <row r="3187" spans="1:39">
      <c r="A3187" s="42" t="s">
        <v>267</v>
      </c>
      <c r="B3187" s="40" t="str">
        <f t="shared" si="488"/>
        <v>No pick yet</v>
      </c>
      <c r="C3187" s="40" t="str">
        <f t="shared" si="487"/>
        <v>22-&gt;</v>
      </c>
      <c r="D3187" s="40" t="str">
        <f t="shared" si="489"/>
        <v xml:space="preserve">No pick yet                                                 </v>
      </c>
      <c r="E3187" s="52">
        <f t="shared" si="490"/>
        <v>0</v>
      </c>
      <c r="F3187" s="18"/>
      <c r="M3187" s="18"/>
      <c r="N3187" s="18"/>
      <c r="O3187" s="18"/>
      <c r="P3187" s="18"/>
      <c r="Q3187" s="22"/>
      <c r="R3187" s="21"/>
      <c r="S3187" s="21"/>
      <c r="T3187" s="21"/>
      <c r="AA3187"/>
      <c r="AH3187" t="str">
        <f t="shared" si="491"/>
        <v>k yet</v>
      </c>
    </row>
    <row r="3188" spans="1:39">
      <c r="A3188" s="42" t="s">
        <v>268</v>
      </c>
      <c r="B3188" s="40" t="str">
        <f t="shared" si="488"/>
        <v>No pick yet</v>
      </c>
      <c r="C3188" s="40" t="str">
        <f t="shared" si="487"/>
        <v>23-&gt;</v>
      </c>
      <c r="D3188" s="40" t="str">
        <f t="shared" si="489"/>
        <v xml:space="preserve">No pick yet                                                 </v>
      </c>
      <c r="E3188" s="52">
        <f t="shared" si="490"/>
        <v>0</v>
      </c>
      <c r="F3188" s="18"/>
      <c r="M3188" s="18"/>
      <c r="N3188" s="18"/>
      <c r="O3188" s="18"/>
      <c r="P3188" s="18"/>
      <c r="Q3188" s="22"/>
      <c r="R3188" s="21"/>
      <c r="S3188" s="21"/>
      <c r="T3188" s="21"/>
      <c r="AA3188"/>
      <c r="AH3188" t="str">
        <f t="shared" si="491"/>
        <v>k yet</v>
      </c>
    </row>
    <row r="3189" spans="1:39">
      <c r="A3189" s="42" t="s">
        <v>269</v>
      </c>
      <c r="B3189" s="40" t="str">
        <f t="shared" si="488"/>
        <v>No pick yet</v>
      </c>
      <c r="C3189" s="40" t="str">
        <f t="shared" si="487"/>
        <v>24-&gt;</v>
      </c>
      <c r="D3189" s="40" t="str">
        <f t="shared" si="489"/>
        <v xml:space="preserve">No pick yet                                                 </v>
      </c>
      <c r="E3189" s="52">
        <f t="shared" si="490"/>
        <v>0</v>
      </c>
      <c r="F3189" s="18"/>
      <c r="M3189" s="18"/>
      <c r="N3189" s="18"/>
      <c r="O3189" s="18"/>
      <c r="P3189" s="18"/>
      <c r="Q3189" s="22"/>
      <c r="R3189" s="21"/>
      <c r="S3189" s="21"/>
      <c r="T3189" s="21"/>
      <c r="AA3189"/>
      <c r="AH3189" t="str">
        <f t="shared" si="491"/>
        <v>k yet</v>
      </c>
    </row>
    <row r="3190" spans="1:39">
      <c r="A3190" s="42" t="s">
        <v>270</v>
      </c>
      <c r="B3190" s="40" t="str">
        <f t="shared" si="488"/>
        <v>No pick yet</v>
      </c>
      <c r="C3190" s="40" t="str">
        <f t="shared" si="487"/>
        <v>25-&gt;</v>
      </c>
      <c r="D3190" s="40" t="str">
        <f t="shared" si="489"/>
        <v xml:space="preserve">No pick yet                                                 </v>
      </c>
      <c r="E3190" s="52">
        <f t="shared" si="490"/>
        <v>0</v>
      </c>
      <c r="F3190" s="18"/>
      <c r="M3190" s="18"/>
      <c r="N3190" s="18"/>
      <c r="O3190" s="18"/>
      <c r="P3190" s="18"/>
      <c r="Q3190" s="22"/>
      <c r="R3190" s="21"/>
      <c r="S3190" s="21"/>
      <c r="T3190" s="21"/>
      <c r="AA3190"/>
      <c r="AH3190" t="str">
        <f t="shared" si="491"/>
        <v>k yet</v>
      </c>
    </row>
    <row r="3191" spans="1:39">
      <c r="A3191" s="42" t="s">
        <v>271</v>
      </c>
      <c r="B3191" s="40" t="str">
        <f t="shared" si="488"/>
        <v>No pick yet</v>
      </c>
      <c r="C3191" s="40" t="str">
        <f t="shared" si="487"/>
        <v>26-&gt;</v>
      </c>
      <c r="D3191" s="40" t="str">
        <f t="shared" si="489"/>
        <v xml:space="preserve">No pick yet                                                 </v>
      </c>
      <c r="E3191" s="52">
        <f t="shared" si="490"/>
        <v>0</v>
      </c>
      <c r="F3191" s="18"/>
      <c r="M3191" s="18"/>
      <c r="N3191" s="18"/>
      <c r="O3191" s="18"/>
      <c r="P3191" s="18"/>
      <c r="Q3191" s="22"/>
      <c r="R3191" s="21"/>
      <c r="S3191" s="21"/>
      <c r="T3191" s="21"/>
      <c r="AA3191"/>
      <c r="AH3191" t="str">
        <f t="shared" si="491"/>
        <v>k yet</v>
      </c>
    </row>
    <row r="3192" spans="1:39">
      <c r="A3192" s="38"/>
      <c r="B3192" s="40"/>
      <c r="C3192" s="40"/>
      <c r="D3192" s="49"/>
      <c r="E3192" s="41" t="s">
        <v>69</v>
      </c>
      <c r="F3192" s="18"/>
      <c r="K3192" s="22" t="s">
        <v>73</v>
      </c>
      <c r="L3192" s="18" t="s">
        <v>74</v>
      </c>
      <c r="M3192" s="22" t="s">
        <v>78</v>
      </c>
      <c r="N3192" s="22" t="s">
        <v>79</v>
      </c>
      <c r="O3192" s="22" t="s">
        <v>80</v>
      </c>
      <c r="P3192" s="22" t="s">
        <v>81</v>
      </c>
      <c r="Q3192" s="22" t="s">
        <v>82</v>
      </c>
      <c r="R3192" s="22" t="s">
        <v>83</v>
      </c>
      <c r="S3192" s="22" t="s">
        <v>84</v>
      </c>
      <c r="T3192" s="18" t="s">
        <v>85</v>
      </c>
      <c r="U3192" s="18" t="s">
        <v>86</v>
      </c>
      <c r="V3192" s="18" t="s">
        <v>87</v>
      </c>
      <c r="W3192" s="18" t="s">
        <v>88</v>
      </c>
      <c r="X3192" s="18" t="s">
        <v>89</v>
      </c>
      <c r="Y3192" s="18" t="s">
        <v>90</v>
      </c>
      <c r="Z3192" s="18" t="s">
        <v>91</v>
      </c>
      <c r="AA3192" s="18" t="s">
        <v>92</v>
      </c>
      <c r="AB3192" s="18" t="s">
        <v>93</v>
      </c>
      <c r="AC3192" s="18" t="s">
        <v>94</v>
      </c>
      <c r="AD3192" s="18" t="s">
        <v>235</v>
      </c>
      <c r="AE3192" s="18" t="s">
        <v>236</v>
      </c>
      <c r="AF3192" s="18" t="s">
        <v>237</v>
      </c>
      <c r="AG3192" s="18" t="s">
        <v>238</v>
      </c>
      <c r="AH3192" s="18" t="s">
        <v>239</v>
      </c>
      <c r="AI3192" s="18" t="s">
        <v>240</v>
      </c>
      <c r="AJ3192" s="18" t="s">
        <v>241</v>
      </c>
      <c r="AK3192" s="18" t="s">
        <v>242</v>
      </c>
      <c r="AL3192" s="18" t="s">
        <v>243</v>
      </c>
      <c r="AM3192" s="50" t="s">
        <v>244</v>
      </c>
    </row>
    <row r="3193" spans="1:39">
      <c r="A3193" s="40" t="s">
        <v>245</v>
      </c>
      <c r="B3193" s="51" t="str">
        <f>D113</f>
        <v/>
      </c>
      <c r="C3193" s="40" t="str">
        <f t="shared" ref="C3193:C3219" si="492">A3193</f>
        <v>#</v>
      </c>
      <c r="D3193" s="40" t="str">
        <f>"   "&amp;B3193&amp;REPT(" ",$AH$70-LEN(B3193)-3)</f>
        <v xml:space="preserve">                                                            </v>
      </c>
      <c r="E3193" s="38" t="str">
        <f>SUM(E3194:E3219)&amp;" pts[/b]"</f>
        <v>0 pts[/b]</v>
      </c>
      <c r="F3193" s="21">
        <f>SUM(E3194:E3219)</f>
        <v>0</v>
      </c>
      <c r="K3193" s="18">
        <f>COUNTIF(E3194:E3219,"&gt;0")</f>
        <v>0</v>
      </c>
      <c r="L3193" s="21">
        <f>AM3193-K3193</f>
        <v>0</v>
      </c>
      <c r="M3193" s="22">
        <f>MAX(E3194:E3219)</f>
        <v>0</v>
      </c>
      <c r="N3193" s="22">
        <f>LARGE(E3194:E3219,2)</f>
        <v>0</v>
      </c>
      <c r="O3193" s="22">
        <f>LARGE(E3194:E3219,3)</f>
        <v>0</v>
      </c>
      <c r="P3193" s="18">
        <f>LARGE(E3194:E3219,4)</f>
        <v>0</v>
      </c>
      <c r="Q3193" s="22">
        <f>LARGE(E3194:E3219,5)</f>
        <v>0</v>
      </c>
      <c r="R3193" s="22">
        <f>LARGE(E3194:E3219,6)</f>
        <v>0</v>
      </c>
      <c r="S3193" s="22">
        <f>LARGE(E3194:E3219,7)</f>
        <v>0</v>
      </c>
      <c r="T3193" s="18">
        <f>LARGE(E3194:E3219,8)</f>
        <v>0</v>
      </c>
      <c r="U3193" s="18">
        <f>LARGE(E3194:E3219,9)</f>
        <v>0</v>
      </c>
      <c r="V3193" s="18">
        <f>LARGE(E3194:E3219,10)</f>
        <v>0</v>
      </c>
      <c r="W3193" s="18">
        <f>LARGE(E3194:E3219,11)</f>
        <v>0</v>
      </c>
      <c r="X3193" s="18">
        <f>LARGE(E3194:E3219,12)</f>
        <v>0</v>
      </c>
      <c r="Y3193" s="18">
        <f>LARGE(E3194:E3219,13)</f>
        <v>0</v>
      </c>
      <c r="Z3193" s="18">
        <f>LARGE(E3194:E3219,14)</f>
        <v>0</v>
      </c>
      <c r="AA3193" s="18">
        <f>LARGE(E3194:E3219,15)</f>
        <v>0</v>
      </c>
      <c r="AB3193" s="18">
        <f>LARGE(E3194:E3219,16)</f>
        <v>0</v>
      </c>
      <c r="AC3193" s="18">
        <f>LARGE(E3194:E3219,17)</f>
        <v>0</v>
      </c>
      <c r="AD3193" s="18">
        <f>LARGE(E3194:E3220,13)</f>
        <v>0</v>
      </c>
      <c r="AE3193" s="18">
        <f>LARGE(E3194:E3219,19)</f>
        <v>0</v>
      </c>
      <c r="AF3193" s="18">
        <f>LARGE(E3194:E3219,20)</f>
        <v>0</v>
      </c>
      <c r="AG3193" s="18">
        <f>LARGE(E3194:E3219,21)</f>
        <v>0</v>
      </c>
      <c r="AH3193" s="18">
        <f>LARGE(E3194:E3219,22)</f>
        <v>0</v>
      </c>
      <c r="AI3193" s="18">
        <f>LARGE(E3194:E3219,23)</f>
        <v>0</v>
      </c>
      <c r="AJ3193" s="18">
        <f>LARGE(E3194:E3219,24)</f>
        <v>0</v>
      </c>
      <c r="AK3193" s="18">
        <f>LARGE(E3194:E3219,25)</f>
        <v>0</v>
      </c>
      <c r="AL3193" s="18">
        <f>LARGE(E3194:E3219,26)</f>
        <v>0</v>
      </c>
      <c r="AM3193" s="50">
        <f>COUNTIF(B3194:B3219,"&lt;&gt;"&amp;AH74)</f>
        <v>0</v>
      </c>
    </row>
    <row r="3194" spans="1:39">
      <c r="A3194" s="42" t="s">
        <v>246</v>
      </c>
      <c r="B3194" s="40" t="str">
        <f t="shared" ref="B3194:B3219" si="493">$AH$74</f>
        <v>No pick yet</v>
      </c>
      <c r="C3194" s="40" t="str">
        <f t="shared" si="492"/>
        <v>01-&gt;</v>
      </c>
      <c r="D3194" s="40" t="str">
        <f t="shared" ref="D3194:D3219" si="494">B3194&amp;REPT(" ",$AH$70-LEN(B3194))</f>
        <v xml:space="preserve">No pick yet                                                 </v>
      </c>
      <c r="E3194" s="52">
        <f t="shared" ref="E3194:E3219" si="495">VLOOKUP(RIGHT(B3194,LEN(B3194)-$AH$66),$H$138:$I$420,2,0)</f>
        <v>0</v>
      </c>
      <c r="F3194" s="18"/>
      <c r="M3194" s="18"/>
      <c r="N3194" s="18"/>
      <c r="O3194" s="18"/>
      <c r="P3194" s="18"/>
      <c r="Q3194" s="22"/>
      <c r="R3194" s="21"/>
      <c r="S3194" s="21"/>
      <c r="T3194" s="21"/>
      <c r="AA3194"/>
      <c r="AH3194" t="str">
        <f t="shared" ref="AH3194:AH3219" si="496">RIGHT(B3194,LEN(B3194)-$AH$66)</f>
        <v>k yet</v>
      </c>
    </row>
    <row r="3195" spans="1:39">
      <c r="A3195" s="42" t="s">
        <v>247</v>
      </c>
      <c r="B3195" s="40" t="str">
        <f t="shared" si="493"/>
        <v>No pick yet</v>
      </c>
      <c r="C3195" s="40" t="str">
        <f t="shared" si="492"/>
        <v>02-&gt;</v>
      </c>
      <c r="D3195" s="40" t="str">
        <f t="shared" si="494"/>
        <v xml:space="preserve">No pick yet                                                 </v>
      </c>
      <c r="E3195" s="52">
        <f t="shared" si="495"/>
        <v>0</v>
      </c>
      <c r="F3195" s="18"/>
      <c r="K3195" s="22"/>
      <c r="N3195" s="22"/>
      <c r="O3195" s="22"/>
      <c r="P3195" s="22"/>
      <c r="Q3195" s="22"/>
      <c r="R3195" s="22"/>
      <c r="S3195" s="22"/>
      <c r="Z3195" s="53"/>
      <c r="AA3195"/>
      <c r="AH3195" t="str">
        <f t="shared" si="496"/>
        <v>k yet</v>
      </c>
    </row>
    <row r="3196" spans="1:39">
      <c r="A3196" s="42" t="s">
        <v>248</v>
      </c>
      <c r="B3196" s="40" t="str">
        <f t="shared" si="493"/>
        <v>No pick yet</v>
      </c>
      <c r="C3196" s="40" t="str">
        <f t="shared" si="492"/>
        <v>03-&gt;</v>
      </c>
      <c r="D3196" s="40" t="str">
        <f t="shared" si="494"/>
        <v xml:space="preserve">No pick yet                                                 </v>
      </c>
      <c r="E3196" s="52">
        <f t="shared" si="495"/>
        <v>0</v>
      </c>
      <c r="F3196" s="18"/>
      <c r="L3196" s="21"/>
      <c r="N3196" s="22"/>
      <c r="O3196" s="22"/>
      <c r="P3196" s="18"/>
      <c r="Q3196" s="22"/>
      <c r="R3196" s="22"/>
      <c r="S3196" s="22"/>
      <c r="Z3196" s="53"/>
      <c r="AA3196"/>
      <c r="AH3196" t="str">
        <f t="shared" si="496"/>
        <v>k yet</v>
      </c>
    </row>
    <row r="3197" spans="1:39">
      <c r="A3197" s="42" t="s">
        <v>249</v>
      </c>
      <c r="B3197" s="40" t="str">
        <f t="shared" si="493"/>
        <v>No pick yet</v>
      </c>
      <c r="C3197" s="40" t="str">
        <f t="shared" si="492"/>
        <v>04-&gt;</v>
      </c>
      <c r="D3197" s="40" t="str">
        <f t="shared" si="494"/>
        <v xml:space="preserve">No pick yet                                                 </v>
      </c>
      <c r="E3197" s="52">
        <f t="shared" si="495"/>
        <v>0</v>
      </c>
      <c r="F3197" s="18"/>
      <c r="M3197" s="18"/>
      <c r="N3197" s="18"/>
      <c r="O3197" s="18"/>
      <c r="P3197" s="18"/>
      <c r="Q3197" s="22"/>
      <c r="R3197" s="21"/>
      <c r="S3197" s="21"/>
      <c r="T3197" s="21"/>
      <c r="AA3197"/>
      <c r="AH3197" t="str">
        <f t="shared" si="496"/>
        <v>k yet</v>
      </c>
    </row>
    <row r="3198" spans="1:39">
      <c r="A3198" s="42" t="s">
        <v>250</v>
      </c>
      <c r="B3198" s="40" t="str">
        <f t="shared" si="493"/>
        <v>No pick yet</v>
      </c>
      <c r="C3198" s="40" t="str">
        <f t="shared" si="492"/>
        <v>05-&gt;</v>
      </c>
      <c r="D3198" s="40" t="str">
        <f t="shared" si="494"/>
        <v xml:space="preserve">No pick yet                                                 </v>
      </c>
      <c r="E3198" s="52">
        <f t="shared" si="495"/>
        <v>0</v>
      </c>
      <c r="F3198" s="18"/>
      <c r="M3198" s="18"/>
      <c r="N3198" s="18"/>
      <c r="O3198" s="18"/>
      <c r="P3198" s="18"/>
      <c r="Q3198" s="22"/>
      <c r="R3198" s="21"/>
      <c r="S3198" s="21"/>
      <c r="T3198" s="21"/>
      <c r="AA3198"/>
      <c r="AH3198" t="str">
        <f t="shared" si="496"/>
        <v>k yet</v>
      </c>
    </row>
    <row r="3199" spans="1:39">
      <c r="A3199" s="42" t="s">
        <v>251</v>
      </c>
      <c r="B3199" s="40" t="str">
        <f t="shared" si="493"/>
        <v>No pick yet</v>
      </c>
      <c r="C3199" s="40" t="str">
        <f t="shared" si="492"/>
        <v>06-&gt;</v>
      </c>
      <c r="D3199" s="40" t="str">
        <f t="shared" si="494"/>
        <v xml:space="preserve">No pick yet                                                 </v>
      </c>
      <c r="E3199" s="52">
        <f t="shared" si="495"/>
        <v>0</v>
      </c>
      <c r="F3199" s="18"/>
      <c r="M3199" s="18"/>
      <c r="N3199" s="18"/>
      <c r="O3199" s="18"/>
      <c r="P3199" s="18"/>
      <c r="Q3199" s="22"/>
      <c r="R3199" s="21"/>
      <c r="S3199" s="21"/>
      <c r="T3199" s="21"/>
      <c r="AA3199"/>
      <c r="AH3199" t="str">
        <f t="shared" si="496"/>
        <v>k yet</v>
      </c>
    </row>
    <row r="3200" spans="1:39">
      <c r="A3200" s="42" t="s">
        <v>252</v>
      </c>
      <c r="B3200" s="40" t="str">
        <f t="shared" si="493"/>
        <v>No pick yet</v>
      </c>
      <c r="C3200" s="40" t="str">
        <f t="shared" si="492"/>
        <v>07-&gt;</v>
      </c>
      <c r="D3200" s="40" t="str">
        <f t="shared" si="494"/>
        <v xml:space="preserve">No pick yet                                                 </v>
      </c>
      <c r="E3200" s="52">
        <f t="shared" si="495"/>
        <v>0</v>
      </c>
      <c r="F3200" s="18"/>
      <c r="M3200" s="18"/>
      <c r="N3200" s="18"/>
      <c r="O3200" s="18"/>
      <c r="P3200" s="18"/>
      <c r="Q3200" s="22"/>
      <c r="R3200" s="21"/>
      <c r="S3200" s="21"/>
      <c r="T3200" s="21"/>
      <c r="AA3200"/>
      <c r="AH3200" t="str">
        <f t="shared" si="496"/>
        <v>k yet</v>
      </c>
    </row>
    <row r="3201" spans="1:34">
      <c r="A3201" s="42" t="s">
        <v>253</v>
      </c>
      <c r="B3201" s="40" t="str">
        <f t="shared" si="493"/>
        <v>No pick yet</v>
      </c>
      <c r="C3201" s="40" t="str">
        <f t="shared" si="492"/>
        <v>08-&gt;</v>
      </c>
      <c r="D3201" s="40" t="str">
        <f t="shared" si="494"/>
        <v xml:space="preserve">No pick yet                                                 </v>
      </c>
      <c r="E3201" s="52">
        <f t="shared" si="495"/>
        <v>0</v>
      </c>
      <c r="F3201" s="18"/>
      <c r="M3201" s="18"/>
      <c r="N3201" s="18"/>
      <c r="O3201" s="18"/>
      <c r="P3201" s="18"/>
      <c r="Q3201" s="22"/>
      <c r="R3201" s="21"/>
      <c r="S3201" s="21"/>
      <c r="T3201" s="21"/>
      <c r="AA3201"/>
      <c r="AH3201" t="str">
        <f t="shared" si="496"/>
        <v>k yet</v>
      </c>
    </row>
    <row r="3202" spans="1:34">
      <c r="A3202" s="42" t="s">
        <v>254</v>
      </c>
      <c r="B3202" s="40" t="str">
        <f t="shared" si="493"/>
        <v>No pick yet</v>
      </c>
      <c r="C3202" s="40" t="str">
        <f t="shared" si="492"/>
        <v>09-&gt;</v>
      </c>
      <c r="D3202" s="40" t="str">
        <f t="shared" si="494"/>
        <v xml:space="preserve">No pick yet                                                 </v>
      </c>
      <c r="E3202" s="52">
        <f t="shared" si="495"/>
        <v>0</v>
      </c>
      <c r="F3202" s="18"/>
      <c r="M3202" s="18"/>
      <c r="N3202" s="18"/>
      <c r="O3202" s="18"/>
      <c r="P3202" s="18"/>
      <c r="Q3202" s="22"/>
      <c r="R3202" s="21"/>
      <c r="S3202" s="21"/>
      <c r="T3202" s="21"/>
      <c r="AA3202"/>
      <c r="AH3202" t="str">
        <f t="shared" si="496"/>
        <v>k yet</v>
      </c>
    </row>
    <row r="3203" spans="1:34">
      <c r="A3203" s="42" t="s">
        <v>255</v>
      </c>
      <c r="B3203" s="40" t="str">
        <f t="shared" si="493"/>
        <v>No pick yet</v>
      </c>
      <c r="C3203" s="40" t="str">
        <f t="shared" si="492"/>
        <v>10-&gt;</v>
      </c>
      <c r="D3203" s="40" t="str">
        <f t="shared" si="494"/>
        <v xml:space="preserve">No pick yet                                                 </v>
      </c>
      <c r="E3203" s="52">
        <f t="shared" si="495"/>
        <v>0</v>
      </c>
      <c r="F3203" s="22"/>
      <c r="M3203" s="18"/>
      <c r="N3203" s="18"/>
      <c r="O3203" s="18"/>
      <c r="P3203" s="18"/>
      <c r="Q3203" s="22"/>
      <c r="R3203" s="21"/>
      <c r="S3203" s="21"/>
      <c r="T3203" s="21"/>
      <c r="AA3203"/>
      <c r="AH3203" t="str">
        <f t="shared" si="496"/>
        <v>k yet</v>
      </c>
    </row>
    <row r="3204" spans="1:34">
      <c r="A3204" s="42" t="s">
        <v>256</v>
      </c>
      <c r="B3204" s="40" t="str">
        <f t="shared" si="493"/>
        <v>No pick yet</v>
      </c>
      <c r="C3204" s="40" t="str">
        <f t="shared" si="492"/>
        <v>11-&gt;</v>
      </c>
      <c r="D3204" s="40" t="str">
        <f t="shared" si="494"/>
        <v xml:space="preserve">No pick yet                                                 </v>
      </c>
      <c r="E3204" s="52">
        <f t="shared" si="495"/>
        <v>0</v>
      </c>
      <c r="M3204" s="18"/>
      <c r="N3204" s="18"/>
      <c r="O3204" s="18"/>
      <c r="P3204" s="18"/>
      <c r="Q3204" s="22"/>
      <c r="R3204" s="21"/>
      <c r="S3204" s="21"/>
      <c r="T3204" s="21"/>
      <c r="AA3204"/>
      <c r="AH3204" t="str">
        <f t="shared" si="496"/>
        <v>k yet</v>
      </c>
    </row>
    <row r="3205" spans="1:34">
      <c r="A3205" s="42" t="s">
        <v>257</v>
      </c>
      <c r="B3205" s="40" t="str">
        <f t="shared" si="493"/>
        <v>No pick yet</v>
      </c>
      <c r="C3205" s="40" t="str">
        <f t="shared" si="492"/>
        <v>12-&gt;</v>
      </c>
      <c r="D3205" s="40" t="str">
        <f t="shared" si="494"/>
        <v xml:space="preserve">No pick yet                                                 </v>
      </c>
      <c r="E3205" s="52">
        <f t="shared" si="495"/>
        <v>0</v>
      </c>
      <c r="M3205" s="18"/>
      <c r="N3205" s="18"/>
      <c r="O3205" s="18"/>
      <c r="P3205" s="18"/>
      <c r="Q3205" s="22"/>
      <c r="R3205" s="21"/>
      <c r="S3205" s="21"/>
      <c r="T3205" s="21"/>
      <c r="AA3205"/>
      <c r="AH3205" t="str">
        <f t="shared" si="496"/>
        <v>k yet</v>
      </c>
    </row>
    <row r="3206" spans="1:34">
      <c r="A3206" s="42" t="s">
        <v>258</v>
      </c>
      <c r="B3206" s="40" t="str">
        <f t="shared" si="493"/>
        <v>No pick yet</v>
      </c>
      <c r="C3206" s="40" t="str">
        <f t="shared" si="492"/>
        <v>13-&gt;</v>
      </c>
      <c r="D3206" s="40" t="str">
        <f t="shared" si="494"/>
        <v xml:space="preserve">No pick yet                                                 </v>
      </c>
      <c r="E3206" s="52">
        <f t="shared" si="495"/>
        <v>0</v>
      </c>
      <c r="M3206" s="18"/>
      <c r="N3206" s="18"/>
      <c r="O3206" s="18"/>
      <c r="P3206" s="18"/>
      <c r="Q3206" s="22"/>
      <c r="R3206" s="21"/>
      <c r="S3206" s="21"/>
      <c r="T3206" s="21"/>
      <c r="AA3206"/>
      <c r="AH3206" t="str">
        <f t="shared" si="496"/>
        <v>k yet</v>
      </c>
    </row>
    <row r="3207" spans="1:34">
      <c r="A3207" s="42" t="s">
        <v>259</v>
      </c>
      <c r="B3207" s="40" t="str">
        <f t="shared" si="493"/>
        <v>No pick yet</v>
      </c>
      <c r="C3207" s="40" t="str">
        <f t="shared" si="492"/>
        <v>14-&gt;</v>
      </c>
      <c r="D3207" s="40" t="str">
        <f t="shared" si="494"/>
        <v xml:space="preserve">No pick yet                                                 </v>
      </c>
      <c r="E3207" s="52">
        <f t="shared" si="495"/>
        <v>0</v>
      </c>
      <c r="M3207" s="18"/>
      <c r="N3207" s="18"/>
      <c r="O3207" s="18"/>
      <c r="P3207" s="18"/>
      <c r="Q3207" s="22"/>
      <c r="R3207" s="21"/>
      <c r="S3207" s="21"/>
      <c r="T3207" s="21"/>
      <c r="AA3207"/>
      <c r="AH3207" t="str">
        <f t="shared" si="496"/>
        <v>k yet</v>
      </c>
    </row>
    <row r="3208" spans="1:34">
      <c r="A3208" s="42" t="s">
        <v>260</v>
      </c>
      <c r="B3208" s="40" t="str">
        <f t="shared" si="493"/>
        <v>No pick yet</v>
      </c>
      <c r="C3208" s="40" t="str">
        <f t="shared" si="492"/>
        <v>15-&gt;</v>
      </c>
      <c r="D3208" s="40" t="str">
        <f t="shared" si="494"/>
        <v xml:space="preserve">No pick yet                                                 </v>
      </c>
      <c r="E3208" s="52">
        <f t="shared" si="495"/>
        <v>0</v>
      </c>
      <c r="M3208" s="18"/>
      <c r="N3208" s="18"/>
      <c r="O3208" s="18"/>
      <c r="P3208" s="18"/>
      <c r="Q3208" s="22"/>
      <c r="R3208" s="21"/>
      <c r="S3208" s="21"/>
      <c r="T3208" s="21"/>
      <c r="AA3208"/>
      <c r="AH3208" t="str">
        <f t="shared" si="496"/>
        <v>k yet</v>
      </c>
    </row>
    <row r="3209" spans="1:34">
      <c r="A3209" s="42" t="s">
        <v>261</v>
      </c>
      <c r="B3209" s="40" t="str">
        <f t="shared" si="493"/>
        <v>No pick yet</v>
      </c>
      <c r="C3209" s="40" t="str">
        <f t="shared" si="492"/>
        <v>16-&gt;</v>
      </c>
      <c r="D3209" s="40" t="str">
        <f t="shared" si="494"/>
        <v xml:space="preserve">No pick yet                                                 </v>
      </c>
      <c r="E3209" s="52">
        <f t="shared" si="495"/>
        <v>0</v>
      </c>
      <c r="M3209" s="18"/>
      <c r="N3209" s="18"/>
      <c r="O3209" s="18"/>
      <c r="P3209" s="18"/>
      <c r="Q3209" s="22"/>
      <c r="R3209" s="21"/>
      <c r="S3209" s="21"/>
      <c r="T3209" s="21"/>
      <c r="AA3209"/>
      <c r="AH3209" t="str">
        <f t="shared" si="496"/>
        <v>k yet</v>
      </c>
    </row>
    <row r="3210" spans="1:34">
      <c r="A3210" s="42" t="s">
        <v>262</v>
      </c>
      <c r="B3210" s="40" t="str">
        <f t="shared" si="493"/>
        <v>No pick yet</v>
      </c>
      <c r="C3210" s="40" t="str">
        <f t="shared" si="492"/>
        <v>17-&gt;</v>
      </c>
      <c r="D3210" s="40" t="str">
        <f t="shared" si="494"/>
        <v xml:space="preserve">No pick yet                                                 </v>
      </c>
      <c r="E3210" s="52">
        <f t="shared" si="495"/>
        <v>0</v>
      </c>
      <c r="K3210" s="22"/>
      <c r="N3210" s="22"/>
      <c r="O3210" s="22"/>
      <c r="P3210" s="22"/>
      <c r="Q3210" s="22"/>
      <c r="R3210" s="22"/>
      <c r="S3210" s="22"/>
      <c r="Z3210" s="53"/>
      <c r="AA3210"/>
      <c r="AH3210" t="str">
        <f t="shared" si="496"/>
        <v>k yet</v>
      </c>
    </row>
    <row r="3211" spans="1:34">
      <c r="A3211" s="42" t="s">
        <v>263</v>
      </c>
      <c r="B3211" s="40" t="str">
        <f t="shared" si="493"/>
        <v>No pick yet</v>
      </c>
      <c r="C3211" s="40" t="str">
        <f t="shared" si="492"/>
        <v>18-&gt;</v>
      </c>
      <c r="D3211" s="40" t="str">
        <f t="shared" si="494"/>
        <v xml:space="preserve">No pick yet                                                 </v>
      </c>
      <c r="E3211" s="52">
        <f t="shared" si="495"/>
        <v>0</v>
      </c>
      <c r="F3211" s="18"/>
      <c r="L3211" s="21"/>
      <c r="N3211" s="22"/>
      <c r="O3211" s="22"/>
      <c r="P3211" s="18"/>
      <c r="Q3211" s="22"/>
      <c r="R3211" s="22"/>
      <c r="S3211" s="22"/>
      <c r="Z3211" s="53"/>
      <c r="AA3211"/>
      <c r="AH3211" t="str">
        <f t="shared" si="496"/>
        <v>k yet</v>
      </c>
    </row>
    <row r="3212" spans="1:34">
      <c r="A3212" s="42" t="s">
        <v>264</v>
      </c>
      <c r="B3212" s="40" t="str">
        <f t="shared" si="493"/>
        <v>No pick yet</v>
      </c>
      <c r="C3212" s="40" t="str">
        <f t="shared" si="492"/>
        <v>19-&gt;</v>
      </c>
      <c r="D3212" s="40" t="str">
        <f t="shared" si="494"/>
        <v xml:space="preserve">No pick yet                                                 </v>
      </c>
      <c r="E3212" s="52">
        <f t="shared" si="495"/>
        <v>0</v>
      </c>
      <c r="F3212" s="18"/>
      <c r="M3212" s="18"/>
      <c r="N3212" s="18"/>
      <c r="O3212" s="18"/>
      <c r="P3212" s="18"/>
      <c r="Q3212" s="22"/>
      <c r="R3212" s="21"/>
      <c r="S3212" s="21"/>
      <c r="T3212" s="21"/>
      <c r="AA3212"/>
      <c r="AH3212" t="str">
        <f t="shared" si="496"/>
        <v>k yet</v>
      </c>
    </row>
    <row r="3213" spans="1:34">
      <c r="A3213" s="42" t="s">
        <v>265</v>
      </c>
      <c r="B3213" s="40" t="str">
        <f t="shared" si="493"/>
        <v>No pick yet</v>
      </c>
      <c r="C3213" s="40" t="str">
        <f t="shared" si="492"/>
        <v>20-&gt;</v>
      </c>
      <c r="D3213" s="40" t="str">
        <f t="shared" si="494"/>
        <v xml:space="preserve">No pick yet                                                 </v>
      </c>
      <c r="E3213" s="52">
        <f t="shared" si="495"/>
        <v>0</v>
      </c>
      <c r="F3213" s="18"/>
      <c r="M3213" s="18"/>
      <c r="N3213" s="18"/>
      <c r="O3213" s="18"/>
      <c r="P3213" s="18"/>
      <c r="Q3213" s="22"/>
      <c r="R3213" s="21"/>
      <c r="S3213" s="21"/>
      <c r="T3213" s="21"/>
      <c r="AA3213"/>
      <c r="AH3213" t="str">
        <f t="shared" si="496"/>
        <v>k yet</v>
      </c>
    </row>
    <row r="3214" spans="1:34">
      <c r="A3214" s="42" t="s">
        <v>266</v>
      </c>
      <c r="B3214" s="40" t="str">
        <f t="shared" si="493"/>
        <v>No pick yet</v>
      </c>
      <c r="C3214" s="40" t="str">
        <f t="shared" si="492"/>
        <v>21-&gt;</v>
      </c>
      <c r="D3214" s="40" t="str">
        <f t="shared" si="494"/>
        <v xml:space="preserve">No pick yet                                                 </v>
      </c>
      <c r="E3214" s="52">
        <f t="shared" si="495"/>
        <v>0</v>
      </c>
      <c r="F3214" s="18"/>
      <c r="M3214" s="18"/>
      <c r="N3214" s="18"/>
      <c r="O3214" s="18"/>
      <c r="P3214" s="18"/>
      <c r="Q3214" s="22"/>
      <c r="R3214" s="21"/>
      <c r="S3214" s="21"/>
      <c r="T3214" s="21"/>
      <c r="AA3214"/>
      <c r="AH3214" t="str">
        <f t="shared" si="496"/>
        <v>k yet</v>
      </c>
    </row>
    <row r="3215" spans="1:34">
      <c r="A3215" s="42" t="s">
        <v>267</v>
      </c>
      <c r="B3215" s="40" t="str">
        <f t="shared" si="493"/>
        <v>No pick yet</v>
      </c>
      <c r="C3215" s="40" t="str">
        <f t="shared" si="492"/>
        <v>22-&gt;</v>
      </c>
      <c r="D3215" s="40" t="str">
        <f t="shared" si="494"/>
        <v xml:space="preserve">No pick yet                                                 </v>
      </c>
      <c r="E3215" s="52">
        <f t="shared" si="495"/>
        <v>0</v>
      </c>
      <c r="F3215" s="18"/>
      <c r="M3215" s="18"/>
      <c r="N3215" s="18"/>
      <c r="O3215" s="18"/>
      <c r="P3215" s="18"/>
      <c r="Q3215" s="22"/>
      <c r="R3215" s="21"/>
      <c r="S3215" s="21"/>
      <c r="T3215" s="21"/>
      <c r="AA3215"/>
      <c r="AH3215" t="str">
        <f t="shared" si="496"/>
        <v>k yet</v>
      </c>
    </row>
    <row r="3216" spans="1:34">
      <c r="A3216" s="42" t="s">
        <v>268</v>
      </c>
      <c r="B3216" s="40" t="str">
        <f t="shared" si="493"/>
        <v>No pick yet</v>
      </c>
      <c r="C3216" s="40" t="str">
        <f t="shared" si="492"/>
        <v>23-&gt;</v>
      </c>
      <c r="D3216" s="40" t="str">
        <f t="shared" si="494"/>
        <v xml:space="preserve">No pick yet                                                 </v>
      </c>
      <c r="E3216" s="52">
        <f t="shared" si="495"/>
        <v>0</v>
      </c>
      <c r="F3216" s="18"/>
      <c r="M3216" s="18"/>
      <c r="N3216" s="18"/>
      <c r="O3216" s="18"/>
      <c r="P3216" s="18"/>
      <c r="Q3216" s="22"/>
      <c r="R3216" s="21"/>
      <c r="S3216" s="21"/>
      <c r="T3216" s="21"/>
      <c r="AA3216"/>
      <c r="AH3216" t="str">
        <f t="shared" si="496"/>
        <v>k yet</v>
      </c>
    </row>
    <row r="3217" spans="1:39">
      <c r="A3217" s="42" t="s">
        <v>269</v>
      </c>
      <c r="B3217" s="40" t="str">
        <f t="shared" si="493"/>
        <v>No pick yet</v>
      </c>
      <c r="C3217" s="40" t="str">
        <f t="shared" si="492"/>
        <v>24-&gt;</v>
      </c>
      <c r="D3217" s="40" t="str">
        <f t="shared" si="494"/>
        <v xml:space="preserve">No pick yet                                                 </v>
      </c>
      <c r="E3217" s="52">
        <f t="shared" si="495"/>
        <v>0</v>
      </c>
      <c r="F3217" s="18"/>
      <c r="M3217" s="18"/>
      <c r="N3217" s="18"/>
      <c r="O3217" s="18"/>
      <c r="P3217" s="18"/>
      <c r="Q3217" s="22"/>
      <c r="R3217" s="21"/>
      <c r="S3217" s="21"/>
      <c r="T3217" s="21"/>
      <c r="AA3217"/>
      <c r="AH3217" t="str">
        <f t="shared" si="496"/>
        <v>k yet</v>
      </c>
    </row>
    <row r="3218" spans="1:39">
      <c r="A3218" s="42" t="s">
        <v>270</v>
      </c>
      <c r="B3218" s="40" t="str">
        <f t="shared" si="493"/>
        <v>No pick yet</v>
      </c>
      <c r="C3218" s="40" t="str">
        <f t="shared" si="492"/>
        <v>25-&gt;</v>
      </c>
      <c r="D3218" s="40" t="str">
        <f t="shared" si="494"/>
        <v xml:space="preserve">No pick yet                                                 </v>
      </c>
      <c r="E3218" s="52">
        <f t="shared" si="495"/>
        <v>0</v>
      </c>
      <c r="F3218" s="18"/>
      <c r="M3218" s="18"/>
      <c r="N3218" s="18"/>
      <c r="O3218" s="18"/>
      <c r="P3218" s="18"/>
      <c r="Q3218" s="22"/>
      <c r="R3218" s="21"/>
      <c r="S3218" s="21"/>
      <c r="T3218" s="21"/>
      <c r="AA3218"/>
      <c r="AH3218" t="str">
        <f t="shared" si="496"/>
        <v>k yet</v>
      </c>
    </row>
    <row r="3219" spans="1:39">
      <c r="A3219" s="42" t="s">
        <v>271</v>
      </c>
      <c r="B3219" s="40" t="str">
        <f t="shared" si="493"/>
        <v>No pick yet</v>
      </c>
      <c r="C3219" s="40" t="str">
        <f t="shared" si="492"/>
        <v>26-&gt;</v>
      </c>
      <c r="D3219" s="40" t="str">
        <f t="shared" si="494"/>
        <v xml:space="preserve">No pick yet                                                 </v>
      </c>
      <c r="E3219" s="52">
        <f t="shared" si="495"/>
        <v>0</v>
      </c>
      <c r="F3219" s="18"/>
      <c r="M3219" s="18"/>
      <c r="N3219" s="18"/>
      <c r="O3219" s="18"/>
      <c r="P3219" s="18"/>
      <c r="Q3219" s="22"/>
      <c r="R3219" s="21"/>
      <c r="S3219" s="21"/>
      <c r="T3219" s="21"/>
      <c r="AA3219"/>
      <c r="AH3219" t="str">
        <f t="shared" si="496"/>
        <v>k yet</v>
      </c>
    </row>
    <row r="3220" spans="1:39">
      <c r="A3220" s="38"/>
      <c r="B3220" s="40"/>
      <c r="C3220" s="40"/>
      <c r="D3220" s="49"/>
      <c r="E3220" s="41" t="s">
        <v>69</v>
      </c>
      <c r="F3220" s="18"/>
      <c r="K3220" s="22" t="s">
        <v>73</v>
      </c>
      <c r="L3220" s="18" t="s">
        <v>74</v>
      </c>
      <c r="M3220" s="22" t="s">
        <v>78</v>
      </c>
      <c r="N3220" s="22" t="s">
        <v>79</v>
      </c>
      <c r="O3220" s="22" t="s">
        <v>80</v>
      </c>
      <c r="P3220" s="22" t="s">
        <v>81</v>
      </c>
      <c r="Q3220" s="22" t="s">
        <v>82</v>
      </c>
      <c r="R3220" s="22" t="s">
        <v>83</v>
      </c>
      <c r="S3220" s="22" t="s">
        <v>84</v>
      </c>
      <c r="T3220" s="18" t="s">
        <v>85</v>
      </c>
      <c r="U3220" s="18" t="s">
        <v>86</v>
      </c>
      <c r="V3220" s="18" t="s">
        <v>87</v>
      </c>
      <c r="W3220" s="18" t="s">
        <v>88</v>
      </c>
      <c r="X3220" s="18" t="s">
        <v>89</v>
      </c>
      <c r="Y3220" s="18" t="s">
        <v>90</v>
      </c>
      <c r="Z3220" s="18" t="s">
        <v>91</v>
      </c>
      <c r="AA3220" s="18" t="s">
        <v>92</v>
      </c>
      <c r="AB3220" s="18" t="s">
        <v>93</v>
      </c>
      <c r="AC3220" s="18" t="s">
        <v>94</v>
      </c>
      <c r="AD3220" s="18" t="s">
        <v>235</v>
      </c>
      <c r="AE3220" s="18" t="s">
        <v>236</v>
      </c>
      <c r="AF3220" s="18" t="s">
        <v>237</v>
      </c>
      <c r="AG3220" s="18" t="s">
        <v>238</v>
      </c>
      <c r="AH3220" s="18" t="s">
        <v>239</v>
      </c>
      <c r="AI3220" s="18" t="s">
        <v>240</v>
      </c>
      <c r="AJ3220" s="18" t="s">
        <v>241</v>
      </c>
      <c r="AK3220" s="18" t="s">
        <v>242</v>
      </c>
      <c r="AL3220" s="18" t="s">
        <v>243</v>
      </c>
      <c r="AM3220" s="50" t="s">
        <v>244</v>
      </c>
    </row>
    <row r="3221" spans="1:39">
      <c r="A3221" s="40" t="s">
        <v>245</v>
      </c>
      <c r="B3221" s="51" t="str">
        <f>D114</f>
        <v/>
      </c>
      <c r="C3221" s="40" t="str">
        <f t="shared" ref="C3221:C3247" si="497">A3221</f>
        <v>#</v>
      </c>
      <c r="D3221" s="40" t="str">
        <f>"   "&amp;B3221&amp;REPT(" ",$AH$70-LEN(B3221)-3)</f>
        <v xml:space="preserve">                                                            </v>
      </c>
      <c r="E3221" s="38" t="str">
        <f>SUM(E3222:E3247)&amp;" pts[/b]"</f>
        <v>0 pts[/b]</v>
      </c>
      <c r="F3221" s="21">
        <f>SUM(E3222:E3247)</f>
        <v>0</v>
      </c>
      <c r="K3221" s="18">
        <f>COUNTIF(E3222:E3247,"&gt;0")</f>
        <v>0</v>
      </c>
      <c r="L3221" s="21">
        <f>AM3221-K3221</f>
        <v>0</v>
      </c>
      <c r="M3221" s="22">
        <f>MAX(E3222:E3247)</f>
        <v>0</v>
      </c>
      <c r="N3221" s="22">
        <f>LARGE(E3222:E3247,2)</f>
        <v>0</v>
      </c>
      <c r="O3221" s="22">
        <f>LARGE(E3222:E3247,3)</f>
        <v>0</v>
      </c>
      <c r="P3221" s="18">
        <f>LARGE(E3222:E3247,4)</f>
        <v>0</v>
      </c>
      <c r="Q3221" s="22">
        <f>LARGE(E3222:E3247,5)</f>
        <v>0</v>
      </c>
      <c r="R3221" s="22">
        <f>LARGE(E3222:E3247,6)</f>
        <v>0</v>
      </c>
      <c r="S3221" s="22">
        <f>LARGE(E3222:E3247,7)</f>
        <v>0</v>
      </c>
      <c r="T3221" s="18">
        <f>LARGE(E3222:E3247,8)</f>
        <v>0</v>
      </c>
      <c r="U3221" s="18">
        <f>LARGE(E3222:E3247,9)</f>
        <v>0</v>
      </c>
      <c r="V3221" s="18">
        <f>LARGE(E3222:E3247,10)</f>
        <v>0</v>
      </c>
      <c r="W3221" s="18">
        <f>LARGE(E3222:E3247,11)</f>
        <v>0</v>
      </c>
      <c r="X3221" s="18">
        <f>LARGE(E3222:E3247,12)</f>
        <v>0</v>
      </c>
      <c r="Y3221" s="18">
        <f>LARGE(E3222:E3247,13)</f>
        <v>0</v>
      </c>
      <c r="Z3221" s="18">
        <f>LARGE(E3222:E3247,14)</f>
        <v>0</v>
      </c>
      <c r="AA3221" s="18">
        <f>LARGE(E3222:E3247,15)</f>
        <v>0</v>
      </c>
      <c r="AB3221" s="18">
        <f>LARGE(E3222:E3247,16)</f>
        <v>0</v>
      </c>
      <c r="AC3221" s="18">
        <f>LARGE(E3222:E3247,17)</f>
        <v>0</v>
      </c>
      <c r="AD3221" s="18">
        <f>LARGE(E3222:E3248,13)</f>
        <v>0</v>
      </c>
      <c r="AE3221" s="18">
        <f>LARGE(E3222:E3247,19)</f>
        <v>0</v>
      </c>
      <c r="AF3221" s="18">
        <f>LARGE(E3222:E3247,20)</f>
        <v>0</v>
      </c>
      <c r="AG3221" s="18">
        <f>LARGE(E3222:E3247,21)</f>
        <v>0</v>
      </c>
      <c r="AH3221" s="18">
        <f>LARGE(E3222:E3247,22)</f>
        <v>0</v>
      </c>
      <c r="AI3221" s="18">
        <f>LARGE(E3222:E3247,23)</f>
        <v>0</v>
      </c>
      <c r="AJ3221" s="18">
        <f>LARGE(E3222:E3247,24)</f>
        <v>0</v>
      </c>
      <c r="AK3221" s="18">
        <f>LARGE(E3222:E3247,25)</f>
        <v>0</v>
      </c>
      <c r="AL3221" s="18">
        <f>LARGE(E3222:E3247,26)</f>
        <v>0</v>
      </c>
      <c r="AM3221" s="50">
        <f>COUNTIF(B3222:B3247,"&lt;&gt;"&amp;AH74)</f>
        <v>0</v>
      </c>
    </row>
    <row r="3222" spans="1:39">
      <c r="A3222" s="42" t="s">
        <v>246</v>
      </c>
      <c r="B3222" s="40" t="str">
        <f t="shared" ref="B3222:B3247" si="498">$AH$74</f>
        <v>No pick yet</v>
      </c>
      <c r="C3222" s="40" t="str">
        <f t="shared" si="497"/>
        <v>01-&gt;</v>
      </c>
      <c r="D3222" s="40" t="str">
        <f t="shared" ref="D3222:D3247" si="499">B3222&amp;REPT(" ",$AH$70-LEN(B3222))</f>
        <v xml:space="preserve">No pick yet                                                 </v>
      </c>
      <c r="E3222" s="52">
        <f t="shared" ref="E3222:E3247" si="500">VLOOKUP(RIGHT(B3222,LEN(B3222)-$AH$66),$H$138:$I$420,2,0)</f>
        <v>0</v>
      </c>
      <c r="F3222" s="18"/>
      <c r="M3222" s="18"/>
      <c r="N3222" s="18"/>
      <c r="O3222" s="18"/>
      <c r="P3222" s="18"/>
      <c r="Q3222" s="22"/>
      <c r="R3222" s="21"/>
      <c r="S3222" s="21"/>
      <c r="T3222" s="21"/>
      <c r="AA3222"/>
      <c r="AH3222" t="str">
        <f t="shared" ref="AH3222:AH3247" si="501">RIGHT(B3222,LEN(B3222)-$AH$66)</f>
        <v>k yet</v>
      </c>
    </row>
    <row r="3223" spans="1:39">
      <c r="A3223" s="42" t="s">
        <v>247</v>
      </c>
      <c r="B3223" s="40" t="str">
        <f t="shared" si="498"/>
        <v>No pick yet</v>
      </c>
      <c r="C3223" s="40" t="str">
        <f t="shared" si="497"/>
        <v>02-&gt;</v>
      </c>
      <c r="D3223" s="40" t="str">
        <f t="shared" si="499"/>
        <v xml:space="preserve">No pick yet                                                 </v>
      </c>
      <c r="E3223" s="52">
        <f t="shared" si="500"/>
        <v>0</v>
      </c>
      <c r="F3223" s="18"/>
      <c r="K3223" s="22"/>
      <c r="N3223" s="22"/>
      <c r="O3223" s="22"/>
      <c r="P3223" s="22"/>
      <c r="Q3223" s="22"/>
      <c r="R3223" s="22"/>
      <c r="S3223" s="22"/>
      <c r="Z3223" s="53"/>
      <c r="AA3223"/>
      <c r="AH3223" t="str">
        <f t="shared" si="501"/>
        <v>k yet</v>
      </c>
    </row>
    <row r="3224" spans="1:39">
      <c r="A3224" s="42" t="s">
        <v>248</v>
      </c>
      <c r="B3224" s="40" t="str">
        <f t="shared" si="498"/>
        <v>No pick yet</v>
      </c>
      <c r="C3224" s="40" t="str">
        <f t="shared" si="497"/>
        <v>03-&gt;</v>
      </c>
      <c r="D3224" s="40" t="str">
        <f t="shared" si="499"/>
        <v xml:space="preserve">No pick yet                                                 </v>
      </c>
      <c r="E3224" s="52">
        <f t="shared" si="500"/>
        <v>0</v>
      </c>
      <c r="F3224" s="18"/>
      <c r="L3224" s="21"/>
      <c r="N3224" s="22"/>
      <c r="O3224" s="22"/>
      <c r="P3224" s="18"/>
      <c r="Q3224" s="22"/>
      <c r="R3224" s="22"/>
      <c r="S3224" s="22"/>
      <c r="Z3224" s="53"/>
      <c r="AA3224"/>
      <c r="AH3224" t="str">
        <f t="shared" si="501"/>
        <v>k yet</v>
      </c>
    </row>
    <row r="3225" spans="1:39">
      <c r="A3225" s="42" t="s">
        <v>249</v>
      </c>
      <c r="B3225" s="40" t="str">
        <f t="shared" si="498"/>
        <v>No pick yet</v>
      </c>
      <c r="C3225" s="40" t="str">
        <f t="shared" si="497"/>
        <v>04-&gt;</v>
      </c>
      <c r="D3225" s="40" t="str">
        <f t="shared" si="499"/>
        <v xml:space="preserve">No pick yet                                                 </v>
      </c>
      <c r="E3225" s="52">
        <f t="shared" si="500"/>
        <v>0</v>
      </c>
      <c r="F3225" s="18"/>
      <c r="M3225" s="18"/>
      <c r="N3225" s="18"/>
      <c r="O3225" s="18"/>
      <c r="P3225" s="18"/>
      <c r="Q3225" s="22"/>
      <c r="R3225" s="21"/>
      <c r="S3225" s="21"/>
      <c r="T3225" s="21"/>
      <c r="AA3225"/>
      <c r="AH3225" t="str">
        <f t="shared" si="501"/>
        <v>k yet</v>
      </c>
    </row>
    <row r="3226" spans="1:39">
      <c r="A3226" s="42" t="s">
        <v>250</v>
      </c>
      <c r="B3226" s="40" t="str">
        <f t="shared" si="498"/>
        <v>No pick yet</v>
      </c>
      <c r="C3226" s="40" t="str">
        <f t="shared" si="497"/>
        <v>05-&gt;</v>
      </c>
      <c r="D3226" s="40" t="str">
        <f t="shared" si="499"/>
        <v xml:space="preserve">No pick yet                                                 </v>
      </c>
      <c r="E3226" s="52">
        <f t="shared" si="500"/>
        <v>0</v>
      </c>
      <c r="F3226" s="18"/>
      <c r="M3226" s="18"/>
      <c r="N3226" s="18"/>
      <c r="O3226" s="18"/>
      <c r="P3226" s="18"/>
      <c r="Q3226" s="22"/>
      <c r="R3226" s="21"/>
      <c r="S3226" s="21"/>
      <c r="T3226" s="21"/>
      <c r="AA3226"/>
      <c r="AH3226" t="str">
        <f t="shared" si="501"/>
        <v>k yet</v>
      </c>
    </row>
    <row r="3227" spans="1:39">
      <c r="A3227" s="42" t="s">
        <v>251</v>
      </c>
      <c r="B3227" s="40" t="str">
        <f t="shared" si="498"/>
        <v>No pick yet</v>
      </c>
      <c r="C3227" s="40" t="str">
        <f t="shared" si="497"/>
        <v>06-&gt;</v>
      </c>
      <c r="D3227" s="40" t="str">
        <f t="shared" si="499"/>
        <v xml:space="preserve">No pick yet                                                 </v>
      </c>
      <c r="E3227" s="52">
        <f t="shared" si="500"/>
        <v>0</v>
      </c>
      <c r="F3227" s="18"/>
      <c r="M3227" s="18"/>
      <c r="N3227" s="18"/>
      <c r="O3227" s="18"/>
      <c r="P3227" s="18"/>
      <c r="Q3227" s="22"/>
      <c r="R3227" s="21"/>
      <c r="S3227" s="21"/>
      <c r="T3227" s="21"/>
      <c r="AA3227"/>
      <c r="AH3227" t="str">
        <f t="shared" si="501"/>
        <v>k yet</v>
      </c>
    </row>
    <row r="3228" spans="1:39">
      <c r="A3228" s="42" t="s">
        <v>252</v>
      </c>
      <c r="B3228" s="40" t="str">
        <f t="shared" si="498"/>
        <v>No pick yet</v>
      </c>
      <c r="C3228" s="40" t="str">
        <f t="shared" si="497"/>
        <v>07-&gt;</v>
      </c>
      <c r="D3228" s="40" t="str">
        <f t="shared" si="499"/>
        <v xml:space="preserve">No pick yet                                                 </v>
      </c>
      <c r="E3228" s="52">
        <f t="shared" si="500"/>
        <v>0</v>
      </c>
      <c r="F3228" s="18"/>
      <c r="M3228" s="18"/>
      <c r="N3228" s="18"/>
      <c r="O3228" s="18"/>
      <c r="P3228" s="18"/>
      <c r="Q3228" s="22"/>
      <c r="R3228" s="21"/>
      <c r="S3228" s="21"/>
      <c r="T3228" s="21"/>
      <c r="AA3228"/>
      <c r="AH3228" t="str">
        <f t="shared" si="501"/>
        <v>k yet</v>
      </c>
    </row>
    <row r="3229" spans="1:39">
      <c r="A3229" s="42" t="s">
        <v>253</v>
      </c>
      <c r="B3229" s="40" t="str">
        <f t="shared" si="498"/>
        <v>No pick yet</v>
      </c>
      <c r="C3229" s="40" t="str">
        <f t="shared" si="497"/>
        <v>08-&gt;</v>
      </c>
      <c r="D3229" s="40" t="str">
        <f t="shared" si="499"/>
        <v xml:space="preserve">No pick yet                                                 </v>
      </c>
      <c r="E3229" s="52">
        <f t="shared" si="500"/>
        <v>0</v>
      </c>
      <c r="F3229" s="18"/>
      <c r="M3229" s="18"/>
      <c r="N3229" s="18"/>
      <c r="O3229" s="18"/>
      <c r="P3229" s="18"/>
      <c r="Q3229" s="22"/>
      <c r="R3229" s="21"/>
      <c r="S3229" s="21"/>
      <c r="T3229" s="21"/>
      <c r="AA3229"/>
      <c r="AH3229" t="str">
        <f t="shared" si="501"/>
        <v>k yet</v>
      </c>
    </row>
    <row r="3230" spans="1:39">
      <c r="A3230" s="42" t="s">
        <v>254</v>
      </c>
      <c r="B3230" s="40" t="str">
        <f t="shared" si="498"/>
        <v>No pick yet</v>
      </c>
      <c r="C3230" s="40" t="str">
        <f t="shared" si="497"/>
        <v>09-&gt;</v>
      </c>
      <c r="D3230" s="40" t="str">
        <f t="shared" si="499"/>
        <v xml:space="preserve">No pick yet                                                 </v>
      </c>
      <c r="E3230" s="52">
        <f t="shared" si="500"/>
        <v>0</v>
      </c>
      <c r="F3230" s="18"/>
      <c r="M3230" s="18"/>
      <c r="N3230" s="18"/>
      <c r="O3230" s="18"/>
      <c r="P3230" s="18"/>
      <c r="Q3230" s="22"/>
      <c r="R3230" s="21"/>
      <c r="S3230" s="21"/>
      <c r="T3230" s="21"/>
      <c r="AA3230"/>
      <c r="AH3230" t="str">
        <f t="shared" si="501"/>
        <v>k yet</v>
      </c>
    </row>
    <row r="3231" spans="1:39">
      <c r="A3231" s="42" t="s">
        <v>255</v>
      </c>
      <c r="B3231" s="40" t="str">
        <f t="shared" si="498"/>
        <v>No pick yet</v>
      </c>
      <c r="C3231" s="40" t="str">
        <f t="shared" si="497"/>
        <v>10-&gt;</v>
      </c>
      <c r="D3231" s="40" t="str">
        <f t="shared" si="499"/>
        <v xml:space="preserve">No pick yet                                                 </v>
      </c>
      <c r="E3231" s="52">
        <f t="shared" si="500"/>
        <v>0</v>
      </c>
      <c r="F3231" s="22"/>
      <c r="M3231" s="18"/>
      <c r="N3231" s="18"/>
      <c r="O3231" s="18"/>
      <c r="P3231" s="18"/>
      <c r="Q3231" s="22"/>
      <c r="R3231" s="21"/>
      <c r="S3231" s="21"/>
      <c r="T3231" s="21"/>
      <c r="AA3231"/>
      <c r="AH3231" t="str">
        <f t="shared" si="501"/>
        <v>k yet</v>
      </c>
    </row>
    <row r="3232" spans="1:39">
      <c r="A3232" s="42" t="s">
        <v>256</v>
      </c>
      <c r="B3232" s="40" t="str">
        <f t="shared" si="498"/>
        <v>No pick yet</v>
      </c>
      <c r="C3232" s="40" t="str">
        <f t="shared" si="497"/>
        <v>11-&gt;</v>
      </c>
      <c r="D3232" s="40" t="str">
        <f t="shared" si="499"/>
        <v xml:space="preserve">No pick yet                                                 </v>
      </c>
      <c r="E3232" s="52">
        <f t="shared" si="500"/>
        <v>0</v>
      </c>
      <c r="M3232" s="18"/>
      <c r="N3232" s="18"/>
      <c r="O3232" s="18"/>
      <c r="P3232" s="18"/>
      <c r="Q3232" s="22"/>
      <c r="R3232" s="21"/>
      <c r="S3232" s="21"/>
      <c r="T3232" s="21"/>
      <c r="AA3232"/>
      <c r="AH3232" t="str">
        <f t="shared" si="501"/>
        <v>k yet</v>
      </c>
    </row>
    <row r="3233" spans="1:39">
      <c r="A3233" s="42" t="s">
        <v>257</v>
      </c>
      <c r="B3233" s="40" t="str">
        <f t="shared" si="498"/>
        <v>No pick yet</v>
      </c>
      <c r="C3233" s="40" t="str">
        <f t="shared" si="497"/>
        <v>12-&gt;</v>
      </c>
      <c r="D3233" s="40" t="str">
        <f t="shared" si="499"/>
        <v xml:space="preserve">No pick yet                                                 </v>
      </c>
      <c r="E3233" s="52">
        <f t="shared" si="500"/>
        <v>0</v>
      </c>
      <c r="M3233" s="18"/>
      <c r="N3233" s="18"/>
      <c r="O3233" s="18"/>
      <c r="P3233" s="18"/>
      <c r="Q3233" s="22"/>
      <c r="R3233" s="21"/>
      <c r="S3233" s="21"/>
      <c r="T3233" s="21"/>
      <c r="AA3233"/>
      <c r="AH3233" t="str">
        <f t="shared" si="501"/>
        <v>k yet</v>
      </c>
    </row>
    <row r="3234" spans="1:39">
      <c r="A3234" s="42" t="s">
        <v>258</v>
      </c>
      <c r="B3234" s="40" t="str">
        <f t="shared" si="498"/>
        <v>No pick yet</v>
      </c>
      <c r="C3234" s="40" t="str">
        <f t="shared" si="497"/>
        <v>13-&gt;</v>
      </c>
      <c r="D3234" s="40" t="str">
        <f t="shared" si="499"/>
        <v xml:space="preserve">No pick yet                                                 </v>
      </c>
      <c r="E3234" s="52">
        <f t="shared" si="500"/>
        <v>0</v>
      </c>
      <c r="M3234" s="18"/>
      <c r="N3234" s="18"/>
      <c r="O3234" s="18"/>
      <c r="P3234" s="18"/>
      <c r="Q3234" s="22"/>
      <c r="R3234" s="21"/>
      <c r="S3234" s="21"/>
      <c r="T3234" s="21"/>
      <c r="AA3234"/>
      <c r="AH3234" t="str">
        <f t="shared" si="501"/>
        <v>k yet</v>
      </c>
    </row>
    <row r="3235" spans="1:39">
      <c r="A3235" s="42" t="s">
        <v>259</v>
      </c>
      <c r="B3235" s="40" t="str">
        <f t="shared" si="498"/>
        <v>No pick yet</v>
      </c>
      <c r="C3235" s="40" t="str">
        <f t="shared" si="497"/>
        <v>14-&gt;</v>
      </c>
      <c r="D3235" s="40" t="str">
        <f t="shared" si="499"/>
        <v xml:space="preserve">No pick yet                                                 </v>
      </c>
      <c r="E3235" s="52">
        <f t="shared" si="500"/>
        <v>0</v>
      </c>
      <c r="M3235" s="18"/>
      <c r="N3235" s="18"/>
      <c r="O3235" s="18"/>
      <c r="P3235" s="18"/>
      <c r="Q3235" s="22"/>
      <c r="R3235" s="21"/>
      <c r="S3235" s="21"/>
      <c r="T3235" s="21"/>
      <c r="AA3235"/>
      <c r="AH3235" t="str">
        <f t="shared" si="501"/>
        <v>k yet</v>
      </c>
    </row>
    <row r="3236" spans="1:39">
      <c r="A3236" s="42" t="s">
        <v>260</v>
      </c>
      <c r="B3236" s="40" t="str">
        <f t="shared" si="498"/>
        <v>No pick yet</v>
      </c>
      <c r="C3236" s="40" t="str">
        <f t="shared" si="497"/>
        <v>15-&gt;</v>
      </c>
      <c r="D3236" s="40" t="str">
        <f t="shared" si="499"/>
        <v xml:space="preserve">No pick yet                                                 </v>
      </c>
      <c r="E3236" s="52">
        <f t="shared" si="500"/>
        <v>0</v>
      </c>
      <c r="M3236" s="18"/>
      <c r="N3236" s="18"/>
      <c r="O3236" s="18"/>
      <c r="P3236" s="18"/>
      <c r="Q3236" s="22"/>
      <c r="R3236" s="21"/>
      <c r="S3236" s="21"/>
      <c r="T3236" s="21"/>
      <c r="AA3236"/>
      <c r="AH3236" t="str">
        <f t="shared" si="501"/>
        <v>k yet</v>
      </c>
    </row>
    <row r="3237" spans="1:39">
      <c r="A3237" s="42" t="s">
        <v>261</v>
      </c>
      <c r="B3237" s="40" t="str">
        <f t="shared" si="498"/>
        <v>No pick yet</v>
      </c>
      <c r="C3237" s="40" t="str">
        <f t="shared" si="497"/>
        <v>16-&gt;</v>
      </c>
      <c r="D3237" s="40" t="str">
        <f t="shared" si="499"/>
        <v xml:space="preserve">No pick yet                                                 </v>
      </c>
      <c r="E3237" s="52">
        <f t="shared" si="500"/>
        <v>0</v>
      </c>
      <c r="M3237" s="18"/>
      <c r="N3237" s="18"/>
      <c r="O3237" s="18"/>
      <c r="P3237" s="18"/>
      <c r="Q3237" s="22"/>
      <c r="R3237" s="21"/>
      <c r="S3237" s="21"/>
      <c r="T3237" s="21"/>
      <c r="AA3237"/>
      <c r="AH3237" t="str">
        <f t="shared" si="501"/>
        <v>k yet</v>
      </c>
    </row>
    <row r="3238" spans="1:39">
      <c r="A3238" s="42" t="s">
        <v>262</v>
      </c>
      <c r="B3238" s="40" t="str">
        <f t="shared" si="498"/>
        <v>No pick yet</v>
      </c>
      <c r="C3238" s="40" t="str">
        <f t="shared" si="497"/>
        <v>17-&gt;</v>
      </c>
      <c r="D3238" s="40" t="str">
        <f t="shared" si="499"/>
        <v xml:space="preserve">No pick yet                                                 </v>
      </c>
      <c r="E3238" s="52">
        <f t="shared" si="500"/>
        <v>0</v>
      </c>
      <c r="K3238" s="22"/>
      <c r="N3238" s="22"/>
      <c r="O3238" s="22"/>
      <c r="P3238" s="22"/>
      <c r="Q3238" s="22"/>
      <c r="R3238" s="22"/>
      <c r="S3238" s="22"/>
      <c r="Z3238" s="53"/>
      <c r="AA3238"/>
      <c r="AH3238" t="str">
        <f t="shared" si="501"/>
        <v>k yet</v>
      </c>
    </row>
    <row r="3239" spans="1:39">
      <c r="A3239" s="42" t="s">
        <v>263</v>
      </c>
      <c r="B3239" s="40" t="str">
        <f t="shared" si="498"/>
        <v>No pick yet</v>
      </c>
      <c r="C3239" s="40" t="str">
        <f t="shared" si="497"/>
        <v>18-&gt;</v>
      </c>
      <c r="D3239" s="40" t="str">
        <f t="shared" si="499"/>
        <v xml:space="preserve">No pick yet                                                 </v>
      </c>
      <c r="E3239" s="52">
        <f t="shared" si="500"/>
        <v>0</v>
      </c>
      <c r="F3239" s="18"/>
      <c r="L3239" s="21"/>
      <c r="N3239" s="22"/>
      <c r="O3239" s="22"/>
      <c r="P3239" s="18"/>
      <c r="Q3239" s="22"/>
      <c r="R3239" s="22"/>
      <c r="S3239" s="22"/>
      <c r="Z3239" s="53"/>
      <c r="AA3239"/>
      <c r="AH3239" t="str">
        <f t="shared" si="501"/>
        <v>k yet</v>
      </c>
    </row>
    <row r="3240" spans="1:39">
      <c r="A3240" s="42" t="s">
        <v>264</v>
      </c>
      <c r="B3240" s="40" t="str">
        <f t="shared" si="498"/>
        <v>No pick yet</v>
      </c>
      <c r="C3240" s="40" t="str">
        <f t="shared" si="497"/>
        <v>19-&gt;</v>
      </c>
      <c r="D3240" s="40" t="str">
        <f t="shared" si="499"/>
        <v xml:space="preserve">No pick yet                                                 </v>
      </c>
      <c r="E3240" s="52">
        <f t="shared" si="500"/>
        <v>0</v>
      </c>
      <c r="F3240" s="18"/>
      <c r="M3240" s="18"/>
      <c r="N3240" s="18"/>
      <c r="O3240" s="18"/>
      <c r="P3240" s="18"/>
      <c r="Q3240" s="22"/>
      <c r="R3240" s="21"/>
      <c r="S3240" s="21"/>
      <c r="T3240" s="21"/>
      <c r="AA3240"/>
      <c r="AH3240" t="str">
        <f t="shared" si="501"/>
        <v>k yet</v>
      </c>
    </row>
    <row r="3241" spans="1:39">
      <c r="A3241" s="42" t="s">
        <v>265</v>
      </c>
      <c r="B3241" s="40" t="str">
        <f t="shared" si="498"/>
        <v>No pick yet</v>
      </c>
      <c r="C3241" s="40" t="str">
        <f t="shared" si="497"/>
        <v>20-&gt;</v>
      </c>
      <c r="D3241" s="40" t="str">
        <f t="shared" si="499"/>
        <v xml:space="preserve">No pick yet                                                 </v>
      </c>
      <c r="E3241" s="52">
        <f t="shared" si="500"/>
        <v>0</v>
      </c>
      <c r="F3241" s="18"/>
      <c r="M3241" s="18"/>
      <c r="N3241" s="18"/>
      <c r="O3241" s="18"/>
      <c r="P3241" s="18"/>
      <c r="Q3241" s="22"/>
      <c r="R3241" s="21"/>
      <c r="S3241" s="21"/>
      <c r="T3241" s="21"/>
      <c r="AA3241"/>
      <c r="AH3241" t="str">
        <f t="shared" si="501"/>
        <v>k yet</v>
      </c>
    </row>
    <row r="3242" spans="1:39">
      <c r="A3242" s="42" t="s">
        <v>266</v>
      </c>
      <c r="B3242" s="40" t="str">
        <f t="shared" si="498"/>
        <v>No pick yet</v>
      </c>
      <c r="C3242" s="40" t="str">
        <f t="shared" si="497"/>
        <v>21-&gt;</v>
      </c>
      <c r="D3242" s="40" t="str">
        <f t="shared" si="499"/>
        <v xml:space="preserve">No pick yet                                                 </v>
      </c>
      <c r="E3242" s="52">
        <f t="shared" si="500"/>
        <v>0</v>
      </c>
      <c r="F3242" s="18"/>
      <c r="M3242" s="18"/>
      <c r="N3242" s="18"/>
      <c r="O3242" s="18"/>
      <c r="P3242" s="18"/>
      <c r="Q3242" s="22"/>
      <c r="R3242" s="21"/>
      <c r="S3242" s="21"/>
      <c r="T3242" s="21"/>
      <c r="AA3242"/>
      <c r="AH3242" t="str">
        <f t="shared" si="501"/>
        <v>k yet</v>
      </c>
    </row>
    <row r="3243" spans="1:39">
      <c r="A3243" s="42" t="s">
        <v>267</v>
      </c>
      <c r="B3243" s="40" t="str">
        <f t="shared" si="498"/>
        <v>No pick yet</v>
      </c>
      <c r="C3243" s="40" t="str">
        <f t="shared" si="497"/>
        <v>22-&gt;</v>
      </c>
      <c r="D3243" s="40" t="str">
        <f t="shared" si="499"/>
        <v xml:space="preserve">No pick yet                                                 </v>
      </c>
      <c r="E3243" s="52">
        <f t="shared" si="500"/>
        <v>0</v>
      </c>
      <c r="F3243" s="18"/>
      <c r="M3243" s="18"/>
      <c r="N3243" s="18"/>
      <c r="O3243" s="18"/>
      <c r="P3243" s="18"/>
      <c r="Q3243" s="22"/>
      <c r="R3243" s="21"/>
      <c r="S3243" s="21"/>
      <c r="T3243" s="21"/>
      <c r="AA3243"/>
      <c r="AH3243" t="str">
        <f t="shared" si="501"/>
        <v>k yet</v>
      </c>
    </row>
    <row r="3244" spans="1:39">
      <c r="A3244" s="42" t="s">
        <v>268</v>
      </c>
      <c r="B3244" s="40" t="str">
        <f t="shared" si="498"/>
        <v>No pick yet</v>
      </c>
      <c r="C3244" s="40" t="str">
        <f t="shared" si="497"/>
        <v>23-&gt;</v>
      </c>
      <c r="D3244" s="40" t="str">
        <f t="shared" si="499"/>
        <v xml:space="preserve">No pick yet                                                 </v>
      </c>
      <c r="E3244" s="52">
        <f t="shared" si="500"/>
        <v>0</v>
      </c>
      <c r="F3244" s="18"/>
      <c r="M3244" s="18"/>
      <c r="N3244" s="18"/>
      <c r="O3244" s="18"/>
      <c r="P3244" s="18"/>
      <c r="Q3244" s="22"/>
      <c r="R3244" s="21"/>
      <c r="S3244" s="21"/>
      <c r="T3244" s="21"/>
      <c r="AA3244"/>
      <c r="AH3244" t="str">
        <f t="shared" si="501"/>
        <v>k yet</v>
      </c>
    </row>
    <row r="3245" spans="1:39">
      <c r="A3245" s="42" t="s">
        <v>269</v>
      </c>
      <c r="B3245" s="40" t="str">
        <f t="shared" si="498"/>
        <v>No pick yet</v>
      </c>
      <c r="C3245" s="40" t="str">
        <f t="shared" si="497"/>
        <v>24-&gt;</v>
      </c>
      <c r="D3245" s="40" t="str">
        <f t="shared" si="499"/>
        <v xml:space="preserve">No pick yet                                                 </v>
      </c>
      <c r="E3245" s="52">
        <f t="shared" si="500"/>
        <v>0</v>
      </c>
      <c r="F3245" s="18"/>
      <c r="M3245" s="18"/>
      <c r="N3245" s="18"/>
      <c r="O3245" s="18"/>
      <c r="P3245" s="18"/>
      <c r="Q3245" s="22"/>
      <c r="R3245" s="21"/>
      <c r="S3245" s="21"/>
      <c r="T3245" s="21"/>
      <c r="AA3245"/>
      <c r="AH3245" t="str">
        <f t="shared" si="501"/>
        <v>k yet</v>
      </c>
    </row>
    <row r="3246" spans="1:39">
      <c r="A3246" s="42" t="s">
        <v>270</v>
      </c>
      <c r="B3246" s="40" t="str">
        <f t="shared" si="498"/>
        <v>No pick yet</v>
      </c>
      <c r="C3246" s="40" t="str">
        <f t="shared" si="497"/>
        <v>25-&gt;</v>
      </c>
      <c r="D3246" s="40" t="str">
        <f t="shared" si="499"/>
        <v xml:space="preserve">No pick yet                                                 </v>
      </c>
      <c r="E3246" s="52">
        <f t="shared" si="500"/>
        <v>0</v>
      </c>
      <c r="F3246" s="18"/>
      <c r="M3246" s="18"/>
      <c r="N3246" s="18"/>
      <c r="O3246" s="18"/>
      <c r="P3246" s="18"/>
      <c r="Q3246" s="22"/>
      <c r="R3246" s="21"/>
      <c r="S3246" s="21"/>
      <c r="T3246" s="21"/>
      <c r="AA3246"/>
      <c r="AH3246" t="str">
        <f t="shared" si="501"/>
        <v>k yet</v>
      </c>
    </row>
    <row r="3247" spans="1:39">
      <c r="A3247" s="42" t="s">
        <v>271</v>
      </c>
      <c r="B3247" s="40" t="str">
        <f t="shared" si="498"/>
        <v>No pick yet</v>
      </c>
      <c r="C3247" s="40" t="str">
        <f t="shared" si="497"/>
        <v>26-&gt;</v>
      </c>
      <c r="D3247" s="40" t="str">
        <f t="shared" si="499"/>
        <v xml:space="preserve">No pick yet                                                 </v>
      </c>
      <c r="E3247" s="52">
        <f t="shared" si="500"/>
        <v>0</v>
      </c>
      <c r="F3247" s="18"/>
      <c r="M3247" s="18"/>
      <c r="N3247" s="18"/>
      <c r="O3247" s="18"/>
      <c r="P3247" s="18"/>
      <c r="Q3247" s="22"/>
      <c r="R3247" s="21"/>
      <c r="S3247" s="21"/>
      <c r="T3247" s="21"/>
      <c r="AA3247"/>
      <c r="AH3247" t="str">
        <f t="shared" si="501"/>
        <v>k yet</v>
      </c>
    </row>
    <row r="3248" spans="1:39">
      <c r="A3248" s="38"/>
      <c r="B3248" s="40"/>
      <c r="C3248" s="40"/>
      <c r="D3248" s="49"/>
      <c r="E3248" s="41" t="s">
        <v>69</v>
      </c>
      <c r="F3248" s="18"/>
      <c r="K3248" s="22" t="s">
        <v>73</v>
      </c>
      <c r="L3248" s="18" t="s">
        <v>74</v>
      </c>
      <c r="M3248" s="22" t="s">
        <v>78</v>
      </c>
      <c r="N3248" s="22" t="s">
        <v>79</v>
      </c>
      <c r="O3248" s="22" t="s">
        <v>80</v>
      </c>
      <c r="P3248" s="22" t="s">
        <v>81</v>
      </c>
      <c r="Q3248" s="22" t="s">
        <v>82</v>
      </c>
      <c r="R3248" s="22" t="s">
        <v>83</v>
      </c>
      <c r="S3248" s="22" t="s">
        <v>84</v>
      </c>
      <c r="T3248" s="18" t="s">
        <v>85</v>
      </c>
      <c r="U3248" s="18" t="s">
        <v>86</v>
      </c>
      <c r="V3248" s="18" t="s">
        <v>87</v>
      </c>
      <c r="W3248" s="18" t="s">
        <v>88</v>
      </c>
      <c r="X3248" s="18" t="s">
        <v>89</v>
      </c>
      <c r="Y3248" s="18" t="s">
        <v>90</v>
      </c>
      <c r="Z3248" s="18" t="s">
        <v>91</v>
      </c>
      <c r="AA3248" s="18" t="s">
        <v>92</v>
      </c>
      <c r="AB3248" s="18" t="s">
        <v>93</v>
      </c>
      <c r="AC3248" s="18" t="s">
        <v>94</v>
      </c>
      <c r="AD3248" s="18" t="s">
        <v>235</v>
      </c>
      <c r="AE3248" s="18" t="s">
        <v>236</v>
      </c>
      <c r="AF3248" s="18" t="s">
        <v>237</v>
      </c>
      <c r="AG3248" s="18" t="s">
        <v>238</v>
      </c>
      <c r="AH3248" s="18" t="s">
        <v>239</v>
      </c>
      <c r="AI3248" s="18" t="s">
        <v>240</v>
      </c>
      <c r="AJ3248" s="18" t="s">
        <v>241</v>
      </c>
      <c r="AK3248" s="18" t="s">
        <v>242</v>
      </c>
      <c r="AL3248" s="18" t="s">
        <v>243</v>
      </c>
      <c r="AM3248" s="50" t="s">
        <v>244</v>
      </c>
    </row>
    <row r="3249" spans="1:39">
      <c r="A3249" s="40" t="s">
        <v>245</v>
      </c>
      <c r="B3249" s="51" t="str">
        <f>D115</f>
        <v/>
      </c>
      <c r="C3249" s="40" t="str">
        <f t="shared" ref="C3249:C3275" si="502">A3249</f>
        <v>#</v>
      </c>
      <c r="D3249" s="40" t="str">
        <f>"   "&amp;B3249&amp;REPT(" ",$AH$70-LEN(B3249)-3)</f>
        <v xml:space="preserve">                                                            </v>
      </c>
      <c r="E3249" s="38" t="str">
        <f>SUM(E3250:E3275)&amp;" pts[/b]"</f>
        <v>0 pts[/b]</v>
      </c>
      <c r="F3249" s="21">
        <f>SUM(E3250:E3275)</f>
        <v>0</v>
      </c>
      <c r="K3249" s="18">
        <f>COUNTIF(E3250:E3275,"&gt;0")</f>
        <v>0</v>
      </c>
      <c r="L3249" s="21">
        <f>AM3249-K3249</f>
        <v>0</v>
      </c>
      <c r="M3249" s="22">
        <f>MAX(E3250:E3275)</f>
        <v>0</v>
      </c>
      <c r="N3249" s="22">
        <f>LARGE(E3250:E3275,2)</f>
        <v>0</v>
      </c>
      <c r="O3249" s="22">
        <f>LARGE(E3250:E3275,3)</f>
        <v>0</v>
      </c>
      <c r="P3249" s="18">
        <f>LARGE(E3250:E3275,4)</f>
        <v>0</v>
      </c>
      <c r="Q3249" s="22">
        <f>LARGE(E3250:E3275,5)</f>
        <v>0</v>
      </c>
      <c r="R3249" s="22">
        <f>LARGE(E3250:E3275,6)</f>
        <v>0</v>
      </c>
      <c r="S3249" s="22">
        <f>LARGE(E3250:E3275,7)</f>
        <v>0</v>
      </c>
      <c r="T3249" s="18">
        <f>LARGE(E3250:E3275,8)</f>
        <v>0</v>
      </c>
      <c r="U3249" s="18">
        <f>LARGE(E3250:E3275,9)</f>
        <v>0</v>
      </c>
      <c r="V3249" s="18">
        <f>LARGE(E3250:E3275,10)</f>
        <v>0</v>
      </c>
      <c r="W3249" s="18">
        <f>LARGE(E3250:E3275,11)</f>
        <v>0</v>
      </c>
      <c r="X3249" s="18">
        <f>LARGE(E3250:E3275,12)</f>
        <v>0</v>
      </c>
      <c r="Y3249" s="18">
        <f>LARGE(E3250:E3275,13)</f>
        <v>0</v>
      </c>
      <c r="Z3249" s="18">
        <f>LARGE(E3250:E3275,14)</f>
        <v>0</v>
      </c>
      <c r="AA3249" s="18">
        <f>LARGE(E3250:E3275,15)</f>
        <v>0</v>
      </c>
      <c r="AB3249" s="18">
        <f>LARGE(E3250:E3275,16)</f>
        <v>0</v>
      </c>
      <c r="AC3249" s="18">
        <f>LARGE(E3250:E3275,17)</f>
        <v>0</v>
      </c>
      <c r="AD3249" s="18">
        <f>LARGE(E3250:E3276,13)</f>
        <v>0</v>
      </c>
      <c r="AE3249" s="18">
        <f>LARGE(E3250:E3275,19)</f>
        <v>0</v>
      </c>
      <c r="AF3249" s="18">
        <f>LARGE(E3250:E3275,20)</f>
        <v>0</v>
      </c>
      <c r="AG3249" s="18">
        <f>LARGE(E3250:E3275,21)</f>
        <v>0</v>
      </c>
      <c r="AH3249" s="18">
        <f>LARGE(E3250:E3275,22)</f>
        <v>0</v>
      </c>
      <c r="AI3249" s="18">
        <f>LARGE(E3250:E3275,23)</f>
        <v>0</v>
      </c>
      <c r="AJ3249" s="18">
        <f>LARGE(E3250:E3275,24)</f>
        <v>0</v>
      </c>
      <c r="AK3249" s="18">
        <f>LARGE(E3250:E3275,25)</f>
        <v>0</v>
      </c>
      <c r="AL3249" s="18">
        <f>LARGE(E3250:E3275,26)</f>
        <v>0</v>
      </c>
      <c r="AM3249" s="50">
        <f>COUNTIF(B3250:B3275,"&lt;&gt;"&amp;AH74)</f>
        <v>0</v>
      </c>
    </row>
    <row r="3250" spans="1:39">
      <c r="A3250" s="42" t="s">
        <v>246</v>
      </c>
      <c r="B3250" s="40" t="str">
        <f t="shared" ref="B3250:B3275" si="503">$AH$74</f>
        <v>No pick yet</v>
      </c>
      <c r="C3250" s="40" t="str">
        <f t="shared" si="502"/>
        <v>01-&gt;</v>
      </c>
      <c r="D3250" s="40" t="str">
        <f t="shared" ref="D3250:D3275" si="504">B3250&amp;REPT(" ",$AH$70-LEN(B3250))</f>
        <v xml:space="preserve">No pick yet                                                 </v>
      </c>
      <c r="E3250" s="52">
        <f t="shared" ref="E3250:E3275" si="505">VLOOKUP(RIGHT(B3250,LEN(B3250)-$AH$66),$H$138:$I$420,2,0)</f>
        <v>0</v>
      </c>
      <c r="F3250" s="18"/>
      <c r="M3250" s="18"/>
      <c r="N3250" s="18"/>
      <c r="O3250" s="18"/>
      <c r="P3250" s="18"/>
      <c r="Q3250" s="22"/>
      <c r="R3250" s="21"/>
      <c r="S3250" s="21"/>
      <c r="T3250" s="21"/>
      <c r="AA3250"/>
      <c r="AH3250" t="str">
        <f t="shared" ref="AH3250:AH3275" si="506">RIGHT(B3250,LEN(B3250)-$AH$66)</f>
        <v>k yet</v>
      </c>
    </row>
    <row r="3251" spans="1:39">
      <c r="A3251" s="42" t="s">
        <v>247</v>
      </c>
      <c r="B3251" s="40" t="str">
        <f t="shared" si="503"/>
        <v>No pick yet</v>
      </c>
      <c r="C3251" s="40" t="str">
        <f t="shared" si="502"/>
        <v>02-&gt;</v>
      </c>
      <c r="D3251" s="40" t="str">
        <f t="shared" si="504"/>
        <v xml:space="preserve">No pick yet                                                 </v>
      </c>
      <c r="E3251" s="52">
        <f t="shared" si="505"/>
        <v>0</v>
      </c>
      <c r="F3251" s="18"/>
      <c r="K3251" s="22"/>
      <c r="N3251" s="22"/>
      <c r="O3251" s="22"/>
      <c r="P3251" s="22"/>
      <c r="Q3251" s="22"/>
      <c r="R3251" s="22"/>
      <c r="S3251" s="22"/>
      <c r="Z3251" s="53"/>
      <c r="AA3251"/>
      <c r="AH3251" t="str">
        <f t="shared" si="506"/>
        <v>k yet</v>
      </c>
    </row>
    <row r="3252" spans="1:39">
      <c r="A3252" s="42" t="s">
        <v>248</v>
      </c>
      <c r="B3252" s="40" t="str">
        <f t="shared" si="503"/>
        <v>No pick yet</v>
      </c>
      <c r="C3252" s="40" t="str">
        <f t="shared" si="502"/>
        <v>03-&gt;</v>
      </c>
      <c r="D3252" s="40" t="str">
        <f t="shared" si="504"/>
        <v xml:space="preserve">No pick yet                                                 </v>
      </c>
      <c r="E3252" s="52">
        <f t="shared" si="505"/>
        <v>0</v>
      </c>
      <c r="F3252" s="18"/>
      <c r="L3252" s="21"/>
      <c r="N3252" s="22"/>
      <c r="O3252" s="22"/>
      <c r="P3252" s="18"/>
      <c r="Q3252" s="22"/>
      <c r="R3252" s="22"/>
      <c r="S3252" s="22"/>
      <c r="Z3252" s="53"/>
      <c r="AA3252"/>
      <c r="AH3252" t="str">
        <f t="shared" si="506"/>
        <v>k yet</v>
      </c>
    </row>
    <row r="3253" spans="1:39">
      <c r="A3253" s="42" t="s">
        <v>249</v>
      </c>
      <c r="B3253" s="40" t="str">
        <f t="shared" si="503"/>
        <v>No pick yet</v>
      </c>
      <c r="C3253" s="40" t="str">
        <f t="shared" si="502"/>
        <v>04-&gt;</v>
      </c>
      <c r="D3253" s="40" t="str">
        <f t="shared" si="504"/>
        <v xml:space="preserve">No pick yet                                                 </v>
      </c>
      <c r="E3253" s="52">
        <f t="shared" si="505"/>
        <v>0</v>
      </c>
      <c r="F3253" s="18"/>
      <c r="M3253" s="18"/>
      <c r="N3253" s="18"/>
      <c r="O3253" s="18"/>
      <c r="P3253" s="18"/>
      <c r="Q3253" s="22"/>
      <c r="R3253" s="21"/>
      <c r="S3253" s="21"/>
      <c r="T3253" s="21"/>
      <c r="AA3253"/>
      <c r="AH3253" t="str">
        <f t="shared" si="506"/>
        <v>k yet</v>
      </c>
    </row>
    <row r="3254" spans="1:39">
      <c r="A3254" s="42" t="s">
        <v>250</v>
      </c>
      <c r="B3254" s="40" t="str">
        <f t="shared" si="503"/>
        <v>No pick yet</v>
      </c>
      <c r="C3254" s="40" t="str">
        <f t="shared" si="502"/>
        <v>05-&gt;</v>
      </c>
      <c r="D3254" s="40" t="str">
        <f t="shared" si="504"/>
        <v xml:space="preserve">No pick yet                                                 </v>
      </c>
      <c r="E3254" s="52">
        <f t="shared" si="505"/>
        <v>0</v>
      </c>
      <c r="F3254" s="18"/>
      <c r="M3254" s="18"/>
      <c r="N3254" s="18"/>
      <c r="O3254" s="18"/>
      <c r="P3254" s="18"/>
      <c r="Q3254" s="22"/>
      <c r="R3254" s="21"/>
      <c r="S3254" s="21"/>
      <c r="T3254" s="21"/>
      <c r="AA3254"/>
      <c r="AH3254" t="str">
        <f t="shared" si="506"/>
        <v>k yet</v>
      </c>
    </row>
    <row r="3255" spans="1:39">
      <c r="A3255" s="42" t="s">
        <v>251</v>
      </c>
      <c r="B3255" s="40" t="str">
        <f t="shared" si="503"/>
        <v>No pick yet</v>
      </c>
      <c r="C3255" s="40" t="str">
        <f t="shared" si="502"/>
        <v>06-&gt;</v>
      </c>
      <c r="D3255" s="40" t="str">
        <f t="shared" si="504"/>
        <v xml:space="preserve">No pick yet                                                 </v>
      </c>
      <c r="E3255" s="52">
        <f t="shared" si="505"/>
        <v>0</v>
      </c>
      <c r="F3255" s="18"/>
      <c r="M3255" s="18"/>
      <c r="N3255" s="18"/>
      <c r="O3255" s="18"/>
      <c r="P3255" s="18"/>
      <c r="Q3255" s="22"/>
      <c r="R3255" s="21"/>
      <c r="S3255" s="21"/>
      <c r="T3255" s="21"/>
      <c r="AA3255"/>
      <c r="AH3255" t="str">
        <f t="shared" si="506"/>
        <v>k yet</v>
      </c>
    </row>
    <row r="3256" spans="1:39">
      <c r="A3256" s="42" t="s">
        <v>252</v>
      </c>
      <c r="B3256" s="40" t="str">
        <f t="shared" si="503"/>
        <v>No pick yet</v>
      </c>
      <c r="C3256" s="40" t="str">
        <f t="shared" si="502"/>
        <v>07-&gt;</v>
      </c>
      <c r="D3256" s="40" t="str">
        <f t="shared" si="504"/>
        <v xml:space="preserve">No pick yet                                                 </v>
      </c>
      <c r="E3256" s="52">
        <f t="shared" si="505"/>
        <v>0</v>
      </c>
      <c r="F3256" s="18"/>
      <c r="M3256" s="18"/>
      <c r="N3256" s="18"/>
      <c r="O3256" s="18"/>
      <c r="P3256" s="18"/>
      <c r="Q3256" s="22"/>
      <c r="R3256" s="21"/>
      <c r="S3256" s="21"/>
      <c r="T3256" s="21"/>
      <c r="AA3256"/>
      <c r="AH3256" t="str">
        <f t="shared" si="506"/>
        <v>k yet</v>
      </c>
    </row>
    <row r="3257" spans="1:39">
      <c r="A3257" s="42" t="s">
        <v>253</v>
      </c>
      <c r="B3257" s="40" t="str">
        <f t="shared" si="503"/>
        <v>No pick yet</v>
      </c>
      <c r="C3257" s="40" t="str">
        <f t="shared" si="502"/>
        <v>08-&gt;</v>
      </c>
      <c r="D3257" s="40" t="str">
        <f t="shared" si="504"/>
        <v xml:space="preserve">No pick yet                                                 </v>
      </c>
      <c r="E3257" s="52">
        <f t="shared" si="505"/>
        <v>0</v>
      </c>
      <c r="F3257" s="18"/>
      <c r="M3257" s="18"/>
      <c r="N3257" s="18"/>
      <c r="O3257" s="18"/>
      <c r="P3257" s="18"/>
      <c r="Q3257" s="22"/>
      <c r="R3257" s="21"/>
      <c r="S3257" s="21"/>
      <c r="T3257" s="21"/>
      <c r="AA3257"/>
      <c r="AH3257" t="str">
        <f t="shared" si="506"/>
        <v>k yet</v>
      </c>
    </row>
    <row r="3258" spans="1:39">
      <c r="A3258" s="42" t="s">
        <v>254</v>
      </c>
      <c r="B3258" s="40" t="str">
        <f t="shared" si="503"/>
        <v>No pick yet</v>
      </c>
      <c r="C3258" s="40" t="str">
        <f t="shared" si="502"/>
        <v>09-&gt;</v>
      </c>
      <c r="D3258" s="40" t="str">
        <f t="shared" si="504"/>
        <v xml:space="preserve">No pick yet                                                 </v>
      </c>
      <c r="E3258" s="52">
        <f t="shared" si="505"/>
        <v>0</v>
      </c>
      <c r="F3258" s="18"/>
      <c r="M3258" s="18"/>
      <c r="N3258" s="18"/>
      <c r="O3258" s="18"/>
      <c r="P3258" s="18"/>
      <c r="Q3258" s="22"/>
      <c r="R3258" s="21"/>
      <c r="S3258" s="21"/>
      <c r="T3258" s="21"/>
      <c r="AA3258"/>
      <c r="AH3258" t="str">
        <f t="shared" si="506"/>
        <v>k yet</v>
      </c>
    </row>
    <row r="3259" spans="1:39">
      <c r="A3259" s="42" t="s">
        <v>255</v>
      </c>
      <c r="B3259" s="40" t="str">
        <f t="shared" si="503"/>
        <v>No pick yet</v>
      </c>
      <c r="C3259" s="40" t="str">
        <f t="shared" si="502"/>
        <v>10-&gt;</v>
      </c>
      <c r="D3259" s="40" t="str">
        <f t="shared" si="504"/>
        <v xml:space="preserve">No pick yet                                                 </v>
      </c>
      <c r="E3259" s="52">
        <f t="shared" si="505"/>
        <v>0</v>
      </c>
      <c r="F3259" s="22"/>
      <c r="M3259" s="18"/>
      <c r="N3259" s="18"/>
      <c r="O3259" s="18"/>
      <c r="P3259" s="18"/>
      <c r="Q3259" s="22"/>
      <c r="R3259" s="21"/>
      <c r="S3259" s="21"/>
      <c r="T3259" s="21"/>
      <c r="AA3259"/>
      <c r="AH3259" t="str">
        <f t="shared" si="506"/>
        <v>k yet</v>
      </c>
    </row>
    <row r="3260" spans="1:39">
      <c r="A3260" s="42" t="s">
        <v>256</v>
      </c>
      <c r="B3260" s="40" t="str">
        <f t="shared" si="503"/>
        <v>No pick yet</v>
      </c>
      <c r="C3260" s="40" t="str">
        <f t="shared" si="502"/>
        <v>11-&gt;</v>
      </c>
      <c r="D3260" s="40" t="str">
        <f t="shared" si="504"/>
        <v xml:space="preserve">No pick yet                                                 </v>
      </c>
      <c r="E3260" s="52">
        <f t="shared" si="505"/>
        <v>0</v>
      </c>
      <c r="M3260" s="18"/>
      <c r="N3260" s="18"/>
      <c r="O3260" s="18"/>
      <c r="P3260" s="18"/>
      <c r="Q3260" s="22"/>
      <c r="R3260" s="21"/>
      <c r="S3260" s="21"/>
      <c r="T3260" s="21"/>
      <c r="AA3260"/>
      <c r="AH3260" t="str">
        <f t="shared" si="506"/>
        <v>k yet</v>
      </c>
    </row>
    <row r="3261" spans="1:39">
      <c r="A3261" s="42" t="s">
        <v>257</v>
      </c>
      <c r="B3261" s="40" t="str">
        <f t="shared" si="503"/>
        <v>No pick yet</v>
      </c>
      <c r="C3261" s="40" t="str">
        <f t="shared" si="502"/>
        <v>12-&gt;</v>
      </c>
      <c r="D3261" s="40" t="str">
        <f t="shared" si="504"/>
        <v xml:space="preserve">No pick yet                                                 </v>
      </c>
      <c r="E3261" s="52">
        <f t="shared" si="505"/>
        <v>0</v>
      </c>
      <c r="M3261" s="18"/>
      <c r="N3261" s="18"/>
      <c r="O3261" s="18"/>
      <c r="P3261" s="18"/>
      <c r="Q3261" s="22"/>
      <c r="R3261" s="21"/>
      <c r="S3261" s="21"/>
      <c r="T3261" s="21"/>
      <c r="AA3261"/>
      <c r="AH3261" t="str">
        <f t="shared" si="506"/>
        <v>k yet</v>
      </c>
    </row>
    <row r="3262" spans="1:39">
      <c r="A3262" s="42" t="s">
        <v>258</v>
      </c>
      <c r="B3262" s="40" t="str">
        <f t="shared" si="503"/>
        <v>No pick yet</v>
      </c>
      <c r="C3262" s="40" t="str">
        <f t="shared" si="502"/>
        <v>13-&gt;</v>
      </c>
      <c r="D3262" s="40" t="str">
        <f t="shared" si="504"/>
        <v xml:space="preserve">No pick yet                                                 </v>
      </c>
      <c r="E3262" s="52">
        <f t="shared" si="505"/>
        <v>0</v>
      </c>
      <c r="M3262" s="18"/>
      <c r="N3262" s="18"/>
      <c r="O3262" s="18"/>
      <c r="P3262" s="18"/>
      <c r="Q3262" s="22"/>
      <c r="R3262" s="21"/>
      <c r="S3262" s="21"/>
      <c r="T3262" s="21"/>
      <c r="AA3262"/>
      <c r="AH3262" t="str">
        <f t="shared" si="506"/>
        <v>k yet</v>
      </c>
    </row>
    <row r="3263" spans="1:39">
      <c r="A3263" s="42" t="s">
        <v>259</v>
      </c>
      <c r="B3263" s="40" t="str">
        <f t="shared" si="503"/>
        <v>No pick yet</v>
      </c>
      <c r="C3263" s="40" t="str">
        <f t="shared" si="502"/>
        <v>14-&gt;</v>
      </c>
      <c r="D3263" s="40" t="str">
        <f t="shared" si="504"/>
        <v xml:space="preserve">No pick yet                                                 </v>
      </c>
      <c r="E3263" s="52">
        <f t="shared" si="505"/>
        <v>0</v>
      </c>
      <c r="M3263" s="18"/>
      <c r="N3263" s="18"/>
      <c r="O3263" s="18"/>
      <c r="P3263" s="18"/>
      <c r="Q3263" s="22"/>
      <c r="R3263" s="21"/>
      <c r="S3263" s="21"/>
      <c r="T3263" s="21"/>
      <c r="AA3263"/>
      <c r="AH3263" t="str">
        <f t="shared" si="506"/>
        <v>k yet</v>
      </c>
    </row>
    <row r="3264" spans="1:39">
      <c r="A3264" s="42" t="s">
        <v>260</v>
      </c>
      <c r="B3264" s="40" t="str">
        <f t="shared" si="503"/>
        <v>No pick yet</v>
      </c>
      <c r="C3264" s="40" t="str">
        <f t="shared" si="502"/>
        <v>15-&gt;</v>
      </c>
      <c r="D3264" s="40" t="str">
        <f t="shared" si="504"/>
        <v xml:space="preserve">No pick yet                                                 </v>
      </c>
      <c r="E3264" s="52">
        <f t="shared" si="505"/>
        <v>0</v>
      </c>
      <c r="M3264" s="18"/>
      <c r="N3264" s="18"/>
      <c r="O3264" s="18"/>
      <c r="P3264" s="18"/>
      <c r="Q3264" s="22"/>
      <c r="R3264" s="21"/>
      <c r="S3264" s="21"/>
      <c r="T3264" s="21"/>
      <c r="AA3264"/>
      <c r="AH3264" t="str">
        <f t="shared" si="506"/>
        <v>k yet</v>
      </c>
    </row>
    <row r="3265" spans="1:39">
      <c r="A3265" s="42" t="s">
        <v>261</v>
      </c>
      <c r="B3265" s="40" t="str">
        <f t="shared" si="503"/>
        <v>No pick yet</v>
      </c>
      <c r="C3265" s="40" t="str">
        <f t="shared" si="502"/>
        <v>16-&gt;</v>
      </c>
      <c r="D3265" s="40" t="str">
        <f t="shared" si="504"/>
        <v xml:space="preserve">No pick yet                                                 </v>
      </c>
      <c r="E3265" s="52">
        <f t="shared" si="505"/>
        <v>0</v>
      </c>
      <c r="M3265" s="18"/>
      <c r="N3265" s="18"/>
      <c r="O3265" s="18"/>
      <c r="P3265" s="18"/>
      <c r="Q3265" s="22"/>
      <c r="R3265" s="21"/>
      <c r="S3265" s="21"/>
      <c r="T3265" s="21"/>
      <c r="AA3265"/>
      <c r="AH3265" t="str">
        <f t="shared" si="506"/>
        <v>k yet</v>
      </c>
    </row>
    <row r="3266" spans="1:39">
      <c r="A3266" s="42" t="s">
        <v>262</v>
      </c>
      <c r="B3266" s="40" t="str">
        <f t="shared" si="503"/>
        <v>No pick yet</v>
      </c>
      <c r="C3266" s="40" t="str">
        <f t="shared" si="502"/>
        <v>17-&gt;</v>
      </c>
      <c r="D3266" s="40" t="str">
        <f t="shared" si="504"/>
        <v xml:space="preserve">No pick yet                                                 </v>
      </c>
      <c r="E3266" s="52">
        <f t="shared" si="505"/>
        <v>0</v>
      </c>
      <c r="K3266" s="22"/>
      <c r="N3266" s="22"/>
      <c r="O3266" s="22"/>
      <c r="P3266" s="22"/>
      <c r="Q3266" s="22"/>
      <c r="R3266" s="22"/>
      <c r="S3266" s="22"/>
      <c r="Z3266" s="53"/>
      <c r="AA3266"/>
      <c r="AH3266" t="str">
        <f t="shared" si="506"/>
        <v>k yet</v>
      </c>
    </row>
    <row r="3267" spans="1:39">
      <c r="A3267" s="42" t="s">
        <v>263</v>
      </c>
      <c r="B3267" s="40" t="str">
        <f t="shared" si="503"/>
        <v>No pick yet</v>
      </c>
      <c r="C3267" s="40" t="str">
        <f t="shared" si="502"/>
        <v>18-&gt;</v>
      </c>
      <c r="D3267" s="40" t="str">
        <f t="shared" si="504"/>
        <v xml:space="preserve">No pick yet                                                 </v>
      </c>
      <c r="E3267" s="52">
        <f t="shared" si="505"/>
        <v>0</v>
      </c>
      <c r="F3267" s="18"/>
      <c r="L3267" s="21"/>
      <c r="N3267" s="22"/>
      <c r="O3267" s="22"/>
      <c r="P3267" s="18"/>
      <c r="Q3267" s="22"/>
      <c r="R3267" s="22"/>
      <c r="S3267" s="22"/>
      <c r="Z3267" s="53"/>
      <c r="AA3267"/>
      <c r="AH3267" t="str">
        <f t="shared" si="506"/>
        <v>k yet</v>
      </c>
    </row>
    <row r="3268" spans="1:39">
      <c r="A3268" s="42" t="s">
        <v>264</v>
      </c>
      <c r="B3268" s="40" t="str">
        <f t="shared" si="503"/>
        <v>No pick yet</v>
      </c>
      <c r="C3268" s="40" t="str">
        <f t="shared" si="502"/>
        <v>19-&gt;</v>
      </c>
      <c r="D3268" s="40" t="str">
        <f t="shared" si="504"/>
        <v xml:space="preserve">No pick yet                                                 </v>
      </c>
      <c r="E3268" s="52">
        <f t="shared" si="505"/>
        <v>0</v>
      </c>
      <c r="F3268" s="18"/>
      <c r="M3268" s="18"/>
      <c r="N3268" s="18"/>
      <c r="O3268" s="18"/>
      <c r="P3268" s="18"/>
      <c r="Q3268" s="22"/>
      <c r="R3268" s="21"/>
      <c r="S3268" s="21"/>
      <c r="T3268" s="21"/>
      <c r="AA3268"/>
      <c r="AH3268" t="str">
        <f t="shared" si="506"/>
        <v>k yet</v>
      </c>
    </row>
    <row r="3269" spans="1:39">
      <c r="A3269" s="42" t="s">
        <v>265</v>
      </c>
      <c r="B3269" s="40" t="str">
        <f t="shared" si="503"/>
        <v>No pick yet</v>
      </c>
      <c r="C3269" s="40" t="str">
        <f t="shared" si="502"/>
        <v>20-&gt;</v>
      </c>
      <c r="D3269" s="40" t="str">
        <f t="shared" si="504"/>
        <v xml:space="preserve">No pick yet                                                 </v>
      </c>
      <c r="E3269" s="52">
        <f t="shared" si="505"/>
        <v>0</v>
      </c>
      <c r="F3269" s="18"/>
      <c r="M3269" s="18"/>
      <c r="N3269" s="18"/>
      <c r="O3269" s="18"/>
      <c r="P3269" s="18"/>
      <c r="Q3269" s="22"/>
      <c r="R3269" s="21"/>
      <c r="S3269" s="21"/>
      <c r="T3269" s="21"/>
      <c r="AA3269"/>
      <c r="AH3269" t="str">
        <f t="shared" si="506"/>
        <v>k yet</v>
      </c>
    </row>
    <row r="3270" spans="1:39">
      <c r="A3270" s="42" t="s">
        <v>266</v>
      </c>
      <c r="B3270" s="40" t="str">
        <f t="shared" si="503"/>
        <v>No pick yet</v>
      </c>
      <c r="C3270" s="40" t="str">
        <f t="shared" si="502"/>
        <v>21-&gt;</v>
      </c>
      <c r="D3270" s="40" t="str">
        <f t="shared" si="504"/>
        <v xml:space="preserve">No pick yet                                                 </v>
      </c>
      <c r="E3270" s="52">
        <f t="shared" si="505"/>
        <v>0</v>
      </c>
      <c r="F3270" s="18"/>
      <c r="M3270" s="18"/>
      <c r="N3270" s="18"/>
      <c r="O3270" s="18"/>
      <c r="P3270" s="18"/>
      <c r="Q3270" s="22"/>
      <c r="R3270" s="21"/>
      <c r="S3270" s="21"/>
      <c r="T3270" s="21"/>
      <c r="AA3270"/>
      <c r="AH3270" t="str">
        <f t="shared" si="506"/>
        <v>k yet</v>
      </c>
    </row>
    <row r="3271" spans="1:39">
      <c r="A3271" s="42" t="s">
        <v>267</v>
      </c>
      <c r="B3271" s="40" t="str">
        <f t="shared" si="503"/>
        <v>No pick yet</v>
      </c>
      <c r="C3271" s="40" t="str">
        <f t="shared" si="502"/>
        <v>22-&gt;</v>
      </c>
      <c r="D3271" s="40" t="str">
        <f t="shared" si="504"/>
        <v xml:space="preserve">No pick yet                                                 </v>
      </c>
      <c r="E3271" s="52">
        <f t="shared" si="505"/>
        <v>0</v>
      </c>
      <c r="F3271" s="18"/>
      <c r="M3271" s="18"/>
      <c r="N3271" s="18"/>
      <c r="O3271" s="18"/>
      <c r="P3271" s="18"/>
      <c r="Q3271" s="22"/>
      <c r="R3271" s="21"/>
      <c r="S3271" s="21"/>
      <c r="T3271" s="21"/>
      <c r="AA3271"/>
      <c r="AH3271" t="str">
        <f t="shared" si="506"/>
        <v>k yet</v>
      </c>
    </row>
    <row r="3272" spans="1:39">
      <c r="A3272" s="42" t="s">
        <v>268</v>
      </c>
      <c r="B3272" s="40" t="str">
        <f t="shared" si="503"/>
        <v>No pick yet</v>
      </c>
      <c r="C3272" s="40" t="str">
        <f t="shared" si="502"/>
        <v>23-&gt;</v>
      </c>
      <c r="D3272" s="40" t="str">
        <f t="shared" si="504"/>
        <v xml:space="preserve">No pick yet                                                 </v>
      </c>
      <c r="E3272" s="52">
        <f t="shared" si="505"/>
        <v>0</v>
      </c>
      <c r="F3272" s="18"/>
      <c r="M3272" s="18"/>
      <c r="N3272" s="18"/>
      <c r="O3272" s="18"/>
      <c r="P3272" s="18"/>
      <c r="Q3272" s="22"/>
      <c r="R3272" s="21"/>
      <c r="S3272" s="21"/>
      <c r="T3272" s="21"/>
      <c r="AA3272"/>
      <c r="AH3272" t="str">
        <f t="shared" si="506"/>
        <v>k yet</v>
      </c>
    </row>
    <row r="3273" spans="1:39">
      <c r="A3273" s="42" t="s">
        <v>269</v>
      </c>
      <c r="B3273" s="40" t="str">
        <f t="shared" si="503"/>
        <v>No pick yet</v>
      </c>
      <c r="C3273" s="40" t="str">
        <f t="shared" si="502"/>
        <v>24-&gt;</v>
      </c>
      <c r="D3273" s="40" t="str">
        <f t="shared" si="504"/>
        <v xml:space="preserve">No pick yet                                                 </v>
      </c>
      <c r="E3273" s="52">
        <f t="shared" si="505"/>
        <v>0</v>
      </c>
      <c r="F3273" s="18"/>
      <c r="M3273" s="18"/>
      <c r="N3273" s="18"/>
      <c r="O3273" s="18"/>
      <c r="P3273" s="18"/>
      <c r="Q3273" s="22"/>
      <c r="R3273" s="21"/>
      <c r="S3273" s="21"/>
      <c r="T3273" s="21"/>
      <c r="AA3273"/>
      <c r="AH3273" t="str">
        <f t="shared" si="506"/>
        <v>k yet</v>
      </c>
    </row>
    <row r="3274" spans="1:39">
      <c r="A3274" s="42" t="s">
        <v>270</v>
      </c>
      <c r="B3274" s="40" t="str">
        <f t="shared" si="503"/>
        <v>No pick yet</v>
      </c>
      <c r="C3274" s="40" t="str">
        <f t="shared" si="502"/>
        <v>25-&gt;</v>
      </c>
      <c r="D3274" s="40" t="str">
        <f t="shared" si="504"/>
        <v xml:space="preserve">No pick yet                                                 </v>
      </c>
      <c r="E3274" s="52">
        <f t="shared" si="505"/>
        <v>0</v>
      </c>
      <c r="F3274" s="18"/>
      <c r="M3274" s="18"/>
      <c r="N3274" s="18"/>
      <c r="O3274" s="18"/>
      <c r="P3274" s="18"/>
      <c r="Q3274" s="22"/>
      <c r="R3274" s="21"/>
      <c r="S3274" s="21"/>
      <c r="T3274" s="21"/>
      <c r="AA3274"/>
      <c r="AH3274" t="str">
        <f t="shared" si="506"/>
        <v>k yet</v>
      </c>
    </row>
    <row r="3275" spans="1:39">
      <c r="A3275" s="42" t="s">
        <v>271</v>
      </c>
      <c r="B3275" s="40" t="str">
        <f t="shared" si="503"/>
        <v>No pick yet</v>
      </c>
      <c r="C3275" s="40" t="str">
        <f t="shared" si="502"/>
        <v>26-&gt;</v>
      </c>
      <c r="D3275" s="40" t="str">
        <f t="shared" si="504"/>
        <v xml:space="preserve">No pick yet                                                 </v>
      </c>
      <c r="E3275" s="52">
        <f t="shared" si="505"/>
        <v>0</v>
      </c>
      <c r="F3275" s="18"/>
      <c r="M3275" s="18"/>
      <c r="N3275" s="18"/>
      <c r="O3275" s="18"/>
      <c r="P3275" s="18"/>
      <c r="Q3275" s="22"/>
      <c r="R3275" s="21"/>
      <c r="S3275" s="21"/>
      <c r="T3275" s="21"/>
      <c r="AA3275"/>
      <c r="AH3275" t="str">
        <f t="shared" si="506"/>
        <v>k yet</v>
      </c>
    </row>
    <row r="3276" spans="1:39">
      <c r="A3276" s="38"/>
      <c r="B3276" s="40"/>
      <c r="C3276" s="40"/>
      <c r="D3276" s="49"/>
      <c r="E3276" s="41" t="s">
        <v>69</v>
      </c>
      <c r="F3276" s="18"/>
      <c r="K3276" s="22" t="s">
        <v>73</v>
      </c>
      <c r="L3276" s="18" t="s">
        <v>74</v>
      </c>
      <c r="M3276" s="22" t="s">
        <v>78</v>
      </c>
      <c r="N3276" s="22" t="s">
        <v>79</v>
      </c>
      <c r="O3276" s="22" t="s">
        <v>80</v>
      </c>
      <c r="P3276" s="22" t="s">
        <v>81</v>
      </c>
      <c r="Q3276" s="22" t="s">
        <v>82</v>
      </c>
      <c r="R3276" s="22" t="s">
        <v>83</v>
      </c>
      <c r="S3276" s="22" t="s">
        <v>84</v>
      </c>
      <c r="T3276" s="18" t="s">
        <v>85</v>
      </c>
      <c r="U3276" s="18" t="s">
        <v>86</v>
      </c>
      <c r="V3276" s="18" t="s">
        <v>87</v>
      </c>
      <c r="W3276" s="18" t="s">
        <v>88</v>
      </c>
      <c r="X3276" s="18" t="s">
        <v>89</v>
      </c>
      <c r="Y3276" s="18" t="s">
        <v>90</v>
      </c>
      <c r="Z3276" s="18" t="s">
        <v>91</v>
      </c>
      <c r="AA3276" s="18" t="s">
        <v>92</v>
      </c>
      <c r="AB3276" s="18" t="s">
        <v>93</v>
      </c>
      <c r="AC3276" s="18" t="s">
        <v>94</v>
      </c>
      <c r="AD3276" s="18" t="s">
        <v>235</v>
      </c>
      <c r="AE3276" s="18" t="s">
        <v>236</v>
      </c>
      <c r="AF3276" s="18" t="s">
        <v>237</v>
      </c>
      <c r="AG3276" s="18" t="s">
        <v>238</v>
      </c>
      <c r="AH3276" s="18" t="s">
        <v>239</v>
      </c>
      <c r="AI3276" s="18" t="s">
        <v>240</v>
      </c>
      <c r="AJ3276" s="18" t="s">
        <v>241</v>
      </c>
      <c r="AK3276" s="18" t="s">
        <v>242</v>
      </c>
      <c r="AL3276" s="18" t="s">
        <v>243</v>
      </c>
      <c r="AM3276" s="50" t="s">
        <v>244</v>
      </c>
    </row>
    <row r="3277" spans="1:39">
      <c r="A3277" s="40" t="s">
        <v>245</v>
      </c>
      <c r="B3277" s="51" t="str">
        <f>D116</f>
        <v/>
      </c>
      <c r="C3277" s="40" t="str">
        <f t="shared" ref="C3277:C3303" si="507">A3277</f>
        <v>#</v>
      </c>
      <c r="D3277" s="40" t="str">
        <f>"   "&amp;B3277&amp;REPT(" ",$AH$70-LEN(B3277)-3)</f>
        <v xml:space="preserve">                                                            </v>
      </c>
      <c r="E3277" s="38" t="str">
        <f>SUM(E3278:E3303)&amp;" pts[/b]"</f>
        <v>0 pts[/b]</v>
      </c>
      <c r="F3277" s="21">
        <f>SUM(E3278:E3303)</f>
        <v>0</v>
      </c>
      <c r="K3277" s="18">
        <f>COUNTIF(E3278:E3303,"&gt;0")</f>
        <v>0</v>
      </c>
      <c r="L3277" s="21">
        <f>AM3277-K3277</f>
        <v>0</v>
      </c>
      <c r="M3277" s="22">
        <f>MAX(E3278:E3303)</f>
        <v>0</v>
      </c>
      <c r="N3277" s="22">
        <f>LARGE(E3278:E3303,2)</f>
        <v>0</v>
      </c>
      <c r="O3277" s="22">
        <f>LARGE(E3278:E3303,3)</f>
        <v>0</v>
      </c>
      <c r="P3277" s="18">
        <f>LARGE(E3278:E3303,4)</f>
        <v>0</v>
      </c>
      <c r="Q3277" s="22">
        <f>LARGE(E3278:E3303,5)</f>
        <v>0</v>
      </c>
      <c r="R3277" s="22">
        <f>LARGE(E3278:E3303,6)</f>
        <v>0</v>
      </c>
      <c r="S3277" s="22">
        <f>LARGE(E3278:E3303,7)</f>
        <v>0</v>
      </c>
      <c r="T3277" s="18">
        <f>LARGE(E3278:E3303,8)</f>
        <v>0</v>
      </c>
      <c r="U3277" s="18">
        <f>LARGE(E3278:E3303,9)</f>
        <v>0</v>
      </c>
      <c r="V3277" s="18">
        <f>LARGE(E3278:E3303,10)</f>
        <v>0</v>
      </c>
      <c r="W3277" s="18">
        <f>LARGE(E3278:E3303,11)</f>
        <v>0</v>
      </c>
      <c r="X3277" s="18">
        <f>LARGE(E3278:E3303,12)</f>
        <v>0</v>
      </c>
      <c r="Y3277" s="18">
        <f>LARGE(E3278:E3303,13)</f>
        <v>0</v>
      </c>
      <c r="Z3277" s="18">
        <f>LARGE(E3278:E3303,14)</f>
        <v>0</v>
      </c>
      <c r="AA3277" s="18">
        <f>LARGE(E3278:E3303,15)</f>
        <v>0</v>
      </c>
      <c r="AB3277" s="18">
        <f>LARGE(E3278:E3303,16)</f>
        <v>0</v>
      </c>
      <c r="AC3277" s="18">
        <f>LARGE(E3278:E3303,17)</f>
        <v>0</v>
      </c>
      <c r="AD3277" s="18">
        <f>LARGE(E3278:E3304,13)</f>
        <v>0</v>
      </c>
      <c r="AE3277" s="18">
        <f>LARGE(E3278:E3303,19)</f>
        <v>0</v>
      </c>
      <c r="AF3277" s="18">
        <f>LARGE(E3278:E3303,20)</f>
        <v>0</v>
      </c>
      <c r="AG3277" s="18">
        <f>LARGE(E3278:E3303,21)</f>
        <v>0</v>
      </c>
      <c r="AH3277" s="18">
        <f>LARGE(E3278:E3303,22)</f>
        <v>0</v>
      </c>
      <c r="AI3277" s="18">
        <f>LARGE(E3278:E3303,23)</f>
        <v>0</v>
      </c>
      <c r="AJ3277" s="18">
        <f>LARGE(E3278:E3303,24)</f>
        <v>0</v>
      </c>
      <c r="AK3277" s="18">
        <f>LARGE(E3278:E3303,25)</f>
        <v>0</v>
      </c>
      <c r="AL3277" s="18">
        <f>LARGE(E3278:E3303,26)</f>
        <v>0</v>
      </c>
      <c r="AM3277" s="50">
        <f>COUNTIF(B3278:B3303,"&lt;&gt;"&amp;AH74)</f>
        <v>0</v>
      </c>
    </row>
    <row r="3278" spans="1:39">
      <c r="A3278" s="42" t="s">
        <v>246</v>
      </c>
      <c r="B3278" s="40" t="str">
        <f t="shared" ref="B3278:B3303" si="508">$AH$74</f>
        <v>No pick yet</v>
      </c>
      <c r="C3278" s="40" t="str">
        <f t="shared" si="507"/>
        <v>01-&gt;</v>
      </c>
      <c r="D3278" s="40" t="str">
        <f t="shared" ref="D3278:D3303" si="509">B3278&amp;REPT(" ",$AH$70-LEN(B3278))</f>
        <v xml:space="preserve">No pick yet                                                 </v>
      </c>
      <c r="E3278" s="52">
        <f t="shared" ref="E3278:E3303" si="510">VLOOKUP(RIGHT(B3278,LEN(B3278)-$AH$66),$H$138:$I$420,2,0)</f>
        <v>0</v>
      </c>
      <c r="F3278" s="18"/>
      <c r="M3278" s="18"/>
      <c r="N3278" s="18"/>
      <c r="O3278" s="18"/>
      <c r="P3278" s="18"/>
      <c r="Q3278" s="22"/>
      <c r="R3278" s="21"/>
      <c r="S3278" s="21"/>
      <c r="T3278" s="21"/>
      <c r="AA3278"/>
      <c r="AH3278" t="str">
        <f t="shared" ref="AH3278:AH3303" si="511">RIGHT(B3278,LEN(B3278)-$AH$66)</f>
        <v>k yet</v>
      </c>
    </row>
    <row r="3279" spans="1:39">
      <c r="A3279" s="42" t="s">
        <v>247</v>
      </c>
      <c r="B3279" s="40" t="str">
        <f t="shared" si="508"/>
        <v>No pick yet</v>
      </c>
      <c r="C3279" s="40" t="str">
        <f t="shared" si="507"/>
        <v>02-&gt;</v>
      </c>
      <c r="D3279" s="40" t="str">
        <f t="shared" si="509"/>
        <v xml:space="preserve">No pick yet                                                 </v>
      </c>
      <c r="E3279" s="52">
        <f t="shared" si="510"/>
        <v>0</v>
      </c>
      <c r="F3279" s="18"/>
      <c r="K3279" s="22"/>
      <c r="N3279" s="22"/>
      <c r="O3279" s="22"/>
      <c r="P3279" s="22"/>
      <c r="Q3279" s="22"/>
      <c r="R3279" s="22"/>
      <c r="S3279" s="22"/>
      <c r="Z3279" s="53"/>
      <c r="AA3279"/>
      <c r="AH3279" t="str">
        <f t="shared" si="511"/>
        <v>k yet</v>
      </c>
    </row>
    <row r="3280" spans="1:39">
      <c r="A3280" s="42" t="s">
        <v>248</v>
      </c>
      <c r="B3280" s="40" t="str">
        <f t="shared" si="508"/>
        <v>No pick yet</v>
      </c>
      <c r="C3280" s="40" t="str">
        <f t="shared" si="507"/>
        <v>03-&gt;</v>
      </c>
      <c r="D3280" s="40" t="str">
        <f t="shared" si="509"/>
        <v xml:space="preserve">No pick yet                                                 </v>
      </c>
      <c r="E3280" s="52">
        <f t="shared" si="510"/>
        <v>0</v>
      </c>
      <c r="F3280" s="18"/>
      <c r="L3280" s="21"/>
      <c r="N3280" s="22"/>
      <c r="O3280" s="22"/>
      <c r="P3280" s="18"/>
      <c r="Q3280" s="22"/>
      <c r="R3280" s="22"/>
      <c r="S3280" s="22"/>
      <c r="Z3280" s="53"/>
      <c r="AA3280"/>
      <c r="AH3280" t="str">
        <f t="shared" si="511"/>
        <v>k yet</v>
      </c>
    </row>
    <row r="3281" spans="1:34">
      <c r="A3281" s="42" t="s">
        <v>249</v>
      </c>
      <c r="B3281" s="40" t="str">
        <f t="shared" si="508"/>
        <v>No pick yet</v>
      </c>
      <c r="C3281" s="40" t="str">
        <f t="shared" si="507"/>
        <v>04-&gt;</v>
      </c>
      <c r="D3281" s="40" t="str">
        <f t="shared" si="509"/>
        <v xml:space="preserve">No pick yet                                                 </v>
      </c>
      <c r="E3281" s="52">
        <f t="shared" si="510"/>
        <v>0</v>
      </c>
      <c r="F3281" s="18"/>
      <c r="M3281" s="18"/>
      <c r="N3281" s="18"/>
      <c r="O3281" s="18"/>
      <c r="P3281" s="18"/>
      <c r="Q3281" s="22"/>
      <c r="R3281" s="21"/>
      <c r="S3281" s="21"/>
      <c r="T3281" s="21"/>
      <c r="AA3281"/>
      <c r="AH3281" t="str">
        <f t="shared" si="511"/>
        <v>k yet</v>
      </c>
    </row>
    <row r="3282" spans="1:34">
      <c r="A3282" s="42" t="s">
        <v>250</v>
      </c>
      <c r="B3282" s="40" t="str">
        <f t="shared" si="508"/>
        <v>No pick yet</v>
      </c>
      <c r="C3282" s="40" t="str">
        <f t="shared" si="507"/>
        <v>05-&gt;</v>
      </c>
      <c r="D3282" s="40" t="str">
        <f t="shared" si="509"/>
        <v xml:space="preserve">No pick yet                                                 </v>
      </c>
      <c r="E3282" s="52">
        <f t="shared" si="510"/>
        <v>0</v>
      </c>
      <c r="F3282" s="18"/>
      <c r="M3282" s="18"/>
      <c r="N3282" s="18"/>
      <c r="O3282" s="18"/>
      <c r="P3282" s="18"/>
      <c r="Q3282" s="22"/>
      <c r="R3282" s="21"/>
      <c r="S3282" s="21"/>
      <c r="T3282" s="21"/>
      <c r="AA3282"/>
      <c r="AH3282" t="str">
        <f t="shared" si="511"/>
        <v>k yet</v>
      </c>
    </row>
    <row r="3283" spans="1:34">
      <c r="A3283" s="42" t="s">
        <v>251</v>
      </c>
      <c r="B3283" s="40" t="str">
        <f t="shared" si="508"/>
        <v>No pick yet</v>
      </c>
      <c r="C3283" s="40" t="str">
        <f t="shared" si="507"/>
        <v>06-&gt;</v>
      </c>
      <c r="D3283" s="40" t="str">
        <f t="shared" si="509"/>
        <v xml:space="preserve">No pick yet                                                 </v>
      </c>
      <c r="E3283" s="52">
        <f t="shared" si="510"/>
        <v>0</v>
      </c>
      <c r="F3283" s="18"/>
      <c r="M3283" s="18"/>
      <c r="N3283" s="18"/>
      <c r="O3283" s="18"/>
      <c r="P3283" s="18"/>
      <c r="Q3283" s="22"/>
      <c r="R3283" s="21"/>
      <c r="S3283" s="21"/>
      <c r="T3283" s="21"/>
      <c r="AA3283"/>
      <c r="AH3283" t="str">
        <f t="shared" si="511"/>
        <v>k yet</v>
      </c>
    </row>
    <row r="3284" spans="1:34">
      <c r="A3284" s="42" t="s">
        <v>252</v>
      </c>
      <c r="B3284" s="40" t="str">
        <f t="shared" si="508"/>
        <v>No pick yet</v>
      </c>
      <c r="C3284" s="40" t="str">
        <f t="shared" si="507"/>
        <v>07-&gt;</v>
      </c>
      <c r="D3284" s="40" t="str">
        <f t="shared" si="509"/>
        <v xml:space="preserve">No pick yet                                                 </v>
      </c>
      <c r="E3284" s="52">
        <f t="shared" si="510"/>
        <v>0</v>
      </c>
      <c r="F3284" s="18"/>
      <c r="M3284" s="18"/>
      <c r="N3284" s="18"/>
      <c r="O3284" s="18"/>
      <c r="P3284" s="18"/>
      <c r="Q3284" s="22"/>
      <c r="R3284" s="21"/>
      <c r="S3284" s="21"/>
      <c r="T3284" s="21"/>
      <c r="AA3284"/>
      <c r="AH3284" t="str">
        <f t="shared" si="511"/>
        <v>k yet</v>
      </c>
    </row>
    <row r="3285" spans="1:34">
      <c r="A3285" s="42" t="s">
        <v>253</v>
      </c>
      <c r="B3285" s="40" t="str">
        <f t="shared" si="508"/>
        <v>No pick yet</v>
      </c>
      <c r="C3285" s="40" t="str">
        <f t="shared" si="507"/>
        <v>08-&gt;</v>
      </c>
      <c r="D3285" s="40" t="str">
        <f t="shared" si="509"/>
        <v xml:space="preserve">No pick yet                                                 </v>
      </c>
      <c r="E3285" s="52">
        <f t="shared" si="510"/>
        <v>0</v>
      </c>
      <c r="F3285" s="18"/>
      <c r="M3285" s="18"/>
      <c r="N3285" s="18"/>
      <c r="O3285" s="18"/>
      <c r="P3285" s="18"/>
      <c r="Q3285" s="22"/>
      <c r="R3285" s="21"/>
      <c r="S3285" s="21"/>
      <c r="T3285" s="21"/>
      <c r="AA3285"/>
      <c r="AH3285" t="str">
        <f t="shared" si="511"/>
        <v>k yet</v>
      </c>
    </row>
    <row r="3286" spans="1:34">
      <c r="A3286" s="42" t="s">
        <v>254</v>
      </c>
      <c r="B3286" s="40" t="str">
        <f t="shared" si="508"/>
        <v>No pick yet</v>
      </c>
      <c r="C3286" s="40" t="str">
        <f t="shared" si="507"/>
        <v>09-&gt;</v>
      </c>
      <c r="D3286" s="40" t="str">
        <f t="shared" si="509"/>
        <v xml:space="preserve">No pick yet                                                 </v>
      </c>
      <c r="E3286" s="52">
        <f t="shared" si="510"/>
        <v>0</v>
      </c>
      <c r="F3286" s="18"/>
      <c r="M3286" s="18"/>
      <c r="N3286" s="18"/>
      <c r="O3286" s="18"/>
      <c r="P3286" s="18"/>
      <c r="Q3286" s="22"/>
      <c r="R3286" s="21"/>
      <c r="S3286" s="21"/>
      <c r="T3286" s="21"/>
      <c r="AA3286"/>
      <c r="AH3286" t="str">
        <f t="shared" si="511"/>
        <v>k yet</v>
      </c>
    </row>
    <row r="3287" spans="1:34">
      <c r="A3287" s="42" t="s">
        <v>255</v>
      </c>
      <c r="B3287" s="40" t="str">
        <f t="shared" si="508"/>
        <v>No pick yet</v>
      </c>
      <c r="C3287" s="40" t="str">
        <f t="shared" si="507"/>
        <v>10-&gt;</v>
      </c>
      <c r="D3287" s="40" t="str">
        <f t="shared" si="509"/>
        <v xml:space="preserve">No pick yet                                                 </v>
      </c>
      <c r="E3287" s="52">
        <f t="shared" si="510"/>
        <v>0</v>
      </c>
      <c r="F3287" s="22"/>
      <c r="M3287" s="18"/>
      <c r="N3287" s="18"/>
      <c r="O3287" s="18"/>
      <c r="P3287" s="18"/>
      <c r="Q3287" s="22"/>
      <c r="R3287" s="21"/>
      <c r="S3287" s="21"/>
      <c r="T3287" s="21"/>
      <c r="AA3287"/>
      <c r="AH3287" t="str">
        <f t="shared" si="511"/>
        <v>k yet</v>
      </c>
    </row>
    <row r="3288" spans="1:34">
      <c r="A3288" s="42" t="s">
        <v>256</v>
      </c>
      <c r="B3288" s="40" t="str">
        <f t="shared" si="508"/>
        <v>No pick yet</v>
      </c>
      <c r="C3288" s="40" t="str">
        <f t="shared" si="507"/>
        <v>11-&gt;</v>
      </c>
      <c r="D3288" s="40" t="str">
        <f t="shared" si="509"/>
        <v xml:space="preserve">No pick yet                                                 </v>
      </c>
      <c r="E3288" s="52">
        <f t="shared" si="510"/>
        <v>0</v>
      </c>
      <c r="M3288" s="18"/>
      <c r="N3288" s="18"/>
      <c r="O3288" s="18"/>
      <c r="P3288" s="18"/>
      <c r="Q3288" s="22"/>
      <c r="R3288" s="21"/>
      <c r="S3288" s="21"/>
      <c r="T3288" s="21"/>
      <c r="AA3288"/>
      <c r="AH3288" t="str">
        <f t="shared" si="511"/>
        <v>k yet</v>
      </c>
    </row>
    <row r="3289" spans="1:34">
      <c r="A3289" s="42" t="s">
        <v>257</v>
      </c>
      <c r="B3289" s="40" t="str">
        <f t="shared" si="508"/>
        <v>No pick yet</v>
      </c>
      <c r="C3289" s="40" t="str">
        <f t="shared" si="507"/>
        <v>12-&gt;</v>
      </c>
      <c r="D3289" s="40" t="str">
        <f t="shared" si="509"/>
        <v xml:space="preserve">No pick yet                                                 </v>
      </c>
      <c r="E3289" s="52">
        <f t="shared" si="510"/>
        <v>0</v>
      </c>
      <c r="M3289" s="18"/>
      <c r="N3289" s="18"/>
      <c r="O3289" s="18"/>
      <c r="P3289" s="18"/>
      <c r="Q3289" s="22"/>
      <c r="R3289" s="21"/>
      <c r="S3289" s="21"/>
      <c r="T3289" s="21"/>
      <c r="AA3289"/>
      <c r="AH3289" t="str">
        <f t="shared" si="511"/>
        <v>k yet</v>
      </c>
    </row>
    <row r="3290" spans="1:34">
      <c r="A3290" s="42" t="s">
        <v>258</v>
      </c>
      <c r="B3290" s="40" t="str">
        <f t="shared" si="508"/>
        <v>No pick yet</v>
      </c>
      <c r="C3290" s="40" t="str">
        <f t="shared" si="507"/>
        <v>13-&gt;</v>
      </c>
      <c r="D3290" s="40" t="str">
        <f t="shared" si="509"/>
        <v xml:space="preserve">No pick yet                                                 </v>
      </c>
      <c r="E3290" s="52">
        <f t="shared" si="510"/>
        <v>0</v>
      </c>
      <c r="M3290" s="18"/>
      <c r="N3290" s="18"/>
      <c r="O3290" s="18"/>
      <c r="P3290" s="18"/>
      <c r="Q3290" s="22"/>
      <c r="R3290" s="21"/>
      <c r="S3290" s="21"/>
      <c r="T3290" s="21"/>
      <c r="AA3290"/>
      <c r="AH3290" t="str">
        <f t="shared" si="511"/>
        <v>k yet</v>
      </c>
    </row>
    <row r="3291" spans="1:34">
      <c r="A3291" s="42" t="s">
        <v>259</v>
      </c>
      <c r="B3291" s="40" t="str">
        <f t="shared" si="508"/>
        <v>No pick yet</v>
      </c>
      <c r="C3291" s="40" t="str">
        <f t="shared" si="507"/>
        <v>14-&gt;</v>
      </c>
      <c r="D3291" s="40" t="str">
        <f t="shared" si="509"/>
        <v xml:space="preserve">No pick yet                                                 </v>
      </c>
      <c r="E3291" s="52">
        <f t="shared" si="510"/>
        <v>0</v>
      </c>
      <c r="M3291" s="18"/>
      <c r="N3291" s="18"/>
      <c r="O3291" s="18"/>
      <c r="P3291" s="18"/>
      <c r="Q3291" s="22"/>
      <c r="R3291" s="21"/>
      <c r="S3291" s="21"/>
      <c r="T3291" s="21"/>
      <c r="AA3291"/>
      <c r="AH3291" t="str">
        <f t="shared" si="511"/>
        <v>k yet</v>
      </c>
    </row>
    <row r="3292" spans="1:34">
      <c r="A3292" s="42" t="s">
        <v>260</v>
      </c>
      <c r="B3292" s="40" t="str">
        <f t="shared" si="508"/>
        <v>No pick yet</v>
      </c>
      <c r="C3292" s="40" t="str">
        <f t="shared" si="507"/>
        <v>15-&gt;</v>
      </c>
      <c r="D3292" s="40" t="str">
        <f t="shared" si="509"/>
        <v xml:space="preserve">No pick yet                                                 </v>
      </c>
      <c r="E3292" s="52">
        <f t="shared" si="510"/>
        <v>0</v>
      </c>
      <c r="M3292" s="18"/>
      <c r="N3292" s="18"/>
      <c r="O3292" s="18"/>
      <c r="P3292" s="18"/>
      <c r="Q3292" s="22"/>
      <c r="R3292" s="21"/>
      <c r="S3292" s="21"/>
      <c r="T3292" s="21"/>
      <c r="AA3292"/>
      <c r="AH3292" t="str">
        <f t="shared" si="511"/>
        <v>k yet</v>
      </c>
    </row>
    <row r="3293" spans="1:34">
      <c r="A3293" s="42" t="s">
        <v>261</v>
      </c>
      <c r="B3293" s="40" t="str">
        <f t="shared" si="508"/>
        <v>No pick yet</v>
      </c>
      <c r="C3293" s="40" t="str">
        <f t="shared" si="507"/>
        <v>16-&gt;</v>
      </c>
      <c r="D3293" s="40" t="str">
        <f t="shared" si="509"/>
        <v xml:space="preserve">No pick yet                                                 </v>
      </c>
      <c r="E3293" s="52">
        <f t="shared" si="510"/>
        <v>0</v>
      </c>
      <c r="M3293" s="18"/>
      <c r="N3293" s="18"/>
      <c r="O3293" s="18"/>
      <c r="P3293" s="18"/>
      <c r="Q3293" s="22"/>
      <c r="R3293" s="21"/>
      <c r="S3293" s="21"/>
      <c r="T3293" s="21"/>
      <c r="AA3293"/>
      <c r="AH3293" t="str">
        <f t="shared" si="511"/>
        <v>k yet</v>
      </c>
    </row>
    <row r="3294" spans="1:34">
      <c r="A3294" s="42" t="s">
        <v>262</v>
      </c>
      <c r="B3294" s="40" t="str">
        <f t="shared" si="508"/>
        <v>No pick yet</v>
      </c>
      <c r="C3294" s="40" t="str">
        <f t="shared" si="507"/>
        <v>17-&gt;</v>
      </c>
      <c r="D3294" s="40" t="str">
        <f t="shared" si="509"/>
        <v xml:space="preserve">No pick yet                                                 </v>
      </c>
      <c r="E3294" s="52">
        <f t="shared" si="510"/>
        <v>0</v>
      </c>
      <c r="K3294" s="22"/>
      <c r="N3294" s="22"/>
      <c r="O3294" s="22"/>
      <c r="P3294" s="22"/>
      <c r="Q3294" s="22"/>
      <c r="R3294" s="22"/>
      <c r="S3294" s="22"/>
      <c r="Z3294" s="53"/>
      <c r="AA3294"/>
      <c r="AH3294" t="str">
        <f t="shared" si="511"/>
        <v>k yet</v>
      </c>
    </row>
    <row r="3295" spans="1:34">
      <c r="A3295" s="42" t="s">
        <v>263</v>
      </c>
      <c r="B3295" s="40" t="str">
        <f t="shared" si="508"/>
        <v>No pick yet</v>
      </c>
      <c r="C3295" s="40" t="str">
        <f t="shared" si="507"/>
        <v>18-&gt;</v>
      </c>
      <c r="D3295" s="40" t="str">
        <f t="shared" si="509"/>
        <v xml:space="preserve">No pick yet                                                 </v>
      </c>
      <c r="E3295" s="52">
        <f t="shared" si="510"/>
        <v>0</v>
      </c>
      <c r="F3295" s="18"/>
      <c r="L3295" s="21"/>
      <c r="N3295" s="22"/>
      <c r="O3295" s="22"/>
      <c r="P3295" s="18"/>
      <c r="Q3295" s="22"/>
      <c r="R3295" s="22"/>
      <c r="S3295" s="22"/>
      <c r="Z3295" s="53"/>
      <c r="AA3295"/>
      <c r="AH3295" t="str">
        <f t="shared" si="511"/>
        <v>k yet</v>
      </c>
    </row>
    <row r="3296" spans="1:34">
      <c r="A3296" s="42" t="s">
        <v>264</v>
      </c>
      <c r="B3296" s="40" t="str">
        <f t="shared" si="508"/>
        <v>No pick yet</v>
      </c>
      <c r="C3296" s="40" t="str">
        <f t="shared" si="507"/>
        <v>19-&gt;</v>
      </c>
      <c r="D3296" s="40" t="str">
        <f t="shared" si="509"/>
        <v xml:space="preserve">No pick yet                                                 </v>
      </c>
      <c r="E3296" s="52">
        <f t="shared" si="510"/>
        <v>0</v>
      </c>
      <c r="F3296" s="18"/>
      <c r="M3296" s="18"/>
      <c r="N3296" s="18"/>
      <c r="O3296" s="18"/>
      <c r="P3296" s="18"/>
      <c r="Q3296" s="22"/>
      <c r="R3296" s="21"/>
      <c r="S3296" s="21"/>
      <c r="T3296" s="21"/>
      <c r="AA3296"/>
      <c r="AH3296" t="str">
        <f t="shared" si="511"/>
        <v>k yet</v>
      </c>
    </row>
    <row r="3297" spans="1:39">
      <c r="A3297" s="42" t="s">
        <v>265</v>
      </c>
      <c r="B3297" s="40" t="str">
        <f t="shared" si="508"/>
        <v>No pick yet</v>
      </c>
      <c r="C3297" s="40" t="str">
        <f t="shared" si="507"/>
        <v>20-&gt;</v>
      </c>
      <c r="D3297" s="40" t="str">
        <f t="shared" si="509"/>
        <v xml:space="preserve">No pick yet                                                 </v>
      </c>
      <c r="E3297" s="52">
        <f t="shared" si="510"/>
        <v>0</v>
      </c>
      <c r="F3297" s="18"/>
      <c r="M3297" s="18"/>
      <c r="N3297" s="18"/>
      <c r="O3297" s="18"/>
      <c r="P3297" s="18"/>
      <c r="Q3297" s="22"/>
      <c r="R3297" s="21"/>
      <c r="S3297" s="21"/>
      <c r="T3297" s="21"/>
      <c r="AA3297"/>
      <c r="AH3297" t="str">
        <f t="shared" si="511"/>
        <v>k yet</v>
      </c>
    </row>
    <row r="3298" spans="1:39">
      <c r="A3298" s="42" t="s">
        <v>266</v>
      </c>
      <c r="B3298" s="40" t="str">
        <f t="shared" si="508"/>
        <v>No pick yet</v>
      </c>
      <c r="C3298" s="40" t="str">
        <f t="shared" si="507"/>
        <v>21-&gt;</v>
      </c>
      <c r="D3298" s="40" t="str">
        <f t="shared" si="509"/>
        <v xml:space="preserve">No pick yet                                                 </v>
      </c>
      <c r="E3298" s="52">
        <f t="shared" si="510"/>
        <v>0</v>
      </c>
      <c r="F3298" s="18"/>
      <c r="M3298" s="18"/>
      <c r="N3298" s="18"/>
      <c r="O3298" s="18"/>
      <c r="P3298" s="18"/>
      <c r="Q3298" s="22"/>
      <c r="R3298" s="21"/>
      <c r="S3298" s="21"/>
      <c r="T3298" s="21"/>
      <c r="AA3298"/>
      <c r="AH3298" t="str">
        <f t="shared" si="511"/>
        <v>k yet</v>
      </c>
    </row>
    <row r="3299" spans="1:39">
      <c r="A3299" s="42" t="s">
        <v>267</v>
      </c>
      <c r="B3299" s="40" t="str">
        <f t="shared" si="508"/>
        <v>No pick yet</v>
      </c>
      <c r="C3299" s="40" t="str">
        <f t="shared" si="507"/>
        <v>22-&gt;</v>
      </c>
      <c r="D3299" s="40" t="str">
        <f t="shared" si="509"/>
        <v xml:space="preserve">No pick yet                                                 </v>
      </c>
      <c r="E3299" s="52">
        <f t="shared" si="510"/>
        <v>0</v>
      </c>
      <c r="F3299" s="18"/>
      <c r="M3299" s="18"/>
      <c r="N3299" s="18"/>
      <c r="O3299" s="18"/>
      <c r="P3299" s="18"/>
      <c r="Q3299" s="22"/>
      <c r="R3299" s="21"/>
      <c r="S3299" s="21"/>
      <c r="T3299" s="21"/>
      <c r="AA3299"/>
      <c r="AH3299" t="str">
        <f t="shared" si="511"/>
        <v>k yet</v>
      </c>
    </row>
    <row r="3300" spans="1:39">
      <c r="A3300" s="42" t="s">
        <v>268</v>
      </c>
      <c r="B3300" s="40" t="str">
        <f t="shared" si="508"/>
        <v>No pick yet</v>
      </c>
      <c r="C3300" s="40" t="str">
        <f t="shared" si="507"/>
        <v>23-&gt;</v>
      </c>
      <c r="D3300" s="40" t="str">
        <f t="shared" si="509"/>
        <v xml:space="preserve">No pick yet                                                 </v>
      </c>
      <c r="E3300" s="52">
        <f t="shared" si="510"/>
        <v>0</v>
      </c>
      <c r="F3300" s="18"/>
      <c r="M3300" s="18"/>
      <c r="N3300" s="18"/>
      <c r="O3300" s="18"/>
      <c r="P3300" s="18"/>
      <c r="Q3300" s="22"/>
      <c r="R3300" s="21"/>
      <c r="S3300" s="21"/>
      <c r="T3300" s="21"/>
      <c r="AA3300"/>
      <c r="AH3300" t="str">
        <f t="shared" si="511"/>
        <v>k yet</v>
      </c>
    </row>
    <row r="3301" spans="1:39">
      <c r="A3301" s="42" t="s">
        <v>269</v>
      </c>
      <c r="B3301" s="40" t="str">
        <f t="shared" si="508"/>
        <v>No pick yet</v>
      </c>
      <c r="C3301" s="40" t="str">
        <f t="shared" si="507"/>
        <v>24-&gt;</v>
      </c>
      <c r="D3301" s="40" t="str">
        <f t="shared" si="509"/>
        <v xml:space="preserve">No pick yet                                                 </v>
      </c>
      <c r="E3301" s="52">
        <f t="shared" si="510"/>
        <v>0</v>
      </c>
      <c r="F3301" s="18"/>
      <c r="M3301" s="18"/>
      <c r="N3301" s="18"/>
      <c r="O3301" s="18"/>
      <c r="P3301" s="18"/>
      <c r="Q3301" s="22"/>
      <c r="R3301" s="21"/>
      <c r="S3301" s="21"/>
      <c r="T3301" s="21"/>
      <c r="AA3301"/>
      <c r="AH3301" t="str">
        <f t="shared" si="511"/>
        <v>k yet</v>
      </c>
    </row>
    <row r="3302" spans="1:39">
      <c r="A3302" s="42" t="s">
        <v>270</v>
      </c>
      <c r="B3302" s="40" t="str">
        <f t="shared" si="508"/>
        <v>No pick yet</v>
      </c>
      <c r="C3302" s="40" t="str">
        <f t="shared" si="507"/>
        <v>25-&gt;</v>
      </c>
      <c r="D3302" s="40" t="str">
        <f t="shared" si="509"/>
        <v xml:space="preserve">No pick yet                                                 </v>
      </c>
      <c r="E3302" s="52">
        <f t="shared" si="510"/>
        <v>0</v>
      </c>
      <c r="F3302" s="18"/>
      <c r="M3302" s="18"/>
      <c r="N3302" s="18"/>
      <c r="O3302" s="18"/>
      <c r="P3302" s="18"/>
      <c r="Q3302" s="22"/>
      <c r="R3302" s="21"/>
      <c r="S3302" s="21"/>
      <c r="T3302" s="21"/>
      <c r="AA3302"/>
      <c r="AH3302" t="str">
        <f t="shared" si="511"/>
        <v>k yet</v>
      </c>
    </row>
    <row r="3303" spans="1:39">
      <c r="A3303" s="42" t="s">
        <v>271</v>
      </c>
      <c r="B3303" s="40" t="str">
        <f t="shared" si="508"/>
        <v>No pick yet</v>
      </c>
      <c r="C3303" s="40" t="str">
        <f t="shared" si="507"/>
        <v>26-&gt;</v>
      </c>
      <c r="D3303" s="40" t="str">
        <f t="shared" si="509"/>
        <v xml:space="preserve">No pick yet                                                 </v>
      </c>
      <c r="E3303" s="52">
        <f t="shared" si="510"/>
        <v>0</v>
      </c>
      <c r="F3303" s="18"/>
      <c r="M3303" s="18"/>
      <c r="N3303" s="18"/>
      <c r="O3303" s="18"/>
      <c r="P3303" s="18"/>
      <c r="Q3303" s="22"/>
      <c r="R3303" s="21"/>
      <c r="S3303" s="21"/>
      <c r="T3303" s="21"/>
      <c r="AA3303"/>
      <c r="AH3303" t="str">
        <f t="shared" si="511"/>
        <v>k yet</v>
      </c>
    </row>
    <row r="3304" spans="1:39">
      <c r="A3304" s="38"/>
      <c r="B3304" s="40"/>
      <c r="C3304" s="40"/>
      <c r="D3304" s="49"/>
      <c r="E3304" s="41" t="s">
        <v>69</v>
      </c>
      <c r="F3304" s="18"/>
      <c r="K3304" s="22" t="s">
        <v>73</v>
      </c>
      <c r="L3304" s="18" t="s">
        <v>74</v>
      </c>
      <c r="M3304" s="22" t="s">
        <v>78</v>
      </c>
      <c r="N3304" s="22" t="s">
        <v>79</v>
      </c>
      <c r="O3304" s="22" t="s">
        <v>80</v>
      </c>
      <c r="P3304" s="22" t="s">
        <v>81</v>
      </c>
      <c r="Q3304" s="22" t="s">
        <v>82</v>
      </c>
      <c r="R3304" s="22" t="s">
        <v>83</v>
      </c>
      <c r="S3304" s="22" t="s">
        <v>84</v>
      </c>
      <c r="T3304" s="18" t="s">
        <v>85</v>
      </c>
      <c r="U3304" s="18" t="s">
        <v>86</v>
      </c>
      <c r="V3304" s="18" t="s">
        <v>87</v>
      </c>
      <c r="W3304" s="18" t="s">
        <v>88</v>
      </c>
      <c r="X3304" s="18" t="s">
        <v>89</v>
      </c>
      <c r="Y3304" s="18" t="s">
        <v>90</v>
      </c>
      <c r="Z3304" s="18" t="s">
        <v>91</v>
      </c>
      <c r="AA3304" s="18" t="s">
        <v>92</v>
      </c>
      <c r="AB3304" s="18" t="s">
        <v>93</v>
      </c>
      <c r="AC3304" s="18" t="s">
        <v>94</v>
      </c>
      <c r="AD3304" s="18" t="s">
        <v>235</v>
      </c>
      <c r="AE3304" s="18" t="s">
        <v>236</v>
      </c>
      <c r="AF3304" s="18" t="s">
        <v>237</v>
      </c>
      <c r="AG3304" s="18" t="s">
        <v>238</v>
      </c>
      <c r="AH3304" s="18" t="s">
        <v>239</v>
      </c>
      <c r="AI3304" s="18" t="s">
        <v>240</v>
      </c>
      <c r="AJ3304" s="18" t="s">
        <v>241</v>
      </c>
      <c r="AK3304" s="18" t="s">
        <v>242</v>
      </c>
      <c r="AL3304" s="18" t="s">
        <v>243</v>
      </c>
      <c r="AM3304" s="50" t="s">
        <v>244</v>
      </c>
    </row>
    <row r="3305" spans="1:39">
      <c r="A3305" s="40" t="s">
        <v>245</v>
      </c>
      <c r="B3305" s="51" t="str">
        <f>D117</f>
        <v/>
      </c>
      <c r="C3305" s="40" t="str">
        <f t="shared" ref="C3305:C3331" si="512">A3305</f>
        <v>#</v>
      </c>
      <c r="D3305" s="40" t="str">
        <f>"   "&amp;B3305&amp;REPT(" ",$AH$70-LEN(B3305)-3)</f>
        <v xml:space="preserve">                                                            </v>
      </c>
      <c r="E3305" s="38" t="str">
        <f>SUM(E3306:E3331)&amp;" pts[/b]"</f>
        <v>0 pts[/b]</v>
      </c>
      <c r="F3305" s="21">
        <f>SUM(E3306:E3331)</f>
        <v>0</v>
      </c>
      <c r="K3305" s="18">
        <f>COUNTIF(E3306:E3331,"&gt;0")</f>
        <v>0</v>
      </c>
      <c r="L3305" s="21">
        <f>AM3305-K3305</f>
        <v>0</v>
      </c>
      <c r="M3305" s="22">
        <f>MAX(E3306:E3331)</f>
        <v>0</v>
      </c>
      <c r="N3305" s="22">
        <f>LARGE(E3306:E3331,2)</f>
        <v>0</v>
      </c>
      <c r="O3305" s="22">
        <f>LARGE(E3306:E3331,3)</f>
        <v>0</v>
      </c>
      <c r="P3305" s="18">
        <f>LARGE(E3306:E3331,4)</f>
        <v>0</v>
      </c>
      <c r="Q3305" s="22">
        <f>LARGE(E3306:E3331,5)</f>
        <v>0</v>
      </c>
      <c r="R3305" s="22">
        <f>LARGE(E3306:E3331,6)</f>
        <v>0</v>
      </c>
      <c r="S3305" s="22">
        <f>LARGE(E3306:E3331,7)</f>
        <v>0</v>
      </c>
      <c r="T3305" s="18">
        <f>LARGE(E3306:E3331,8)</f>
        <v>0</v>
      </c>
      <c r="U3305" s="18">
        <f>LARGE(E3306:E3331,9)</f>
        <v>0</v>
      </c>
      <c r="V3305" s="18">
        <f>LARGE(E3306:E3331,10)</f>
        <v>0</v>
      </c>
      <c r="W3305" s="18">
        <f>LARGE(E3306:E3331,11)</f>
        <v>0</v>
      </c>
      <c r="X3305" s="18">
        <f>LARGE(E3306:E3331,12)</f>
        <v>0</v>
      </c>
      <c r="Y3305" s="18">
        <f>LARGE(E3306:E3331,13)</f>
        <v>0</v>
      </c>
      <c r="Z3305" s="18">
        <f>LARGE(E3306:E3331,14)</f>
        <v>0</v>
      </c>
      <c r="AA3305" s="18">
        <f>LARGE(E3306:E3331,15)</f>
        <v>0</v>
      </c>
      <c r="AB3305" s="18">
        <f>LARGE(E3306:E3331,16)</f>
        <v>0</v>
      </c>
      <c r="AC3305" s="18">
        <f>LARGE(E3306:E3331,17)</f>
        <v>0</v>
      </c>
      <c r="AD3305" s="18">
        <f>LARGE(E3306:E3332,13)</f>
        <v>0</v>
      </c>
      <c r="AE3305" s="18">
        <f>LARGE(E3306:E3331,19)</f>
        <v>0</v>
      </c>
      <c r="AF3305" s="18">
        <f>LARGE(E3306:E3331,20)</f>
        <v>0</v>
      </c>
      <c r="AG3305" s="18">
        <f>LARGE(E3306:E3331,21)</f>
        <v>0</v>
      </c>
      <c r="AH3305" s="18">
        <f>LARGE(E3306:E3331,22)</f>
        <v>0</v>
      </c>
      <c r="AI3305" s="18">
        <f>LARGE(E3306:E3331,23)</f>
        <v>0</v>
      </c>
      <c r="AJ3305" s="18">
        <f>LARGE(E3306:E3331,24)</f>
        <v>0</v>
      </c>
      <c r="AK3305" s="18">
        <f>LARGE(E3306:E3331,25)</f>
        <v>0</v>
      </c>
      <c r="AL3305" s="18">
        <f>LARGE(E3306:E3331,26)</f>
        <v>0</v>
      </c>
      <c r="AM3305" s="50">
        <f>COUNTIF(B3306:B3331,"&lt;&gt;"&amp;AH74)</f>
        <v>0</v>
      </c>
    </row>
    <row r="3306" spans="1:39">
      <c r="A3306" s="42" t="s">
        <v>246</v>
      </c>
      <c r="B3306" s="40" t="str">
        <f t="shared" ref="B3306:B3331" si="513">$AH$74</f>
        <v>No pick yet</v>
      </c>
      <c r="C3306" s="40" t="str">
        <f t="shared" si="512"/>
        <v>01-&gt;</v>
      </c>
      <c r="D3306" s="40" t="str">
        <f t="shared" ref="D3306:D3331" si="514">B3306&amp;REPT(" ",$AH$70-LEN(B3306))</f>
        <v xml:space="preserve">No pick yet                                                 </v>
      </c>
      <c r="E3306" s="52">
        <f t="shared" ref="E3306:E3331" si="515">VLOOKUP(RIGHT(B3306,LEN(B3306)-$AH$66),$H$138:$I$420,2,0)</f>
        <v>0</v>
      </c>
      <c r="F3306" s="18"/>
      <c r="M3306" s="18"/>
      <c r="N3306" s="18"/>
      <c r="O3306" s="18"/>
      <c r="P3306" s="18"/>
      <c r="Q3306" s="22"/>
      <c r="R3306" s="21"/>
      <c r="S3306" s="21"/>
      <c r="T3306" s="21"/>
      <c r="AA3306"/>
      <c r="AH3306" t="str">
        <f t="shared" ref="AH3306:AH3331" si="516">RIGHT(B3306,LEN(B3306)-$AH$66)</f>
        <v>k yet</v>
      </c>
    </row>
    <row r="3307" spans="1:39">
      <c r="A3307" s="42" t="s">
        <v>247</v>
      </c>
      <c r="B3307" s="40" t="str">
        <f t="shared" si="513"/>
        <v>No pick yet</v>
      </c>
      <c r="C3307" s="40" t="str">
        <f t="shared" si="512"/>
        <v>02-&gt;</v>
      </c>
      <c r="D3307" s="40" t="str">
        <f t="shared" si="514"/>
        <v xml:space="preserve">No pick yet                                                 </v>
      </c>
      <c r="E3307" s="52">
        <f t="shared" si="515"/>
        <v>0</v>
      </c>
      <c r="F3307" s="18"/>
      <c r="K3307" s="22"/>
      <c r="N3307" s="22"/>
      <c r="O3307" s="22"/>
      <c r="P3307" s="22"/>
      <c r="Q3307" s="22"/>
      <c r="R3307" s="22"/>
      <c r="S3307" s="22"/>
      <c r="Z3307" s="53"/>
      <c r="AA3307"/>
      <c r="AH3307" t="str">
        <f t="shared" si="516"/>
        <v>k yet</v>
      </c>
    </row>
    <row r="3308" spans="1:39">
      <c r="A3308" s="42" t="s">
        <v>248</v>
      </c>
      <c r="B3308" s="40" t="str">
        <f t="shared" si="513"/>
        <v>No pick yet</v>
      </c>
      <c r="C3308" s="40" t="str">
        <f t="shared" si="512"/>
        <v>03-&gt;</v>
      </c>
      <c r="D3308" s="40" t="str">
        <f t="shared" si="514"/>
        <v xml:space="preserve">No pick yet                                                 </v>
      </c>
      <c r="E3308" s="52">
        <f t="shared" si="515"/>
        <v>0</v>
      </c>
      <c r="F3308" s="18"/>
      <c r="L3308" s="21"/>
      <c r="N3308" s="22"/>
      <c r="O3308" s="22"/>
      <c r="P3308" s="18"/>
      <c r="Q3308" s="22"/>
      <c r="R3308" s="22"/>
      <c r="S3308" s="22"/>
      <c r="Z3308" s="53"/>
      <c r="AA3308"/>
      <c r="AH3308" t="str">
        <f t="shared" si="516"/>
        <v>k yet</v>
      </c>
    </row>
    <row r="3309" spans="1:39">
      <c r="A3309" s="42" t="s">
        <v>249</v>
      </c>
      <c r="B3309" s="40" t="str">
        <f t="shared" si="513"/>
        <v>No pick yet</v>
      </c>
      <c r="C3309" s="40" t="str">
        <f t="shared" si="512"/>
        <v>04-&gt;</v>
      </c>
      <c r="D3309" s="40" t="str">
        <f t="shared" si="514"/>
        <v xml:space="preserve">No pick yet                                                 </v>
      </c>
      <c r="E3309" s="52">
        <f t="shared" si="515"/>
        <v>0</v>
      </c>
      <c r="F3309" s="18"/>
      <c r="M3309" s="18"/>
      <c r="N3309" s="18"/>
      <c r="O3309" s="18"/>
      <c r="P3309" s="18"/>
      <c r="Q3309" s="22"/>
      <c r="R3309" s="21"/>
      <c r="S3309" s="21"/>
      <c r="T3309" s="21"/>
      <c r="AA3309"/>
      <c r="AH3309" t="str">
        <f t="shared" si="516"/>
        <v>k yet</v>
      </c>
    </row>
    <row r="3310" spans="1:39">
      <c r="A3310" s="42" t="s">
        <v>250</v>
      </c>
      <c r="B3310" s="40" t="str">
        <f t="shared" si="513"/>
        <v>No pick yet</v>
      </c>
      <c r="C3310" s="40" t="str">
        <f t="shared" si="512"/>
        <v>05-&gt;</v>
      </c>
      <c r="D3310" s="40" t="str">
        <f t="shared" si="514"/>
        <v xml:space="preserve">No pick yet                                                 </v>
      </c>
      <c r="E3310" s="52">
        <f t="shared" si="515"/>
        <v>0</v>
      </c>
      <c r="F3310" s="18"/>
      <c r="M3310" s="18"/>
      <c r="N3310" s="18"/>
      <c r="O3310" s="18"/>
      <c r="P3310" s="18"/>
      <c r="Q3310" s="22"/>
      <c r="R3310" s="21"/>
      <c r="S3310" s="21"/>
      <c r="T3310" s="21"/>
      <c r="AA3310"/>
      <c r="AH3310" t="str">
        <f t="shared" si="516"/>
        <v>k yet</v>
      </c>
    </row>
    <row r="3311" spans="1:39">
      <c r="A3311" s="42" t="s">
        <v>251</v>
      </c>
      <c r="B3311" s="40" t="str">
        <f t="shared" si="513"/>
        <v>No pick yet</v>
      </c>
      <c r="C3311" s="40" t="str">
        <f t="shared" si="512"/>
        <v>06-&gt;</v>
      </c>
      <c r="D3311" s="40" t="str">
        <f t="shared" si="514"/>
        <v xml:space="preserve">No pick yet                                                 </v>
      </c>
      <c r="E3311" s="52">
        <f t="shared" si="515"/>
        <v>0</v>
      </c>
      <c r="F3311" s="18"/>
      <c r="M3311" s="18"/>
      <c r="N3311" s="18"/>
      <c r="O3311" s="18"/>
      <c r="P3311" s="18"/>
      <c r="Q3311" s="22"/>
      <c r="R3311" s="21"/>
      <c r="S3311" s="21"/>
      <c r="T3311" s="21"/>
      <c r="AA3311"/>
      <c r="AH3311" t="str">
        <f t="shared" si="516"/>
        <v>k yet</v>
      </c>
    </row>
    <row r="3312" spans="1:39">
      <c r="A3312" s="42" t="s">
        <v>252</v>
      </c>
      <c r="B3312" s="40" t="str">
        <f t="shared" si="513"/>
        <v>No pick yet</v>
      </c>
      <c r="C3312" s="40" t="str">
        <f t="shared" si="512"/>
        <v>07-&gt;</v>
      </c>
      <c r="D3312" s="40" t="str">
        <f t="shared" si="514"/>
        <v xml:space="preserve">No pick yet                                                 </v>
      </c>
      <c r="E3312" s="52">
        <f t="shared" si="515"/>
        <v>0</v>
      </c>
      <c r="F3312" s="18"/>
      <c r="M3312" s="18"/>
      <c r="N3312" s="18"/>
      <c r="O3312" s="18"/>
      <c r="P3312" s="18"/>
      <c r="Q3312" s="22"/>
      <c r="R3312" s="21"/>
      <c r="S3312" s="21"/>
      <c r="T3312" s="21"/>
      <c r="AA3312"/>
      <c r="AH3312" t="str">
        <f t="shared" si="516"/>
        <v>k yet</v>
      </c>
    </row>
    <row r="3313" spans="1:34">
      <c r="A3313" s="42" t="s">
        <v>253</v>
      </c>
      <c r="B3313" s="40" t="str">
        <f t="shared" si="513"/>
        <v>No pick yet</v>
      </c>
      <c r="C3313" s="40" t="str">
        <f t="shared" si="512"/>
        <v>08-&gt;</v>
      </c>
      <c r="D3313" s="40" t="str">
        <f t="shared" si="514"/>
        <v xml:space="preserve">No pick yet                                                 </v>
      </c>
      <c r="E3313" s="52">
        <f t="shared" si="515"/>
        <v>0</v>
      </c>
      <c r="F3313" s="18"/>
      <c r="M3313" s="18"/>
      <c r="N3313" s="18"/>
      <c r="O3313" s="18"/>
      <c r="P3313" s="18"/>
      <c r="Q3313" s="22"/>
      <c r="R3313" s="21"/>
      <c r="S3313" s="21"/>
      <c r="T3313" s="21"/>
      <c r="AA3313"/>
      <c r="AH3313" t="str">
        <f t="shared" si="516"/>
        <v>k yet</v>
      </c>
    </row>
    <row r="3314" spans="1:34">
      <c r="A3314" s="42" t="s">
        <v>254</v>
      </c>
      <c r="B3314" s="40" t="str">
        <f t="shared" si="513"/>
        <v>No pick yet</v>
      </c>
      <c r="C3314" s="40" t="str">
        <f t="shared" si="512"/>
        <v>09-&gt;</v>
      </c>
      <c r="D3314" s="40" t="str">
        <f t="shared" si="514"/>
        <v xml:space="preserve">No pick yet                                                 </v>
      </c>
      <c r="E3314" s="52">
        <f t="shared" si="515"/>
        <v>0</v>
      </c>
      <c r="F3314" s="18"/>
      <c r="M3314" s="18"/>
      <c r="N3314" s="18"/>
      <c r="O3314" s="18"/>
      <c r="P3314" s="18"/>
      <c r="Q3314" s="22"/>
      <c r="R3314" s="21"/>
      <c r="S3314" s="21"/>
      <c r="T3314" s="21"/>
      <c r="AA3314"/>
      <c r="AH3314" t="str">
        <f t="shared" si="516"/>
        <v>k yet</v>
      </c>
    </row>
    <row r="3315" spans="1:34">
      <c r="A3315" s="42" t="s">
        <v>255</v>
      </c>
      <c r="B3315" s="40" t="str">
        <f t="shared" si="513"/>
        <v>No pick yet</v>
      </c>
      <c r="C3315" s="40" t="str">
        <f t="shared" si="512"/>
        <v>10-&gt;</v>
      </c>
      <c r="D3315" s="40" t="str">
        <f t="shared" si="514"/>
        <v xml:space="preserve">No pick yet                                                 </v>
      </c>
      <c r="E3315" s="52">
        <f t="shared" si="515"/>
        <v>0</v>
      </c>
      <c r="F3315" s="22"/>
      <c r="M3315" s="18"/>
      <c r="N3315" s="18"/>
      <c r="O3315" s="18"/>
      <c r="P3315" s="18"/>
      <c r="Q3315" s="22"/>
      <c r="R3315" s="21"/>
      <c r="S3315" s="21"/>
      <c r="T3315" s="21"/>
      <c r="AA3315"/>
      <c r="AH3315" t="str">
        <f t="shared" si="516"/>
        <v>k yet</v>
      </c>
    </row>
    <row r="3316" spans="1:34">
      <c r="A3316" s="42" t="s">
        <v>256</v>
      </c>
      <c r="B3316" s="40" t="str">
        <f t="shared" si="513"/>
        <v>No pick yet</v>
      </c>
      <c r="C3316" s="40" t="str">
        <f t="shared" si="512"/>
        <v>11-&gt;</v>
      </c>
      <c r="D3316" s="40" t="str">
        <f t="shared" si="514"/>
        <v xml:space="preserve">No pick yet                                                 </v>
      </c>
      <c r="E3316" s="52">
        <f t="shared" si="515"/>
        <v>0</v>
      </c>
      <c r="M3316" s="18"/>
      <c r="N3316" s="18"/>
      <c r="O3316" s="18"/>
      <c r="P3316" s="18"/>
      <c r="Q3316" s="22"/>
      <c r="R3316" s="21"/>
      <c r="S3316" s="21"/>
      <c r="T3316" s="21"/>
      <c r="AA3316"/>
      <c r="AH3316" t="str">
        <f t="shared" si="516"/>
        <v>k yet</v>
      </c>
    </row>
    <row r="3317" spans="1:34">
      <c r="A3317" s="42" t="s">
        <v>257</v>
      </c>
      <c r="B3317" s="40" t="str">
        <f t="shared" si="513"/>
        <v>No pick yet</v>
      </c>
      <c r="C3317" s="40" t="str">
        <f t="shared" si="512"/>
        <v>12-&gt;</v>
      </c>
      <c r="D3317" s="40" t="str">
        <f t="shared" si="514"/>
        <v xml:space="preserve">No pick yet                                                 </v>
      </c>
      <c r="E3317" s="52">
        <f t="shared" si="515"/>
        <v>0</v>
      </c>
      <c r="M3317" s="18"/>
      <c r="N3317" s="18"/>
      <c r="O3317" s="18"/>
      <c r="P3317" s="18"/>
      <c r="Q3317" s="22"/>
      <c r="R3317" s="21"/>
      <c r="S3317" s="21"/>
      <c r="T3317" s="21"/>
      <c r="AA3317"/>
      <c r="AH3317" t="str">
        <f t="shared" si="516"/>
        <v>k yet</v>
      </c>
    </row>
    <row r="3318" spans="1:34">
      <c r="A3318" s="42" t="s">
        <v>258</v>
      </c>
      <c r="B3318" s="40" t="str">
        <f t="shared" si="513"/>
        <v>No pick yet</v>
      </c>
      <c r="C3318" s="40" t="str">
        <f t="shared" si="512"/>
        <v>13-&gt;</v>
      </c>
      <c r="D3318" s="40" t="str">
        <f t="shared" si="514"/>
        <v xml:space="preserve">No pick yet                                                 </v>
      </c>
      <c r="E3318" s="52">
        <f t="shared" si="515"/>
        <v>0</v>
      </c>
      <c r="M3318" s="18"/>
      <c r="N3318" s="18"/>
      <c r="O3318" s="18"/>
      <c r="P3318" s="18"/>
      <c r="Q3318" s="22"/>
      <c r="R3318" s="21"/>
      <c r="S3318" s="21"/>
      <c r="T3318" s="21"/>
      <c r="AA3318"/>
      <c r="AH3318" t="str">
        <f t="shared" si="516"/>
        <v>k yet</v>
      </c>
    </row>
    <row r="3319" spans="1:34">
      <c r="A3319" s="42" t="s">
        <v>259</v>
      </c>
      <c r="B3319" s="40" t="str">
        <f t="shared" si="513"/>
        <v>No pick yet</v>
      </c>
      <c r="C3319" s="40" t="str">
        <f t="shared" si="512"/>
        <v>14-&gt;</v>
      </c>
      <c r="D3319" s="40" t="str">
        <f t="shared" si="514"/>
        <v xml:space="preserve">No pick yet                                                 </v>
      </c>
      <c r="E3319" s="52">
        <f t="shared" si="515"/>
        <v>0</v>
      </c>
      <c r="M3319" s="18"/>
      <c r="N3319" s="18"/>
      <c r="O3319" s="18"/>
      <c r="P3319" s="18"/>
      <c r="Q3319" s="22"/>
      <c r="R3319" s="21"/>
      <c r="S3319" s="21"/>
      <c r="T3319" s="21"/>
      <c r="AA3319"/>
      <c r="AH3319" t="str">
        <f t="shared" si="516"/>
        <v>k yet</v>
      </c>
    </row>
    <row r="3320" spans="1:34">
      <c r="A3320" s="42" t="s">
        <v>260</v>
      </c>
      <c r="B3320" s="40" t="str">
        <f t="shared" si="513"/>
        <v>No pick yet</v>
      </c>
      <c r="C3320" s="40" t="str">
        <f t="shared" si="512"/>
        <v>15-&gt;</v>
      </c>
      <c r="D3320" s="40" t="str">
        <f t="shared" si="514"/>
        <v xml:space="preserve">No pick yet                                                 </v>
      </c>
      <c r="E3320" s="52">
        <f t="shared" si="515"/>
        <v>0</v>
      </c>
      <c r="M3320" s="18"/>
      <c r="N3320" s="18"/>
      <c r="O3320" s="18"/>
      <c r="P3320" s="18"/>
      <c r="Q3320" s="22"/>
      <c r="R3320" s="21"/>
      <c r="S3320" s="21"/>
      <c r="T3320" s="21"/>
      <c r="AA3320"/>
      <c r="AH3320" t="str">
        <f t="shared" si="516"/>
        <v>k yet</v>
      </c>
    </row>
    <row r="3321" spans="1:34">
      <c r="A3321" s="42" t="s">
        <v>261</v>
      </c>
      <c r="B3321" s="40" t="str">
        <f t="shared" si="513"/>
        <v>No pick yet</v>
      </c>
      <c r="C3321" s="40" t="str">
        <f t="shared" si="512"/>
        <v>16-&gt;</v>
      </c>
      <c r="D3321" s="40" t="str">
        <f t="shared" si="514"/>
        <v xml:space="preserve">No pick yet                                                 </v>
      </c>
      <c r="E3321" s="52">
        <f t="shared" si="515"/>
        <v>0</v>
      </c>
      <c r="M3321" s="18"/>
      <c r="N3321" s="18"/>
      <c r="O3321" s="18"/>
      <c r="P3321" s="18"/>
      <c r="Q3321" s="22"/>
      <c r="R3321" s="21"/>
      <c r="S3321" s="21"/>
      <c r="T3321" s="21"/>
      <c r="AA3321"/>
      <c r="AH3321" t="str">
        <f t="shared" si="516"/>
        <v>k yet</v>
      </c>
    </row>
    <row r="3322" spans="1:34">
      <c r="A3322" s="42" t="s">
        <v>262</v>
      </c>
      <c r="B3322" s="40" t="str">
        <f t="shared" si="513"/>
        <v>No pick yet</v>
      </c>
      <c r="C3322" s="40" t="str">
        <f t="shared" si="512"/>
        <v>17-&gt;</v>
      </c>
      <c r="D3322" s="40" t="str">
        <f t="shared" si="514"/>
        <v xml:space="preserve">No pick yet                                                 </v>
      </c>
      <c r="E3322" s="52">
        <f t="shared" si="515"/>
        <v>0</v>
      </c>
      <c r="K3322" s="22"/>
      <c r="N3322" s="22"/>
      <c r="O3322" s="22"/>
      <c r="P3322" s="22"/>
      <c r="Q3322" s="22"/>
      <c r="R3322" s="22"/>
      <c r="S3322" s="22"/>
      <c r="Z3322" s="53"/>
      <c r="AA3322"/>
      <c r="AH3322" t="str">
        <f t="shared" si="516"/>
        <v>k yet</v>
      </c>
    </row>
    <row r="3323" spans="1:34">
      <c r="A3323" s="42" t="s">
        <v>263</v>
      </c>
      <c r="B3323" s="40" t="str">
        <f t="shared" si="513"/>
        <v>No pick yet</v>
      </c>
      <c r="C3323" s="40" t="str">
        <f t="shared" si="512"/>
        <v>18-&gt;</v>
      </c>
      <c r="D3323" s="40" t="str">
        <f t="shared" si="514"/>
        <v xml:space="preserve">No pick yet                                                 </v>
      </c>
      <c r="E3323" s="52">
        <f t="shared" si="515"/>
        <v>0</v>
      </c>
      <c r="F3323" s="18"/>
      <c r="L3323" s="21"/>
      <c r="N3323" s="22"/>
      <c r="O3323" s="22"/>
      <c r="P3323" s="18"/>
      <c r="Q3323" s="22"/>
      <c r="R3323" s="22"/>
      <c r="S3323" s="22"/>
      <c r="Z3323" s="53"/>
      <c r="AA3323"/>
      <c r="AH3323" t="str">
        <f t="shared" si="516"/>
        <v>k yet</v>
      </c>
    </row>
    <row r="3324" spans="1:34">
      <c r="A3324" s="42" t="s">
        <v>264</v>
      </c>
      <c r="B3324" s="40" t="str">
        <f t="shared" si="513"/>
        <v>No pick yet</v>
      </c>
      <c r="C3324" s="40" t="str">
        <f t="shared" si="512"/>
        <v>19-&gt;</v>
      </c>
      <c r="D3324" s="40" t="str">
        <f t="shared" si="514"/>
        <v xml:space="preserve">No pick yet                                                 </v>
      </c>
      <c r="E3324" s="52">
        <f t="shared" si="515"/>
        <v>0</v>
      </c>
      <c r="F3324" s="18"/>
      <c r="M3324" s="18"/>
      <c r="N3324" s="18"/>
      <c r="O3324" s="18"/>
      <c r="P3324" s="18"/>
      <c r="Q3324" s="22"/>
      <c r="R3324" s="21"/>
      <c r="S3324" s="21"/>
      <c r="T3324" s="21"/>
      <c r="AA3324"/>
      <c r="AH3324" t="str">
        <f t="shared" si="516"/>
        <v>k yet</v>
      </c>
    </row>
    <row r="3325" spans="1:34">
      <c r="A3325" s="42" t="s">
        <v>265</v>
      </c>
      <c r="B3325" s="40" t="str">
        <f t="shared" si="513"/>
        <v>No pick yet</v>
      </c>
      <c r="C3325" s="40" t="str">
        <f t="shared" si="512"/>
        <v>20-&gt;</v>
      </c>
      <c r="D3325" s="40" t="str">
        <f t="shared" si="514"/>
        <v xml:space="preserve">No pick yet                                                 </v>
      </c>
      <c r="E3325" s="52">
        <f t="shared" si="515"/>
        <v>0</v>
      </c>
      <c r="F3325" s="18"/>
      <c r="M3325" s="18"/>
      <c r="N3325" s="18"/>
      <c r="O3325" s="18"/>
      <c r="P3325" s="18"/>
      <c r="Q3325" s="22"/>
      <c r="R3325" s="21"/>
      <c r="S3325" s="21"/>
      <c r="T3325" s="21"/>
      <c r="AA3325"/>
      <c r="AH3325" t="str">
        <f t="shared" si="516"/>
        <v>k yet</v>
      </c>
    </row>
    <row r="3326" spans="1:34">
      <c r="A3326" s="42" t="s">
        <v>266</v>
      </c>
      <c r="B3326" s="40" t="str">
        <f t="shared" si="513"/>
        <v>No pick yet</v>
      </c>
      <c r="C3326" s="40" t="str">
        <f t="shared" si="512"/>
        <v>21-&gt;</v>
      </c>
      <c r="D3326" s="40" t="str">
        <f t="shared" si="514"/>
        <v xml:space="preserve">No pick yet                                                 </v>
      </c>
      <c r="E3326" s="52">
        <f t="shared" si="515"/>
        <v>0</v>
      </c>
      <c r="F3326" s="18"/>
      <c r="M3326" s="18"/>
      <c r="N3326" s="18"/>
      <c r="O3326" s="18"/>
      <c r="P3326" s="18"/>
      <c r="Q3326" s="22"/>
      <c r="R3326" s="21"/>
      <c r="S3326" s="21"/>
      <c r="T3326" s="21"/>
      <c r="AA3326"/>
      <c r="AH3326" t="str">
        <f t="shared" si="516"/>
        <v>k yet</v>
      </c>
    </row>
    <row r="3327" spans="1:34">
      <c r="A3327" s="42" t="s">
        <v>267</v>
      </c>
      <c r="B3327" s="40" t="str">
        <f t="shared" si="513"/>
        <v>No pick yet</v>
      </c>
      <c r="C3327" s="40" t="str">
        <f t="shared" si="512"/>
        <v>22-&gt;</v>
      </c>
      <c r="D3327" s="40" t="str">
        <f t="shared" si="514"/>
        <v xml:space="preserve">No pick yet                                                 </v>
      </c>
      <c r="E3327" s="52">
        <f t="shared" si="515"/>
        <v>0</v>
      </c>
      <c r="F3327" s="18"/>
      <c r="M3327" s="18"/>
      <c r="N3327" s="18"/>
      <c r="O3327" s="18"/>
      <c r="P3327" s="18"/>
      <c r="Q3327" s="22"/>
      <c r="R3327" s="21"/>
      <c r="S3327" s="21"/>
      <c r="T3327" s="21"/>
      <c r="AA3327"/>
      <c r="AH3327" t="str">
        <f t="shared" si="516"/>
        <v>k yet</v>
      </c>
    </row>
    <row r="3328" spans="1:34">
      <c r="A3328" s="42" t="s">
        <v>268</v>
      </c>
      <c r="B3328" s="40" t="str">
        <f t="shared" si="513"/>
        <v>No pick yet</v>
      </c>
      <c r="C3328" s="40" t="str">
        <f t="shared" si="512"/>
        <v>23-&gt;</v>
      </c>
      <c r="D3328" s="40" t="str">
        <f t="shared" si="514"/>
        <v xml:space="preserve">No pick yet                                                 </v>
      </c>
      <c r="E3328" s="52">
        <f t="shared" si="515"/>
        <v>0</v>
      </c>
      <c r="F3328" s="18"/>
      <c r="M3328" s="18"/>
      <c r="N3328" s="18"/>
      <c r="O3328" s="18"/>
      <c r="P3328" s="18"/>
      <c r="Q3328" s="22"/>
      <c r="R3328" s="21"/>
      <c r="S3328" s="21"/>
      <c r="T3328" s="21"/>
      <c r="AA3328"/>
      <c r="AH3328" t="str">
        <f t="shared" si="516"/>
        <v>k yet</v>
      </c>
    </row>
    <row r="3329" spans="1:39">
      <c r="A3329" s="42" t="s">
        <v>269</v>
      </c>
      <c r="B3329" s="40" t="str">
        <f t="shared" si="513"/>
        <v>No pick yet</v>
      </c>
      <c r="C3329" s="40" t="str">
        <f t="shared" si="512"/>
        <v>24-&gt;</v>
      </c>
      <c r="D3329" s="40" t="str">
        <f t="shared" si="514"/>
        <v xml:space="preserve">No pick yet                                                 </v>
      </c>
      <c r="E3329" s="52">
        <f t="shared" si="515"/>
        <v>0</v>
      </c>
      <c r="F3329" s="18"/>
      <c r="M3329" s="18"/>
      <c r="N3329" s="18"/>
      <c r="O3329" s="18"/>
      <c r="P3329" s="18"/>
      <c r="Q3329" s="22"/>
      <c r="R3329" s="21"/>
      <c r="S3329" s="21"/>
      <c r="T3329" s="21"/>
      <c r="AA3329"/>
      <c r="AH3329" t="str">
        <f t="shared" si="516"/>
        <v>k yet</v>
      </c>
    </row>
    <row r="3330" spans="1:39">
      <c r="A3330" s="42" t="s">
        <v>270</v>
      </c>
      <c r="B3330" s="40" t="str">
        <f t="shared" si="513"/>
        <v>No pick yet</v>
      </c>
      <c r="C3330" s="40" t="str">
        <f t="shared" si="512"/>
        <v>25-&gt;</v>
      </c>
      <c r="D3330" s="40" t="str">
        <f t="shared" si="514"/>
        <v xml:space="preserve">No pick yet                                                 </v>
      </c>
      <c r="E3330" s="52">
        <f t="shared" si="515"/>
        <v>0</v>
      </c>
      <c r="F3330" s="18"/>
      <c r="M3330" s="18"/>
      <c r="N3330" s="18"/>
      <c r="O3330" s="18"/>
      <c r="P3330" s="18"/>
      <c r="Q3330" s="22"/>
      <c r="R3330" s="21"/>
      <c r="S3330" s="21"/>
      <c r="T3330" s="21"/>
      <c r="AA3330"/>
      <c r="AH3330" t="str">
        <f t="shared" si="516"/>
        <v>k yet</v>
      </c>
    </row>
    <row r="3331" spans="1:39">
      <c r="A3331" s="42" t="s">
        <v>271</v>
      </c>
      <c r="B3331" s="40" t="str">
        <f t="shared" si="513"/>
        <v>No pick yet</v>
      </c>
      <c r="C3331" s="40" t="str">
        <f t="shared" si="512"/>
        <v>26-&gt;</v>
      </c>
      <c r="D3331" s="40" t="str">
        <f t="shared" si="514"/>
        <v xml:space="preserve">No pick yet                                                 </v>
      </c>
      <c r="E3331" s="52">
        <f t="shared" si="515"/>
        <v>0</v>
      </c>
      <c r="F3331" s="18"/>
      <c r="M3331" s="18"/>
      <c r="N3331" s="18"/>
      <c r="O3331" s="18"/>
      <c r="P3331" s="18"/>
      <c r="Q3331" s="22"/>
      <c r="R3331" s="21"/>
      <c r="S3331" s="21"/>
      <c r="T3331" s="21"/>
      <c r="AA3331"/>
      <c r="AH3331" t="str">
        <f t="shared" si="516"/>
        <v>k yet</v>
      </c>
    </row>
    <row r="3332" spans="1:39">
      <c r="A3332" s="38"/>
      <c r="B3332" s="40"/>
      <c r="C3332" s="40"/>
      <c r="D3332" s="49"/>
      <c r="E3332" s="41" t="s">
        <v>69</v>
      </c>
      <c r="F3332" s="18"/>
      <c r="K3332" s="22" t="s">
        <v>73</v>
      </c>
      <c r="L3332" s="18" t="s">
        <v>74</v>
      </c>
      <c r="M3332" s="22" t="s">
        <v>78</v>
      </c>
      <c r="N3332" s="22" t="s">
        <v>79</v>
      </c>
      <c r="O3332" s="22" t="s">
        <v>80</v>
      </c>
      <c r="P3332" s="22" t="s">
        <v>81</v>
      </c>
      <c r="Q3332" s="22" t="s">
        <v>82</v>
      </c>
      <c r="R3332" s="22" t="s">
        <v>83</v>
      </c>
      <c r="S3332" s="22" t="s">
        <v>84</v>
      </c>
      <c r="T3332" s="18" t="s">
        <v>85</v>
      </c>
      <c r="U3332" s="18" t="s">
        <v>86</v>
      </c>
      <c r="V3332" s="18" t="s">
        <v>87</v>
      </c>
      <c r="W3332" s="18" t="s">
        <v>88</v>
      </c>
      <c r="X3332" s="18" t="s">
        <v>89</v>
      </c>
      <c r="Y3332" s="18" t="s">
        <v>90</v>
      </c>
      <c r="Z3332" s="18" t="s">
        <v>91</v>
      </c>
      <c r="AA3332" s="18" t="s">
        <v>92</v>
      </c>
      <c r="AB3332" s="18" t="s">
        <v>93</v>
      </c>
      <c r="AC3332" s="18" t="s">
        <v>94</v>
      </c>
      <c r="AD3332" s="18" t="s">
        <v>235</v>
      </c>
      <c r="AE3332" s="18" t="s">
        <v>236</v>
      </c>
      <c r="AF3332" s="18" t="s">
        <v>237</v>
      </c>
      <c r="AG3332" s="18" t="s">
        <v>238</v>
      </c>
      <c r="AH3332" s="18" t="s">
        <v>239</v>
      </c>
      <c r="AI3332" s="18" t="s">
        <v>240</v>
      </c>
      <c r="AJ3332" s="18" t="s">
        <v>241</v>
      </c>
      <c r="AK3332" s="18" t="s">
        <v>242</v>
      </c>
      <c r="AL3332" s="18" t="s">
        <v>243</v>
      </c>
      <c r="AM3332" s="50" t="s">
        <v>244</v>
      </c>
    </row>
    <row r="3333" spans="1:39">
      <c r="A3333" s="40" t="s">
        <v>245</v>
      </c>
      <c r="B3333" s="51" t="str">
        <f>D118</f>
        <v/>
      </c>
      <c r="C3333" s="40" t="str">
        <f t="shared" ref="C3333:C3359" si="517">A3333</f>
        <v>#</v>
      </c>
      <c r="D3333" s="40" t="str">
        <f>"   "&amp;B3333&amp;REPT(" ",$AH$70-LEN(B3333)-3)</f>
        <v xml:space="preserve">                                                            </v>
      </c>
      <c r="E3333" s="38" t="str">
        <f>SUM(E3334:E3359)&amp;" pts[/b]"</f>
        <v>0 pts[/b]</v>
      </c>
      <c r="F3333" s="21">
        <f>SUM(E3334:E3359)</f>
        <v>0</v>
      </c>
      <c r="K3333" s="18">
        <f>COUNTIF(E3334:E3359,"&gt;0")</f>
        <v>0</v>
      </c>
      <c r="L3333" s="21">
        <f>AM3333-K3333</f>
        <v>0</v>
      </c>
      <c r="M3333" s="22">
        <f>MAX(E3334:E3359)</f>
        <v>0</v>
      </c>
      <c r="N3333" s="22">
        <f>LARGE(E3334:E3359,2)</f>
        <v>0</v>
      </c>
      <c r="O3333" s="22">
        <f>LARGE(E3334:E3359,3)</f>
        <v>0</v>
      </c>
      <c r="P3333" s="18">
        <f>LARGE(E3334:E3359,4)</f>
        <v>0</v>
      </c>
      <c r="Q3333" s="22">
        <f>LARGE(E3334:E3359,5)</f>
        <v>0</v>
      </c>
      <c r="R3333" s="22">
        <f>LARGE(E3334:E3359,6)</f>
        <v>0</v>
      </c>
      <c r="S3333" s="22">
        <f>LARGE(E3334:E3359,7)</f>
        <v>0</v>
      </c>
      <c r="T3333" s="18">
        <f>LARGE(E3334:E3359,8)</f>
        <v>0</v>
      </c>
      <c r="U3333" s="18">
        <f>LARGE(E3334:E3359,9)</f>
        <v>0</v>
      </c>
      <c r="V3333" s="18">
        <f>LARGE(E3334:E3359,10)</f>
        <v>0</v>
      </c>
      <c r="W3333" s="18">
        <f>LARGE(E3334:E3359,11)</f>
        <v>0</v>
      </c>
      <c r="X3333" s="18">
        <f>LARGE(E3334:E3359,12)</f>
        <v>0</v>
      </c>
      <c r="Y3333" s="18">
        <f>LARGE(E3334:E3359,13)</f>
        <v>0</v>
      </c>
      <c r="Z3333" s="18">
        <f>LARGE(E3334:E3359,14)</f>
        <v>0</v>
      </c>
      <c r="AA3333" s="18">
        <f>LARGE(E3334:E3359,15)</f>
        <v>0</v>
      </c>
      <c r="AB3333" s="18">
        <f>LARGE(E3334:E3359,16)</f>
        <v>0</v>
      </c>
      <c r="AC3333" s="18">
        <f>LARGE(E3334:E3359,17)</f>
        <v>0</v>
      </c>
      <c r="AD3333" s="18">
        <f>LARGE(E3334:E3360,13)</f>
        <v>0</v>
      </c>
      <c r="AE3333" s="18">
        <f>LARGE(E3334:E3359,19)</f>
        <v>0</v>
      </c>
      <c r="AF3333" s="18">
        <f>LARGE(E3334:E3359,20)</f>
        <v>0</v>
      </c>
      <c r="AG3333" s="18">
        <f>LARGE(E3334:E3359,21)</f>
        <v>0</v>
      </c>
      <c r="AH3333" s="18">
        <f>LARGE(E3334:E3359,22)</f>
        <v>0</v>
      </c>
      <c r="AI3333" s="18">
        <f>LARGE(E3334:E3359,23)</f>
        <v>0</v>
      </c>
      <c r="AJ3333" s="18">
        <f>LARGE(E3334:E3359,24)</f>
        <v>0</v>
      </c>
      <c r="AK3333" s="18">
        <f>LARGE(E3334:E3359,25)</f>
        <v>0</v>
      </c>
      <c r="AL3333" s="18">
        <f>LARGE(E3334:E3359,26)</f>
        <v>0</v>
      </c>
      <c r="AM3333" s="50">
        <f>COUNTIF(B3334:B3359,"&lt;&gt;"&amp;AH74)</f>
        <v>0</v>
      </c>
    </row>
    <row r="3334" spans="1:39">
      <c r="A3334" s="42" t="s">
        <v>246</v>
      </c>
      <c r="B3334" s="40" t="str">
        <f t="shared" ref="B3334:B3359" si="518">$AH$74</f>
        <v>No pick yet</v>
      </c>
      <c r="C3334" s="40" t="str">
        <f t="shared" si="517"/>
        <v>01-&gt;</v>
      </c>
      <c r="D3334" s="40" t="str">
        <f t="shared" ref="D3334:D3359" si="519">B3334&amp;REPT(" ",$AH$70-LEN(B3334))</f>
        <v xml:space="preserve">No pick yet                                                 </v>
      </c>
      <c r="E3334" s="52">
        <f t="shared" ref="E3334:E3359" si="520">VLOOKUP(RIGHT(B3334,LEN(B3334)-$AH$66),$H$138:$I$420,2,0)</f>
        <v>0</v>
      </c>
      <c r="F3334" s="18"/>
      <c r="M3334" s="18"/>
      <c r="N3334" s="18"/>
      <c r="O3334" s="18"/>
      <c r="P3334" s="18"/>
      <c r="Q3334" s="22"/>
      <c r="R3334" s="21"/>
      <c r="S3334" s="21"/>
      <c r="T3334" s="21"/>
      <c r="AA3334"/>
      <c r="AH3334" t="str">
        <f t="shared" ref="AH3334:AH3359" si="521">RIGHT(B3334,LEN(B3334)-$AH$66)</f>
        <v>k yet</v>
      </c>
    </row>
    <row r="3335" spans="1:39">
      <c r="A3335" s="42" t="s">
        <v>247</v>
      </c>
      <c r="B3335" s="40" t="str">
        <f t="shared" si="518"/>
        <v>No pick yet</v>
      </c>
      <c r="C3335" s="40" t="str">
        <f t="shared" si="517"/>
        <v>02-&gt;</v>
      </c>
      <c r="D3335" s="40" t="str">
        <f t="shared" si="519"/>
        <v xml:space="preserve">No pick yet                                                 </v>
      </c>
      <c r="E3335" s="52">
        <f t="shared" si="520"/>
        <v>0</v>
      </c>
      <c r="F3335" s="18"/>
      <c r="K3335" s="22"/>
      <c r="N3335" s="22"/>
      <c r="O3335" s="22"/>
      <c r="P3335" s="22"/>
      <c r="Q3335" s="22"/>
      <c r="R3335" s="22"/>
      <c r="S3335" s="22"/>
      <c r="Z3335" s="53"/>
      <c r="AA3335"/>
      <c r="AH3335" t="str">
        <f t="shared" si="521"/>
        <v>k yet</v>
      </c>
    </row>
    <row r="3336" spans="1:39">
      <c r="A3336" s="42" t="s">
        <v>248</v>
      </c>
      <c r="B3336" s="40" t="str">
        <f t="shared" si="518"/>
        <v>No pick yet</v>
      </c>
      <c r="C3336" s="40" t="str">
        <f t="shared" si="517"/>
        <v>03-&gt;</v>
      </c>
      <c r="D3336" s="40" t="str">
        <f t="shared" si="519"/>
        <v xml:space="preserve">No pick yet                                                 </v>
      </c>
      <c r="E3336" s="52">
        <f t="shared" si="520"/>
        <v>0</v>
      </c>
      <c r="F3336" s="18"/>
      <c r="L3336" s="21"/>
      <c r="N3336" s="22"/>
      <c r="O3336" s="22"/>
      <c r="P3336" s="18"/>
      <c r="Q3336" s="22"/>
      <c r="R3336" s="22"/>
      <c r="S3336" s="22"/>
      <c r="Z3336" s="53"/>
      <c r="AA3336"/>
      <c r="AH3336" t="str">
        <f t="shared" si="521"/>
        <v>k yet</v>
      </c>
    </row>
    <row r="3337" spans="1:39">
      <c r="A3337" s="42" t="s">
        <v>249</v>
      </c>
      <c r="B3337" s="40" t="str">
        <f t="shared" si="518"/>
        <v>No pick yet</v>
      </c>
      <c r="C3337" s="40" t="str">
        <f t="shared" si="517"/>
        <v>04-&gt;</v>
      </c>
      <c r="D3337" s="40" t="str">
        <f t="shared" si="519"/>
        <v xml:space="preserve">No pick yet                                                 </v>
      </c>
      <c r="E3337" s="52">
        <f t="shared" si="520"/>
        <v>0</v>
      </c>
      <c r="F3337" s="18"/>
      <c r="M3337" s="18"/>
      <c r="N3337" s="18"/>
      <c r="O3337" s="18"/>
      <c r="P3337" s="18"/>
      <c r="Q3337" s="22"/>
      <c r="R3337" s="21"/>
      <c r="S3337" s="21"/>
      <c r="T3337" s="21"/>
      <c r="AA3337"/>
      <c r="AH3337" t="str">
        <f t="shared" si="521"/>
        <v>k yet</v>
      </c>
    </row>
    <row r="3338" spans="1:39">
      <c r="A3338" s="42" t="s">
        <v>250</v>
      </c>
      <c r="B3338" s="40" t="str">
        <f t="shared" si="518"/>
        <v>No pick yet</v>
      </c>
      <c r="C3338" s="40" t="str">
        <f t="shared" si="517"/>
        <v>05-&gt;</v>
      </c>
      <c r="D3338" s="40" t="str">
        <f t="shared" si="519"/>
        <v xml:space="preserve">No pick yet                                                 </v>
      </c>
      <c r="E3338" s="52">
        <f t="shared" si="520"/>
        <v>0</v>
      </c>
      <c r="F3338" s="18"/>
      <c r="M3338" s="18"/>
      <c r="N3338" s="18"/>
      <c r="O3338" s="18"/>
      <c r="P3338" s="18"/>
      <c r="Q3338" s="22"/>
      <c r="R3338" s="21"/>
      <c r="S3338" s="21"/>
      <c r="T3338" s="21"/>
      <c r="AA3338"/>
      <c r="AH3338" t="str">
        <f t="shared" si="521"/>
        <v>k yet</v>
      </c>
    </row>
    <row r="3339" spans="1:39">
      <c r="A3339" s="42" t="s">
        <v>251</v>
      </c>
      <c r="B3339" s="40" t="str">
        <f t="shared" si="518"/>
        <v>No pick yet</v>
      </c>
      <c r="C3339" s="40" t="str">
        <f t="shared" si="517"/>
        <v>06-&gt;</v>
      </c>
      <c r="D3339" s="40" t="str">
        <f t="shared" si="519"/>
        <v xml:space="preserve">No pick yet                                                 </v>
      </c>
      <c r="E3339" s="52">
        <f t="shared" si="520"/>
        <v>0</v>
      </c>
      <c r="F3339" s="18"/>
      <c r="M3339" s="18"/>
      <c r="N3339" s="18"/>
      <c r="O3339" s="18"/>
      <c r="P3339" s="18"/>
      <c r="Q3339" s="22"/>
      <c r="R3339" s="21"/>
      <c r="S3339" s="21"/>
      <c r="T3339" s="21"/>
      <c r="AA3339"/>
      <c r="AH3339" t="str">
        <f t="shared" si="521"/>
        <v>k yet</v>
      </c>
    </row>
    <row r="3340" spans="1:39">
      <c r="A3340" s="42" t="s">
        <v>252</v>
      </c>
      <c r="B3340" s="40" t="str">
        <f t="shared" si="518"/>
        <v>No pick yet</v>
      </c>
      <c r="C3340" s="40" t="str">
        <f t="shared" si="517"/>
        <v>07-&gt;</v>
      </c>
      <c r="D3340" s="40" t="str">
        <f t="shared" si="519"/>
        <v xml:space="preserve">No pick yet                                                 </v>
      </c>
      <c r="E3340" s="52">
        <f t="shared" si="520"/>
        <v>0</v>
      </c>
      <c r="F3340" s="18"/>
      <c r="M3340" s="18"/>
      <c r="N3340" s="18"/>
      <c r="O3340" s="18"/>
      <c r="P3340" s="18"/>
      <c r="Q3340" s="22"/>
      <c r="R3340" s="21"/>
      <c r="S3340" s="21"/>
      <c r="T3340" s="21"/>
      <c r="AA3340"/>
      <c r="AH3340" t="str">
        <f t="shared" si="521"/>
        <v>k yet</v>
      </c>
    </row>
    <row r="3341" spans="1:39">
      <c r="A3341" s="42" t="s">
        <v>253</v>
      </c>
      <c r="B3341" s="40" t="str">
        <f t="shared" si="518"/>
        <v>No pick yet</v>
      </c>
      <c r="C3341" s="40" t="str">
        <f t="shared" si="517"/>
        <v>08-&gt;</v>
      </c>
      <c r="D3341" s="40" t="str">
        <f t="shared" si="519"/>
        <v xml:space="preserve">No pick yet                                                 </v>
      </c>
      <c r="E3341" s="52">
        <f t="shared" si="520"/>
        <v>0</v>
      </c>
      <c r="F3341" s="18"/>
      <c r="M3341" s="18"/>
      <c r="N3341" s="18"/>
      <c r="O3341" s="18"/>
      <c r="P3341" s="18"/>
      <c r="Q3341" s="22"/>
      <c r="R3341" s="21"/>
      <c r="S3341" s="21"/>
      <c r="T3341" s="21"/>
      <c r="AA3341"/>
      <c r="AH3341" t="str">
        <f t="shared" si="521"/>
        <v>k yet</v>
      </c>
    </row>
    <row r="3342" spans="1:39">
      <c r="A3342" s="42" t="s">
        <v>254</v>
      </c>
      <c r="B3342" s="40" t="str">
        <f t="shared" si="518"/>
        <v>No pick yet</v>
      </c>
      <c r="C3342" s="40" t="str">
        <f t="shared" si="517"/>
        <v>09-&gt;</v>
      </c>
      <c r="D3342" s="40" t="str">
        <f t="shared" si="519"/>
        <v xml:space="preserve">No pick yet                                                 </v>
      </c>
      <c r="E3342" s="52">
        <f t="shared" si="520"/>
        <v>0</v>
      </c>
      <c r="F3342" s="18"/>
      <c r="M3342" s="18"/>
      <c r="N3342" s="18"/>
      <c r="O3342" s="18"/>
      <c r="P3342" s="18"/>
      <c r="Q3342" s="22"/>
      <c r="R3342" s="21"/>
      <c r="S3342" s="21"/>
      <c r="T3342" s="21"/>
      <c r="AA3342"/>
      <c r="AH3342" t="str">
        <f t="shared" si="521"/>
        <v>k yet</v>
      </c>
    </row>
    <row r="3343" spans="1:39">
      <c r="A3343" s="42" t="s">
        <v>255</v>
      </c>
      <c r="B3343" s="40" t="str">
        <f t="shared" si="518"/>
        <v>No pick yet</v>
      </c>
      <c r="C3343" s="40" t="str">
        <f t="shared" si="517"/>
        <v>10-&gt;</v>
      </c>
      <c r="D3343" s="40" t="str">
        <f t="shared" si="519"/>
        <v xml:space="preserve">No pick yet                                                 </v>
      </c>
      <c r="E3343" s="52">
        <f t="shared" si="520"/>
        <v>0</v>
      </c>
      <c r="F3343" s="22"/>
      <c r="M3343" s="18"/>
      <c r="N3343" s="18"/>
      <c r="O3343" s="18"/>
      <c r="P3343" s="18"/>
      <c r="Q3343" s="22"/>
      <c r="R3343" s="21"/>
      <c r="S3343" s="21"/>
      <c r="T3343" s="21"/>
      <c r="AA3343"/>
      <c r="AH3343" t="str">
        <f t="shared" si="521"/>
        <v>k yet</v>
      </c>
    </row>
    <row r="3344" spans="1:39">
      <c r="A3344" s="42" t="s">
        <v>256</v>
      </c>
      <c r="B3344" s="40" t="str">
        <f t="shared" si="518"/>
        <v>No pick yet</v>
      </c>
      <c r="C3344" s="40" t="str">
        <f t="shared" si="517"/>
        <v>11-&gt;</v>
      </c>
      <c r="D3344" s="40" t="str">
        <f t="shared" si="519"/>
        <v xml:space="preserve">No pick yet                                                 </v>
      </c>
      <c r="E3344" s="52">
        <f t="shared" si="520"/>
        <v>0</v>
      </c>
      <c r="M3344" s="18"/>
      <c r="N3344" s="18"/>
      <c r="O3344" s="18"/>
      <c r="P3344" s="18"/>
      <c r="Q3344" s="22"/>
      <c r="R3344" s="21"/>
      <c r="S3344" s="21"/>
      <c r="T3344" s="21"/>
      <c r="AA3344"/>
      <c r="AH3344" t="str">
        <f t="shared" si="521"/>
        <v>k yet</v>
      </c>
    </row>
    <row r="3345" spans="1:39">
      <c r="A3345" s="42" t="s">
        <v>257</v>
      </c>
      <c r="B3345" s="40" t="str">
        <f t="shared" si="518"/>
        <v>No pick yet</v>
      </c>
      <c r="C3345" s="40" t="str">
        <f t="shared" si="517"/>
        <v>12-&gt;</v>
      </c>
      <c r="D3345" s="40" t="str">
        <f t="shared" si="519"/>
        <v xml:space="preserve">No pick yet                                                 </v>
      </c>
      <c r="E3345" s="52">
        <f t="shared" si="520"/>
        <v>0</v>
      </c>
      <c r="M3345" s="18"/>
      <c r="N3345" s="18"/>
      <c r="O3345" s="18"/>
      <c r="P3345" s="18"/>
      <c r="Q3345" s="22"/>
      <c r="R3345" s="21"/>
      <c r="S3345" s="21"/>
      <c r="T3345" s="21"/>
      <c r="AA3345"/>
      <c r="AH3345" t="str">
        <f t="shared" si="521"/>
        <v>k yet</v>
      </c>
    </row>
    <row r="3346" spans="1:39">
      <c r="A3346" s="42" t="s">
        <v>258</v>
      </c>
      <c r="B3346" s="40" t="str">
        <f t="shared" si="518"/>
        <v>No pick yet</v>
      </c>
      <c r="C3346" s="40" t="str">
        <f t="shared" si="517"/>
        <v>13-&gt;</v>
      </c>
      <c r="D3346" s="40" t="str">
        <f t="shared" si="519"/>
        <v xml:space="preserve">No pick yet                                                 </v>
      </c>
      <c r="E3346" s="52">
        <f t="shared" si="520"/>
        <v>0</v>
      </c>
      <c r="M3346" s="18"/>
      <c r="N3346" s="18"/>
      <c r="O3346" s="18"/>
      <c r="P3346" s="18"/>
      <c r="Q3346" s="22"/>
      <c r="R3346" s="21"/>
      <c r="S3346" s="21"/>
      <c r="T3346" s="21"/>
      <c r="AA3346"/>
      <c r="AH3346" t="str">
        <f t="shared" si="521"/>
        <v>k yet</v>
      </c>
    </row>
    <row r="3347" spans="1:39">
      <c r="A3347" s="42" t="s">
        <v>259</v>
      </c>
      <c r="B3347" s="40" t="str">
        <f t="shared" si="518"/>
        <v>No pick yet</v>
      </c>
      <c r="C3347" s="40" t="str">
        <f t="shared" si="517"/>
        <v>14-&gt;</v>
      </c>
      <c r="D3347" s="40" t="str">
        <f t="shared" si="519"/>
        <v xml:space="preserve">No pick yet                                                 </v>
      </c>
      <c r="E3347" s="52">
        <f t="shared" si="520"/>
        <v>0</v>
      </c>
      <c r="M3347" s="18"/>
      <c r="N3347" s="18"/>
      <c r="O3347" s="18"/>
      <c r="P3347" s="18"/>
      <c r="Q3347" s="22"/>
      <c r="R3347" s="21"/>
      <c r="S3347" s="21"/>
      <c r="T3347" s="21"/>
      <c r="AA3347"/>
      <c r="AH3347" t="str">
        <f t="shared" si="521"/>
        <v>k yet</v>
      </c>
    </row>
    <row r="3348" spans="1:39">
      <c r="A3348" s="42" t="s">
        <v>260</v>
      </c>
      <c r="B3348" s="40" t="str">
        <f t="shared" si="518"/>
        <v>No pick yet</v>
      </c>
      <c r="C3348" s="40" t="str">
        <f t="shared" si="517"/>
        <v>15-&gt;</v>
      </c>
      <c r="D3348" s="40" t="str">
        <f t="shared" si="519"/>
        <v xml:space="preserve">No pick yet                                                 </v>
      </c>
      <c r="E3348" s="52">
        <f t="shared" si="520"/>
        <v>0</v>
      </c>
      <c r="M3348" s="18"/>
      <c r="N3348" s="18"/>
      <c r="O3348" s="18"/>
      <c r="P3348" s="18"/>
      <c r="Q3348" s="22"/>
      <c r="R3348" s="21"/>
      <c r="S3348" s="21"/>
      <c r="T3348" s="21"/>
      <c r="AA3348"/>
      <c r="AH3348" t="str">
        <f t="shared" si="521"/>
        <v>k yet</v>
      </c>
    </row>
    <row r="3349" spans="1:39">
      <c r="A3349" s="42" t="s">
        <v>261</v>
      </c>
      <c r="B3349" s="40" t="str">
        <f t="shared" si="518"/>
        <v>No pick yet</v>
      </c>
      <c r="C3349" s="40" t="str">
        <f t="shared" si="517"/>
        <v>16-&gt;</v>
      </c>
      <c r="D3349" s="40" t="str">
        <f t="shared" si="519"/>
        <v xml:space="preserve">No pick yet                                                 </v>
      </c>
      <c r="E3349" s="52">
        <f t="shared" si="520"/>
        <v>0</v>
      </c>
      <c r="M3349" s="18"/>
      <c r="N3349" s="18"/>
      <c r="O3349" s="18"/>
      <c r="P3349" s="18"/>
      <c r="Q3349" s="22"/>
      <c r="R3349" s="21"/>
      <c r="S3349" s="21"/>
      <c r="T3349" s="21"/>
      <c r="AA3349"/>
      <c r="AH3349" t="str">
        <f t="shared" si="521"/>
        <v>k yet</v>
      </c>
    </row>
    <row r="3350" spans="1:39">
      <c r="A3350" s="42" t="s">
        <v>262</v>
      </c>
      <c r="B3350" s="40" t="str">
        <f t="shared" si="518"/>
        <v>No pick yet</v>
      </c>
      <c r="C3350" s="40" t="str">
        <f t="shared" si="517"/>
        <v>17-&gt;</v>
      </c>
      <c r="D3350" s="40" t="str">
        <f t="shared" si="519"/>
        <v xml:space="preserve">No pick yet                                                 </v>
      </c>
      <c r="E3350" s="52">
        <f t="shared" si="520"/>
        <v>0</v>
      </c>
      <c r="K3350" s="22"/>
      <c r="N3350" s="22"/>
      <c r="O3350" s="22"/>
      <c r="P3350" s="22"/>
      <c r="Q3350" s="22"/>
      <c r="R3350" s="22"/>
      <c r="S3350" s="22"/>
      <c r="Z3350" s="53"/>
      <c r="AA3350"/>
      <c r="AH3350" t="str">
        <f t="shared" si="521"/>
        <v>k yet</v>
      </c>
    </row>
    <row r="3351" spans="1:39">
      <c r="A3351" s="42" t="s">
        <v>263</v>
      </c>
      <c r="B3351" s="40" t="str">
        <f t="shared" si="518"/>
        <v>No pick yet</v>
      </c>
      <c r="C3351" s="40" t="str">
        <f t="shared" si="517"/>
        <v>18-&gt;</v>
      </c>
      <c r="D3351" s="40" t="str">
        <f t="shared" si="519"/>
        <v xml:space="preserve">No pick yet                                                 </v>
      </c>
      <c r="E3351" s="52">
        <f t="shared" si="520"/>
        <v>0</v>
      </c>
      <c r="F3351" s="18"/>
      <c r="L3351" s="21"/>
      <c r="N3351" s="22"/>
      <c r="O3351" s="22"/>
      <c r="P3351" s="18"/>
      <c r="Q3351" s="22"/>
      <c r="R3351" s="22"/>
      <c r="S3351" s="22"/>
      <c r="Z3351" s="53"/>
      <c r="AA3351"/>
      <c r="AH3351" t="str">
        <f t="shared" si="521"/>
        <v>k yet</v>
      </c>
    </row>
    <row r="3352" spans="1:39">
      <c r="A3352" s="42" t="s">
        <v>264</v>
      </c>
      <c r="B3352" s="40" t="str">
        <f t="shared" si="518"/>
        <v>No pick yet</v>
      </c>
      <c r="C3352" s="40" t="str">
        <f t="shared" si="517"/>
        <v>19-&gt;</v>
      </c>
      <c r="D3352" s="40" t="str">
        <f t="shared" si="519"/>
        <v xml:space="preserve">No pick yet                                                 </v>
      </c>
      <c r="E3352" s="52">
        <f t="shared" si="520"/>
        <v>0</v>
      </c>
      <c r="F3352" s="18"/>
      <c r="M3352" s="18"/>
      <c r="N3352" s="18"/>
      <c r="O3352" s="18"/>
      <c r="P3352" s="18"/>
      <c r="Q3352" s="22"/>
      <c r="R3352" s="21"/>
      <c r="S3352" s="21"/>
      <c r="T3352" s="21"/>
      <c r="AA3352"/>
      <c r="AH3352" t="str">
        <f t="shared" si="521"/>
        <v>k yet</v>
      </c>
    </row>
    <row r="3353" spans="1:39">
      <c r="A3353" s="42" t="s">
        <v>265</v>
      </c>
      <c r="B3353" s="40" t="str">
        <f t="shared" si="518"/>
        <v>No pick yet</v>
      </c>
      <c r="C3353" s="40" t="str">
        <f t="shared" si="517"/>
        <v>20-&gt;</v>
      </c>
      <c r="D3353" s="40" t="str">
        <f t="shared" si="519"/>
        <v xml:space="preserve">No pick yet                                                 </v>
      </c>
      <c r="E3353" s="52">
        <f t="shared" si="520"/>
        <v>0</v>
      </c>
      <c r="F3353" s="18"/>
      <c r="M3353" s="18"/>
      <c r="N3353" s="18"/>
      <c r="O3353" s="18"/>
      <c r="P3353" s="18"/>
      <c r="Q3353" s="22"/>
      <c r="R3353" s="21"/>
      <c r="S3353" s="21"/>
      <c r="T3353" s="21"/>
      <c r="AA3353"/>
      <c r="AH3353" t="str">
        <f t="shared" si="521"/>
        <v>k yet</v>
      </c>
    </row>
    <row r="3354" spans="1:39">
      <c r="A3354" s="42" t="s">
        <v>266</v>
      </c>
      <c r="B3354" s="40" t="str">
        <f t="shared" si="518"/>
        <v>No pick yet</v>
      </c>
      <c r="C3354" s="40" t="str">
        <f t="shared" si="517"/>
        <v>21-&gt;</v>
      </c>
      <c r="D3354" s="40" t="str">
        <f t="shared" si="519"/>
        <v xml:space="preserve">No pick yet                                                 </v>
      </c>
      <c r="E3354" s="52">
        <f t="shared" si="520"/>
        <v>0</v>
      </c>
      <c r="F3354" s="18"/>
      <c r="M3354" s="18"/>
      <c r="N3354" s="18"/>
      <c r="O3354" s="18"/>
      <c r="P3354" s="18"/>
      <c r="Q3354" s="22"/>
      <c r="R3354" s="21"/>
      <c r="S3354" s="21"/>
      <c r="T3354" s="21"/>
      <c r="AA3354"/>
      <c r="AH3354" t="str">
        <f t="shared" si="521"/>
        <v>k yet</v>
      </c>
    </row>
    <row r="3355" spans="1:39">
      <c r="A3355" s="42" t="s">
        <v>267</v>
      </c>
      <c r="B3355" s="40" t="str">
        <f t="shared" si="518"/>
        <v>No pick yet</v>
      </c>
      <c r="C3355" s="40" t="str">
        <f t="shared" si="517"/>
        <v>22-&gt;</v>
      </c>
      <c r="D3355" s="40" t="str">
        <f t="shared" si="519"/>
        <v xml:space="preserve">No pick yet                                                 </v>
      </c>
      <c r="E3355" s="52">
        <f t="shared" si="520"/>
        <v>0</v>
      </c>
      <c r="F3355" s="18"/>
      <c r="M3355" s="18"/>
      <c r="N3355" s="18"/>
      <c r="O3355" s="18"/>
      <c r="P3355" s="18"/>
      <c r="Q3355" s="22"/>
      <c r="R3355" s="21"/>
      <c r="S3355" s="21"/>
      <c r="T3355" s="21"/>
      <c r="AA3355"/>
      <c r="AH3355" t="str">
        <f t="shared" si="521"/>
        <v>k yet</v>
      </c>
    </row>
    <row r="3356" spans="1:39">
      <c r="A3356" s="42" t="s">
        <v>268</v>
      </c>
      <c r="B3356" s="40" t="str">
        <f t="shared" si="518"/>
        <v>No pick yet</v>
      </c>
      <c r="C3356" s="40" t="str">
        <f t="shared" si="517"/>
        <v>23-&gt;</v>
      </c>
      <c r="D3356" s="40" t="str">
        <f t="shared" si="519"/>
        <v xml:space="preserve">No pick yet                                                 </v>
      </c>
      <c r="E3356" s="52">
        <f t="shared" si="520"/>
        <v>0</v>
      </c>
      <c r="F3356" s="18"/>
      <c r="M3356" s="18"/>
      <c r="N3356" s="18"/>
      <c r="O3356" s="18"/>
      <c r="P3356" s="18"/>
      <c r="Q3356" s="22"/>
      <c r="R3356" s="21"/>
      <c r="S3356" s="21"/>
      <c r="T3356" s="21"/>
      <c r="AA3356"/>
      <c r="AH3356" t="str">
        <f t="shared" si="521"/>
        <v>k yet</v>
      </c>
    </row>
    <row r="3357" spans="1:39">
      <c r="A3357" s="42" t="s">
        <v>269</v>
      </c>
      <c r="B3357" s="40" t="str">
        <f t="shared" si="518"/>
        <v>No pick yet</v>
      </c>
      <c r="C3357" s="40" t="str">
        <f t="shared" si="517"/>
        <v>24-&gt;</v>
      </c>
      <c r="D3357" s="40" t="str">
        <f t="shared" si="519"/>
        <v xml:space="preserve">No pick yet                                                 </v>
      </c>
      <c r="E3357" s="52">
        <f t="shared" si="520"/>
        <v>0</v>
      </c>
      <c r="F3357" s="18"/>
      <c r="M3357" s="18"/>
      <c r="N3357" s="18"/>
      <c r="O3357" s="18"/>
      <c r="P3357" s="18"/>
      <c r="Q3357" s="22"/>
      <c r="R3357" s="21"/>
      <c r="S3357" s="21"/>
      <c r="T3357" s="21"/>
      <c r="AA3357"/>
      <c r="AH3357" t="str">
        <f t="shared" si="521"/>
        <v>k yet</v>
      </c>
    </row>
    <row r="3358" spans="1:39">
      <c r="A3358" s="42" t="s">
        <v>270</v>
      </c>
      <c r="B3358" s="40" t="str">
        <f t="shared" si="518"/>
        <v>No pick yet</v>
      </c>
      <c r="C3358" s="40" t="str">
        <f t="shared" si="517"/>
        <v>25-&gt;</v>
      </c>
      <c r="D3358" s="40" t="str">
        <f t="shared" si="519"/>
        <v xml:space="preserve">No pick yet                                                 </v>
      </c>
      <c r="E3358" s="52">
        <f t="shared" si="520"/>
        <v>0</v>
      </c>
      <c r="F3358" s="18"/>
      <c r="M3358" s="18"/>
      <c r="N3358" s="18"/>
      <c r="O3358" s="18"/>
      <c r="P3358" s="18"/>
      <c r="Q3358" s="22"/>
      <c r="R3358" s="21"/>
      <c r="S3358" s="21"/>
      <c r="T3358" s="21"/>
      <c r="AA3358"/>
      <c r="AH3358" t="str">
        <f t="shared" si="521"/>
        <v>k yet</v>
      </c>
    </row>
    <row r="3359" spans="1:39">
      <c r="A3359" s="42" t="s">
        <v>271</v>
      </c>
      <c r="B3359" s="40" t="str">
        <f t="shared" si="518"/>
        <v>No pick yet</v>
      </c>
      <c r="C3359" s="40" t="str">
        <f t="shared" si="517"/>
        <v>26-&gt;</v>
      </c>
      <c r="D3359" s="40" t="str">
        <f t="shared" si="519"/>
        <v xml:space="preserve">No pick yet                                                 </v>
      </c>
      <c r="E3359" s="52">
        <f t="shared" si="520"/>
        <v>0</v>
      </c>
      <c r="F3359" s="18"/>
      <c r="M3359" s="18"/>
      <c r="N3359" s="18"/>
      <c r="O3359" s="18"/>
      <c r="P3359" s="18"/>
      <c r="Q3359" s="22"/>
      <c r="R3359" s="21"/>
      <c r="S3359" s="21"/>
      <c r="T3359" s="21"/>
      <c r="AA3359"/>
      <c r="AH3359" t="str">
        <f t="shared" si="521"/>
        <v>k yet</v>
      </c>
    </row>
    <row r="3360" spans="1:39">
      <c r="A3360" s="38"/>
      <c r="B3360" s="40"/>
      <c r="C3360" s="40"/>
      <c r="D3360" s="49"/>
      <c r="E3360" s="41" t="s">
        <v>69</v>
      </c>
      <c r="F3360" s="18"/>
      <c r="K3360" s="22" t="s">
        <v>73</v>
      </c>
      <c r="L3360" s="18" t="s">
        <v>74</v>
      </c>
      <c r="M3360" s="22" t="s">
        <v>78</v>
      </c>
      <c r="N3360" s="22" t="s">
        <v>79</v>
      </c>
      <c r="O3360" s="22" t="s">
        <v>80</v>
      </c>
      <c r="P3360" s="22" t="s">
        <v>81</v>
      </c>
      <c r="Q3360" s="22" t="s">
        <v>82</v>
      </c>
      <c r="R3360" s="22" t="s">
        <v>83</v>
      </c>
      <c r="S3360" s="22" t="s">
        <v>84</v>
      </c>
      <c r="T3360" s="18" t="s">
        <v>85</v>
      </c>
      <c r="U3360" s="18" t="s">
        <v>86</v>
      </c>
      <c r="V3360" s="18" t="s">
        <v>87</v>
      </c>
      <c r="W3360" s="18" t="s">
        <v>88</v>
      </c>
      <c r="X3360" s="18" t="s">
        <v>89</v>
      </c>
      <c r="Y3360" s="18" t="s">
        <v>90</v>
      </c>
      <c r="Z3360" s="18" t="s">
        <v>91</v>
      </c>
      <c r="AA3360" s="18" t="s">
        <v>92</v>
      </c>
      <c r="AB3360" s="18" t="s">
        <v>93</v>
      </c>
      <c r="AC3360" s="18" t="s">
        <v>94</v>
      </c>
      <c r="AD3360" s="18" t="s">
        <v>235</v>
      </c>
      <c r="AE3360" s="18" t="s">
        <v>236</v>
      </c>
      <c r="AF3360" s="18" t="s">
        <v>237</v>
      </c>
      <c r="AG3360" s="18" t="s">
        <v>238</v>
      </c>
      <c r="AH3360" s="18" t="s">
        <v>239</v>
      </c>
      <c r="AI3360" s="18" t="s">
        <v>240</v>
      </c>
      <c r="AJ3360" s="18" t="s">
        <v>241</v>
      </c>
      <c r="AK3360" s="18" t="s">
        <v>242</v>
      </c>
      <c r="AL3360" s="18" t="s">
        <v>243</v>
      </c>
      <c r="AM3360" s="50" t="s">
        <v>244</v>
      </c>
    </row>
    <row r="3361" spans="1:39">
      <c r="A3361" s="40" t="s">
        <v>245</v>
      </c>
      <c r="B3361" s="51" t="str">
        <f>D119</f>
        <v/>
      </c>
      <c r="C3361" s="40" t="str">
        <f t="shared" ref="C3361:C3387" si="522">A3361</f>
        <v>#</v>
      </c>
      <c r="D3361" s="40" t="str">
        <f>"   "&amp;B3361&amp;REPT(" ",$AH$70-LEN(B3361)-3)</f>
        <v xml:space="preserve">                                                            </v>
      </c>
      <c r="E3361" s="38" t="str">
        <f>SUM(E3362:E3387)&amp;" pts[/b]"</f>
        <v>0 pts[/b]</v>
      </c>
      <c r="F3361" s="21">
        <f>SUM(E3362:E3387)</f>
        <v>0</v>
      </c>
      <c r="K3361" s="18">
        <f>COUNTIF(E3362:E3387,"&gt;0")</f>
        <v>0</v>
      </c>
      <c r="L3361" s="21">
        <f>AM3361-K3361</f>
        <v>0</v>
      </c>
      <c r="M3361" s="22">
        <f>MAX(E3362:E3387)</f>
        <v>0</v>
      </c>
      <c r="N3361" s="22">
        <f>LARGE(E3362:E3387,2)</f>
        <v>0</v>
      </c>
      <c r="O3361" s="22">
        <f>LARGE(E3362:E3387,3)</f>
        <v>0</v>
      </c>
      <c r="P3361" s="18">
        <f>LARGE(E3362:E3387,4)</f>
        <v>0</v>
      </c>
      <c r="Q3361" s="22">
        <f>LARGE(E3362:E3387,5)</f>
        <v>0</v>
      </c>
      <c r="R3361" s="22">
        <f>LARGE(E3362:E3387,6)</f>
        <v>0</v>
      </c>
      <c r="S3361" s="22">
        <f>LARGE(E3362:E3387,7)</f>
        <v>0</v>
      </c>
      <c r="T3361" s="18">
        <f>LARGE(E3362:E3387,8)</f>
        <v>0</v>
      </c>
      <c r="U3361" s="18">
        <f>LARGE(E3362:E3387,9)</f>
        <v>0</v>
      </c>
      <c r="V3361" s="18">
        <f>LARGE(E3362:E3387,10)</f>
        <v>0</v>
      </c>
      <c r="W3361" s="18">
        <f>LARGE(E3362:E3387,11)</f>
        <v>0</v>
      </c>
      <c r="X3361" s="18">
        <f>LARGE(E3362:E3387,12)</f>
        <v>0</v>
      </c>
      <c r="Y3361" s="18">
        <f>LARGE(E3362:E3387,13)</f>
        <v>0</v>
      </c>
      <c r="Z3361" s="18">
        <f>LARGE(E3362:E3387,14)</f>
        <v>0</v>
      </c>
      <c r="AA3361" s="18">
        <f>LARGE(E3362:E3387,15)</f>
        <v>0</v>
      </c>
      <c r="AB3361" s="18">
        <f>LARGE(E3362:E3387,16)</f>
        <v>0</v>
      </c>
      <c r="AC3361" s="18">
        <f>LARGE(E3362:E3387,17)</f>
        <v>0</v>
      </c>
      <c r="AD3361" s="18">
        <f>LARGE(E3362:E3388,13)</f>
        <v>0</v>
      </c>
      <c r="AE3361" s="18">
        <f>LARGE(E3362:E3387,19)</f>
        <v>0</v>
      </c>
      <c r="AF3361" s="18">
        <f>LARGE(E3362:E3387,20)</f>
        <v>0</v>
      </c>
      <c r="AG3361" s="18">
        <f>LARGE(E3362:E3387,21)</f>
        <v>0</v>
      </c>
      <c r="AH3361" s="18">
        <f>LARGE(E3362:E3387,22)</f>
        <v>0</v>
      </c>
      <c r="AI3361" s="18">
        <f>LARGE(E3362:E3387,23)</f>
        <v>0</v>
      </c>
      <c r="AJ3361" s="18">
        <f>LARGE(E3362:E3387,24)</f>
        <v>0</v>
      </c>
      <c r="AK3361" s="18">
        <f>LARGE(E3362:E3387,25)</f>
        <v>0</v>
      </c>
      <c r="AL3361" s="18">
        <f>LARGE(E3362:E3387,26)</f>
        <v>0</v>
      </c>
      <c r="AM3361" s="50">
        <f>COUNTIF(B3362:B3387,"&lt;&gt;"&amp;AH74)</f>
        <v>0</v>
      </c>
    </row>
    <row r="3362" spans="1:39">
      <c r="A3362" s="42" t="s">
        <v>246</v>
      </c>
      <c r="B3362" s="40" t="str">
        <f t="shared" ref="B3362:B3387" si="523">$AH$74</f>
        <v>No pick yet</v>
      </c>
      <c r="C3362" s="40" t="str">
        <f t="shared" si="522"/>
        <v>01-&gt;</v>
      </c>
      <c r="D3362" s="40" t="str">
        <f t="shared" ref="D3362:D3387" si="524">B3362&amp;REPT(" ",$AH$70-LEN(B3362))</f>
        <v xml:space="preserve">No pick yet                                                 </v>
      </c>
      <c r="E3362" s="52">
        <f t="shared" ref="E3362:E3387" si="525">VLOOKUP(RIGHT(B3362,LEN(B3362)-$AH$66),$H$138:$I$420,2,0)</f>
        <v>0</v>
      </c>
      <c r="F3362" s="18"/>
      <c r="M3362" s="18"/>
      <c r="N3362" s="18"/>
      <c r="O3362" s="18"/>
      <c r="P3362" s="18"/>
      <c r="Q3362" s="22"/>
      <c r="R3362" s="21"/>
      <c r="S3362" s="21"/>
      <c r="T3362" s="21"/>
      <c r="AA3362"/>
      <c r="AH3362" t="str">
        <f t="shared" ref="AH3362:AH3387" si="526">RIGHT(B3362,LEN(B3362)-$AH$66)</f>
        <v>k yet</v>
      </c>
    </row>
    <row r="3363" spans="1:39">
      <c r="A3363" s="42" t="s">
        <v>247</v>
      </c>
      <c r="B3363" s="40" t="str">
        <f t="shared" si="523"/>
        <v>No pick yet</v>
      </c>
      <c r="C3363" s="40" t="str">
        <f t="shared" si="522"/>
        <v>02-&gt;</v>
      </c>
      <c r="D3363" s="40" t="str">
        <f t="shared" si="524"/>
        <v xml:space="preserve">No pick yet                                                 </v>
      </c>
      <c r="E3363" s="52">
        <f t="shared" si="525"/>
        <v>0</v>
      </c>
      <c r="F3363" s="18"/>
      <c r="K3363" s="22"/>
      <c r="N3363" s="22"/>
      <c r="O3363" s="22"/>
      <c r="P3363" s="22"/>
      <c r="Q3363" s="22"/>
      <c r="R3363" s="22"/>
      <c r="S3363" s="22"/>
      <c r="Z3363" s="53"/>
      <c r="AA3363"/>
      <c r="AH3363" t="str">
        <f t="shared" si="526"/>
        <v>k yet</v>
      </c>
    </row>
    <row r="3364" spans="1:39">
      <c r="A3364" s="42" t="s">
        <v>248</v>
      </c>
      <c r="B3364" s="40" t="str">
        <f t="shared" si="523"/>
        <v>No pick yet</v>
      </c>
      <c r="C3364" s="40" t="str">
        <f t="shared" si="522"/>
        <v>03-&gt;</v>
      </c>
      <c r="D3364" s="40" t="str">
        <f t="shared" si="524"/>
        <v xml:space="preserve">No pick yet                                                 </v>
      </c>
      <c r="E3364" s="52">
        <f t="shared" si="525"/>
        <v>0</v>
      </c>
      <c r="F3364" s="18"/>
      <c r="L3364" s="21"/>
      <c r="N3364" s="22"/>
      <c r="O3364" s="22"/>
      <c r="P3364" s="18"/>
      <c r="Q3364" s="22"/>
      <c r="R3364" s="22"/>
      <c r="S3364" s="22"/>
      <c r="Z3364" s="53"/>
      <c r="AA3364"/>
      <c r="AH3364" t="str">
        <f t="shared" si="526"/>
        <v>k yet</v>
      </c>
    </row>
    <row r="3365" spans="1:39">
      <c r="A3365" s="42" t="s">
        <v>249</v>
      </c>
      <c r="B3365" s="40" t="str">
        <f t="shared" si="523"/>
        <v>No pick yet</v>
      </c>
      <c r="C3365" s="40" t="str">
        <f t="shared" si="522"/>
        <v>04-&gt;</v>
      </c>
      <c r="D3365" s="40" t="str">
        <f t="shared" si="524"/>
        <v xml:space="preserve">No pick yet                                                 </v>
      </c>
      <c r="E3365" s="52">
        <f t="shared" si="525"/>
        <v>0</v>
      </c>
      <c r="F3365" s="18"/>
      <c r="M3365" s="18"/>
      <c r="N3365" s="18"/>
      <c r="O3365" s="18"/>
      <c r="P3365" s="18"/>
      <c r="Q3365" s="22"/>
      <c r="R3365" s="21"/>
      <c r="S3365" s="21"/>
      <c r="T3365" s="21"/>
      <c r="AA3365"/>
      <c r="AH3365" t="str">
        <f t="shared" si="526"/>
        <v>k yet</v>
      </c>
    </row>
    <row r="3366" spans="1:39">
      <c r="A3366" s="42" t="s">
        <v>250</v>
      </c>
      <c r="B3366" s="40" t="str">
        <f t="shared" si="523"/>
        <v>No pick yet</v>
      </c>
      <c r="C3366" s="40" t="str">
        <f t="shared" si="522"/>
        <v>05-&gt;</v>
      </c>
      <c r="D3366" s="40" t="str">
        <f t="shared" si="524"/>
        <v xml:space="preserve">No pick yet                                                 </v>
      </c>
      <c r="E3366" s="52">
        <f t="shared" si="525"/>
        <v>0</v>
      </c>
      <c r="F3366" s="18"/>
      <c r="M3366" s="18"/>
      <c r="N3366" s="18"/>
      <c r="O3366" s="18"/>
      <c r="P3366" s="18"/>
      <c r="Q3366" s="22"/>
      <c r="R3366" s="21"/>
      <c r="S3366" s="21"/>
      <c r="T3366" s="21"/>
      <c r="AA3366"/>
      <c r="AH3366" t="str">
        <f t="shared" si="526"/>
        <v>k yet</v>
      </c>
    </row>
    <row r="3367" spans="1:39">
      <c r="A3367" s="42" t="s">
        <v>251</v>
      </c>
      <c r="B3367" s="40" t="str">
        <f t="shared" si="523"/>
        <v>No pick yet</v>
      </c>
      <c r="C3367" s="40" t="str">
        <f t="shared" si="522"/>
        <v>06-&gt;</v>
      </c>
      <c r="D3367" s="40" t="str">
        <f t="shared" si="524"/>
        <v xml:space="preserve">No pick yet                                                 </v>
      </c>
      <c r="E3367" s="52">
        <f t="shared" si="525"/>
        <v>0</v>
      </c>
      <c r="F3367" s="18"/>
      <c r="M3367" s="18"/>
      <c r="N3367" s="18"/>
      <c r="O3367" s="18"/>
      <c r="P3367" s="18"/>
      <c r="Q3367" s="22"/>
      <c r="R3367" s="21"/>
      <c r="S3367" s="21"/>
      <c r="T3367" s="21"/>
      <c r="AA3367"/>
      <c r="AH3367" t="str">
        <f t="shared" si="526"/>
        <v>k yet</v>
      </c>
    </row>
    <row r="3368" spans="1:39">
      <c r="A3368" s="42" t="s">
        <v>252</v>
      </c>
      <c r="B3368" s="40" t="str">
        <f t="shared" si="523"/>
        <v>No pick yet</v>
      </c>
      <c r="C3368" s="40" t="str">
        <f t="shared" si="522"/>
        <v>07-&gt;</v>
      </c>
      <c r="D3368" s="40" t="str">
        <f t="shared" si="524"/>
        <v xml:space="preserve">No pick yet                                                 </v>
      </c>
      <c r="E3368" s="52">
        <f t="shared" si="525"/>
        <v>0</v>
      </c>
      <c r="F3368" s="18"/>
      <c r="M3368" s="18"/>
      <c r="N3368" s="18"/>
      <c r="O3368" s="18"/>
      <c r="P3368" s="18"/>
      <c r="Q3368" s="22"/>
      <c r="R3368" s="21"/>
      <c r="S3368" s="21"/>
      <c r="T3368" s="21"/>
      <c r="AA3368"/>
      <c r="AH3368" t="str">
        <f t="shared" si="526"/>
        <v>k yet</v>
      </c>
    </row>
    <row r="3369" spans="1:39">
      <c r="A3369" s="42" t="s">
        <v>253</v>
      </c>
      <c r="B3369" s="40" t="str">
        <f t="shared" si="523"/>
        <v>No pick yet</v>
      </c>
      <c r="C3369" s="40" t="str">
        <f t="shared" si="522"/>
        <v>08-&gt;</v>
      </c>
      <c r="D3369" s="40" t="str">
        <f t="shared" si="524"/>
        <v xml:space="preserve">No pick yet                                                 </v>
      </c>
      <c r="E3369" s="52">
        <f t="shared" si="525"/>
        <v>0</v>
      </c>
      <c r="F3369" s="18"/>
      <c r="M3369" s="18"/>
      <c r="N3369" s="18"/>
      <c r="O3369" s="18"/>
      <c r="P3369" s="18"/>
      <c r="Q3369" s="22"/>
      <c r="R3369" s="21"/>
      <c r="S3369" s="21"/>
      <c r="T3369" s="21"/>
      <c r="AA3369"/>
      <c r="AH3369" t="str">
        <f t="shared" si="526"/>
        <v>k yet</v>
      </c>
    </row>
    <row r="3370" spans="1:39">
      <c r="A3370" s="42" t="s">
        <v>254</v>
      </c>
      <c r="B3370" s="40" t="str">
        <f t="shared" si="523"/>
        <v>No pick yet</v>
      </c>
      <c r="C3370" s="40" t="str">
        <f t="shared" si="522"/>
        <v>09-&gt;</v>
      </c>
      <c r="D3370" s="40" t="str">
        <f t="shared" si="524"/>
        <v xml:space="preserve">No pick yet                                                 </v>
      </c>
      <c r="E3370" s="52">
        <f t="shared" si="525"/>
        <v>0</v>
      </c>
      <c r="F3370" s="18"/>
      <c r="M3370" s="18"/>
      <c r="N3370" s="18"/>
      <c r="O3370" s="18"/>
      <c r="P3370" s="18"/>
      <c r="Q3370" s="22"/>
      <c r="R3370" s="21"/>
      <c r="S3370" s="21"/>
      <c r="T3370" s="21"/>
      <c r="AA3370"/>
      <c r="AH3370" t="str">
        <f t="shared" si="526"/>
        <v>k yet</v>
      </c>
    </row>
    <row r="3371" spans="1:39">
      <c r="A3371" s="42" t="s">
        <v>255</v>
      </c>
      <c r="B3371" s="40" t="str">
        <f t="shared" si="523"/>
        <v>No pick yet</v>
      </c>
      <c r="C3371" s="40" t="str">
        <f t="shared" si="522"/>
        <v>10-&gt;</v>
      </c>
      <c r="D3371" s="40" t="str">
        <f t="shared" si="524"/>
        <v xml:space="preserve">No pick yet                                                 </v>
      </c>
      <c r="E3371" s="52">
        <f t="shared" si="525"/>
        <v>0</v>
      </c>
      <c r="F3371" s="22"/>
      <c r="M3371" s="18"/>
      <c r="N3371" s="18"/>
      <c r="O3371" s="18"/>
      <c r="P3371" s="18"/>
      <c r="Q3371" s="22"/>
      <c r="R3371" s="21"/>
      <c r="S3371" s="21"/>
      <c r="T3371" s="21"/>
      <c r="AA3371"/>
      <c r="AH3371" t="str">
        <f t="shared" si="526"/>
        <v>k yet</v>
      </c>
    </row>
    <row r="3372" spans="1:39">
      <c r="A3372" s="42" t="s">
        <v>256</v>
      </c>
      <c r="B3372" s="40" t="str">
        <f t="shared" si="523"/>
        <v>No pick yet</v>
      </c>
      <c r="C3372" s="40" t="str">
        <f t="shared" si="522"/>
        <v>11-&gt;</v>
      </c>
      <c r="D3372" s="40" t="str">
        <f t="shared" si="524"/>
        <v xml:space="preserve">No pick yet                                                 </v>
      </c>
      <c r="E3372" s="52">
        <f t="shared" si="525"/>
        <v>0</v>
      </c>
      <c r="M3372" s="18"/>
      <c r="N3372" s="18"/>
      <c r="O3372" s="18"/>
      <c r="P3372" s="18"/>
      <c r="Q3372" s="22"/>
      <c r="R3372" s="21"/>
      <c r="S3372" s="21"/>
      <c r="T3372" s="21"/>
      <c r="AA3372"/>
      <c r="AH3372" t="str">
        <f t="shared" si="526"/>
        <v>k yet</v>
      </c>
    </row>
    <row r="3373" spans="1:39">
      <c r="A3373" s="42" t="s">
        <v>257</v>
      </c>
      <c r="B3373" s="40" t="str">
        <f t="shared" si="523"/>
        <v>No pick yet</v>
      </c>
      <c r="C3373" s="40" t="str">
        <f t="shared" si="522"/>
        <v>12-&gt;</v>
      </c>
      <c r="D3373" s="40" t="str">
        <f t="shared" si="524"/>
        <v xml:space="preserve">No pick yet                                                 </v>
      </c>
      <c r="E3373" s="52">
        <f t="shared" si="525"/>
        <v>0</v>
      </c>
      <c r="M3373" s="18"/>
      <c r="N3373" s="18"/>
      <c r="O3373" s="18"/>
      <c r="P3373" s="18"/>
      <c r="Q3373" s="22"/>
      <c r="R3373" s="21"/>
      <c r="S3373" s="21"/>
      <c r="T3373" s="21"/>
      <c r="AA3373"/>
      <c r="AH3373" t="str">
        <f t="shared" si="526"/>
        <v>k yet</v>
      </c>
    </row>
    <row r="3374" spans="1:39">
      <c r="A3374" s="42" t="s">
        <v>258</v>
      </c>
      <c r="B3374" s="40" t="str">
        <f t="shared" si="523"/>
        <v>No pick yet</v>
      </c>
      <c r="C3374" s="40" t="str">
        <f t="shared" si="522"/>
        <v>13-&gt;</v>
      </c>
      <c r="D3374" s="40" t="str">
        <f t="shared" si="524"/>
        <v xml:space="preserve">No pick yet                                                 </v>
      </c>
      <c r="E3374" s="52">
        <f t="shared" si="525"/>
        <v>0</v>
      </c>
      <c r="M3374" s="18"/>
      <c r="N3374" s="18"/>
      <c r="O3374" s="18"/>
      <c r="P3374" s="18"/>
      <c r="Q3374" s="22"/>
      <c r="R3374" s="21"/>
      <c r="S3374" s="21"/>
      <c r="T3374" s="21"/>
      <c r="AA3374"/>
      <c r="AH3374" t="str">
        <f t="shared" si="526"/>
        <v>k yet</v>
      </c>
    </row>
    <row r="3375" spans="1:39">
      <c r="A3375" s="42" t="s">
        <v>259</v>
      </c>
      <c r="B3375" s="40" t="str">
        <f t="shared" si="523"/>
        <v>No pick yet</v>
      </c>
      <c r="C3375" s="40" t="str">
        <f t="shared" si="522"/>
        <v>14-&gt;</v>
      </c>
      <c r="D3375" s="40" t="str">
        <f t="shared" si="524"/>
        <v xml:space="preserve">No pick yet                                                 </v>
      </c>
      <c r="E3375" s="52">
        <f t="shared" si="525"/>
        <v>0</v>
      </c>
      <c r="M3375" s="18"/>
      <c r="N3375" s="18"/>
      <c r="O3375" s="18"/>
      <c r="P3375" s="18"/>
      <c r="Q3375" s="22"/>
      <c r="R3375" s="21"/>
      <c r="S3375" s="21"/>
      <c r="T3375" s="21"/>
      <c r="AA3375"/>
      <c r="AH3375" t="str">
        <f t="shared" si="526"/>
        <v>k yet</v>
      </c>
    </row>
    <row r="3376" spans="1:39">
      <c r="A3376" s="42" t="s">
        <v>260</v>
      </c>
      <c r="B3376" s="40" t="str">
        <f t="shared" si="523"/>
        <v>No pick yet</v>
      </c>
      <c r="C3376" s="40" t="str">
        <f t="shared" si="522"/>
        <v>15-&gt;</v>
      </c>
      <c r="D3376" s="40" t="str">
        <f t="shared" si="524"/>
        <v xml:space="preserve">No pick yet                                                 </v>
      </c>
      <c r="E3376" s="52">
        <f t="shared" si="525"/>
        <v>0</v>
      </c>
      <c r="M3376" s="18"/>
      <c r="N3376" s="18"/>
      <c r="O3376" s="18"/>
      <c r="P3376" s="18"/>
      <c r="Q3376" s="22"/>
      <c r="R3376" s="21"/>
      <c r="S3376" s="21"/>
      <c r="T3376" s="21"/>
      <c r="AA3376"/>
      <c r="AH3376" t="str">
        <f t="shared" si="526"/>
        <v>k yet</v>
      </c>
    </row>
    <row r="3377" spans="1:39">
      <c r="A3377" s="42" t="s">
        <v>261</v>
      </c>
      <c r="B3377" s="40" t="str">
        <f t="shared" si="523"/>
        <v>No pick yet</v>
      </c>
      <c r="C3377" s="40" t="str">
        <f t="shared" si="522"/>
        <v>16-&gt;</v>
      </c>
      <c r="D3377" s="40" t="str">
        <f t="shared" si="524"/>
        <v xml:space="preserve">No pick yet                                                 </v>
      </c>
      <c r="E3377" s="52">
        <f t="shared" si="525"/>
        <v>0</v>
      </c>
      <c r="M3377" s="18"/>
      <c r="N3377" s="18"/>
      <c r="O3377" s="18"/>
      <c r="P3377" s="18"/>
      <c r="Q3377" s="22"/>
      <c r="R3377" s="21"/>
      <c r="S3377" s="21"/>
      <c r="T3377" s="21"/>
      <c r="AA3377"/>
      <c r="AH3377" t="str">
        <f t="shared" si="526"/>
        <v>k yet</v>
      </c>
    </row>
    <row r="3378" spans="1:39">
      <c r="A3378" s="42" t="s">
        <v>262</v>
      </c>
      <c r="B3378" s="40" t="str">
        <f t="shared" si="523"/>
        <v>No pick yet</v>
      </c>
      <c r="C3378" s="40" t="str">
        <f t="shared" si="522"/>
        <v>17-&gt;</v>
      </c>
      <c r="D3378" s="40" t="str">
        <f t="shared" si="524"/>
        <v xml:space="preserve">No pick yet                                                 </v>
      </c>
      <c r="E3378" s="52">
        <f t="shared" si="525"/>
        <v>0</v>
      </c>
      <c r="K3378" s="22"/>
      <c r="N3378" s="22"/>
      <c r="O3378" s="22"/>
      <c r="P3378" s="22"/>
      <c r="Q3378" s="22"/>
      <c r="R3378" s="22"/>
      <c r="S3378" s="22"/>
      <c r="Z3378" s="53"/>
      <c r="AA3378"/>
      <c r="AH3378" t="str">
        <f t="shared" si="526"/>
        <v>k yet</v>
      </c>
    </row>
    <row r="3379" spans="1:39">
      <c r="A3379" s="42" t="s">
        <v>263</v>
      </c>
      <c r="B3379" s="40" t="str">
        <f t="shared" si="523"/>
        <v>No pick yet</v>
      </c>
      <c r="C3379" s="40" t="str">
        <f t="shared" si="522"/>
        <v>18-&gt;</v>
      </c>
      <c r="D3379" s="40" t="str">
        <f t="shared" si="524"/>
        <v xml:space="preserve">No pick yet                                                 </v>
      </c>
      <c r="E3379" s="52">
        <f t="shared" si="525"/>
        <v>0</v>
      </c>
      <c r="F3379" s="18"/>
      <c r="L3379" s="21"/>
      <c r="N3379" s="22"/>
      <c r="O3379" s="22"/>
      <c r="P3379" s="18"/>
      <c r="Q3379" s="22"/>
      <c r="R3379" s="22"/>
      <c r="S3379" s="22"/>
      <c r="Z3379" s="53"/>
      <c r="AA3379"/>
      <c r="AH3379" t="str">
        <f t="shared" si="526"/>
        <v>k yet</v>
      </c>
    </row>
    <row r="3380" spans="1:39">
      <c r="A3380" s="42" t="s">
        <v>264</v>
      </c>
      <c r="B3380" s="40" t="str">
        <f t="shared" si="523"/>
        <v>No pick yet</v>
      </c>
      <c r="C3380" s="40" t="str">
        <f t="shared" si="522"/>
        <v>19-&gt;</v>
      </c>
      <c r="D3380" s="40" t="str">
        <f t="shared" si="524"/>
        <v xml:space="preserve">No pick yet                                                 </v>
      </c>
      <c r="E3380" s="52">
        <f t="shared" si="525"/>
        <v>0</v>
      </c>
      <c r="F3380" s="18"/>
      <c r="M3380" s="18"/>
      <c r="N3380" s="18"/>
      <c r="O3380" s="18"/>
      <c r="P3380" s="18"/>
      <c r="Q3380" s="22"/>
      <c r="R3380" s="21"/>
      <c r="S3380" s="21"/>
      <c r="T3380" s="21"/>
      <c r="AA3380"/>
      <c r="AH3380" t="str">
        <f t="shared" si="526"/>
        <v>k yet</v>
      </c>
    </row>
    <row r="3381" spans="1:39">
      <c r="A3381" s="42" t="s">
        <v>265</v>
      </c>
      <c r="B3381" s="40" t="str">
        <f t="shared" si="523"/>
        <v>No pick yet</v>
      </c>
      <c r="C3381" s="40" t="str">
        <f t="shared" si="522"/>
        <v>20-&gt;</v>
      </c>
      <c r="D3381" s="40" t="str">
        <f t="shared" si="524"/>
        <v xml:space="preserve">No pick yet                                                 </v>
      </c>
      <c r="E3381" s="52">
        <f t="shared" si="525"/>
        <v>0</v>
      </c>
      <c r="F3381" s="18"/>
      <c r="M3381" s="18"/>
      <c r="N3381" s="18"/>
      <c r="O3381" s="18"/>
      <c r="P3381" s="18"/>
      <c r="Q3381" s="22"/>
      <c r="R3381" s="21"/>
      <c r="S3381" s="21"/>
      <c r="T3381" s="21"/>
      <c r="AA3381"/>
      <c r="AH3381" t="str">
        <f t="shared" si="526"/>
        <v>k yet</v>
      </c>
    </row>
    <row r="3382" spans="1:39">
      <c r="A3382" s="42" t="s">
        <v>266</v>
      </c>
      <c r="B3382" s="40" t="str">
        <f t="shared" si="523"/>
        <v>No pick yet</v>
      </c>
      <c r="C3382" s="40" t="str">
        <f t="shared" si="522"/>
        <v>21-&gt;</v>
      </c>
      <c r="D3382" s="40" t="str">
        <f t="shared" si="524"/>
        <v xml:space="preserve">No pick yet                                                 </v>
      </c>
      <c r="E3382" s="52">
        <f t="shared" si="525"/>
        <v>0</v>
      </c>
      <c r="F3382" s="18"/>
      <c r="M3382" s="18"/>
      <c r="N3382" s="18"/>
      <c r="O3382" s="18"/>
      <c r="P3382" s="18"/>
      <c r="Q3382" s="22"/>
      <c r="R3382" s="21"/>
      <c r="S3382" s="21"/>
      <c r="T3382" s="21"/>
      <c r="AA3382"/>
      <c r="AH3382" t="str">
        <f t="shared" si="526"/>
        <v>k yet</v>
      </c>
    </row>
    <row r="3383" spans="1:39">
      <c r="A3383" s="42" t="s">
        <v>267</v>
      </c>
      <c r="B3383" s="40" t="str">
        <f t="shared" si="523"/>
        <v>No pick yet</v>
      </c>
      <c r="C3383" s="40" t="str">
        <f t="shared" si="522"/>
        <v>22-&gt;</v>
      </c>
      <c r="D3383" s="40" t="str">
        <f t="shared" si="524"/>
        <v xml:space="preserve">No pick yet                                                 </v>
      </c>
      <c r="E3383" s="52">
        <f t="shared" si="525"/>
        <v>0</v>
      </c>
      <c r="F3383" s="18"/>
      <c r="M3383" s="18"/>
      <c r="N3383" s="18"/>
      <c r="O3383" s="18"/>
      <c r="P3383" s="18"/>
      <c r="Q3383" s="22"/>
      <c r="R3383" s="21"/>
      <c r="S3383" s="21"/>
      <c r="T3383" s="21"/>
      <c r="AA3383"/>
      <c r="AH3383" t="str">
        <f t="shared" si="526"/>
        <v>k yet</v>
      </c>
    </row>
    <row r="3384" spans="1:39">
      <c r="A3384" s="42" t="s">
        <v>268</v>
      </c>
      <c r="B3384" s="40" t="str">
        <f t="shared" si="523"/>
        <v>No pick yet</v>
      </c>
      <c r="C3384" s="40" t="str">
        <f t="shared" si="522"/>
        <v>23-&gt;</v>
      </c>
      <c r="D3384" s="40" t="str">
        <f t="shared" si="524"/>
        <v xml:space="preserve">No pick yet                                                 </v>
      </c>
      <c r="E3384" s="52">
        <f t="shared" si="525"/>
        <v>0</v>
      </c>
      <c r="F3384" s="18"/>
      <c r="M3384" s="18"/>
      <c r="N3384" s="18"/>
      <c r="O3384" s="18"/>
      <c r="P3384" s="18"/>
      <c r="Q3384" s="22"/>
      <c r="R3384" s="21"/>
      <c r="S3384" s="21"/>
      <c r="T3384" s="21"/>
      <c r="AA3384"/>
      <c r="AH3384" t="str">
        <f t="shared" si="526"/>
        <v>k yet</v>
      </c>
    </row>
    <row r="3385" spans="1:39">
      <c r="A3385" s="42" t="s">
        <v>269</v>
      </c>
      <c r="B3385" s="40" t="str">
        <f t="shared" si="523"/>
        <v>No pick yet</v>
      </c>
      <c r="C3385" s="40" t="str">
        <f t="shared" si="522"/>
        <v>24-&gt;</v>
      </c>
      <c r="D3385" s="40" t="str">
        <f t="shared" si="524"/>
        <v xml:space="preserve">No pick yet                                                 </v>
      </c>
      <c r="E3385" s="52">
        <f t="shared" si="525"/>
        <v>0</v>
      </c>
      <c r="F3385" s="18"/>
      <c r="M3385" s="18"/>
      <c r="N3385" s="18"/>
      <c r="O3385" s="18"/>
      <c r="P3385" s="18"/>
      <c r="Q3385" s="22"/>
      <c r="R3385" s="21"/>
      <c r="S3385" s="21"/>
      <c r="T3385" s="21"/>
      <c r="AA3385"/>
      <c r="AH3385" t="str">
        <f t="shared" si="526"/>
        <v>k yet</v>
      </c>
    </row>
    <row r="3386" spans="1:39">
      <c r="A3386" s="42" t="s">
        <v>270</v>
      </c>
      <c r="B3386" s="40" t="str">
        <f t="shared" si="523"/>
        <v>No pick yet</v>
      </c>
      <c r="C3386" s="40" t="str">
        <f t="shared" si="522"/>
        <v>25-&gt;</v>
      </c>
      <c r="D3386" s="40" t="str">
        <f t="shared" si="524"/>
        <v xml:space="preserve">No pick yet                                                 </v>
      </c>
      <c r="E3386" s="52">
        <f t="shared" si="525"/>
        <v>0</v>
      </c>
      <c r="F3386" s="18"/>
      <c r="M3386" s="18"/>
      <c r="N3386" s="18"/>
      <c r="O3386" s="18"/>
      <c r="P3386" s="18"/>
      <c r="Q3386" s="22"/>
      <c r="R3386" s="21"/>
      <c r="S3386" s="21"/>
      <c r="T3386" s="21"/>
      <c r="AA3386"/>
      <c r="AH3386" t="str">
        <f t="shared" si="526"/>
        <v>k yet</v>
      </c>
    </row>
    <row r="3387" spans="1:39">
      <c r="A3387" s="42" t="s">
        <v>271</v>
      </c>
      <c r="B3387" s="40" t="str">
        <f t="shared" si="523"/>
        <v>No pick yet</v>
      </c>
      <c r="C3387" s="40" t="str">
        <f t="shared" si="522"/>
        <v>26-&gt;</v>
      </c>
      <c r="D3387" s="40" t="str">
        <f t="shared" si="524"/>
        <v xml:space="preserve">No pick yet                                                 </v>
      </c>
      <c r="E3387" s="52">
        <f t="shared" si="525"/>
        <v>0</v>
      </c>
      <c r="F3387" s="18"/>
      <c r="M3387" s="18"/>
      <c r="N3387" s="18"/>
      <c r="O3387" s="18"/>
      <c r="P3387" s="18"/>
      <c r="Q3387" s="22"/>
      <c r="R3387" s="21"/>
      <c r="S3387" s="21"/>
      <c r="T3387" s="21"/>
      <c r="AA3387"/>
      <c r="AH3387" t="str">
        <f t="shared" si="526"/>
        <v>k yet</v>
      </c>
    </row>
    <row r="3388" spans="1:39">
      <c r="A3388" s="38"/>
      <c r="B3388" s="40"/>
      <c r="C3388" s="40"/>
      <c r="D3388" s="49"/>
      <c r="E3388" s="41" t="s">
        <v>69</v>
      </c>
      <c r="F3388" s="18"/>
      <c r="K3388" s="22" t="s">
        <v>73</v>
      </c>
      <c r="L3388" s="18" t="s">
        <v>74</v>
      </c>
      <c r="M3388" s="22" t="s">
        <v>78</v>
      </c>
      <c r="N3388" s="22" t="s">
        <v>79</v>
      </c>
      <c r="O3388" s="22" t="s">
        <v>80</v>
      </c>
      <c r="P3388" s="22" t="s">
        <v>81</v>
      </c>
      <c r="Q3388" s="22" t="s">
        <v>82</v>
      </c>
      <c r="R3388" s="22" t="s">
        <v>83</v>
      </c>
      <c r="S3388" s="22" t="s">
        <v>84</v>
      </c>
      <c r="T3388" s="18" t="s">
        <v>85</v>
      </c>
      <c r="U3388" s="18" t="s">
        <v>86</v>
      </c>
      <c r="V3388" s="18" t="s">
        <v>87</v>
      </c>
      <c r="W3388" s="18" t="s">
        <v>88</v>
      </c>
      <c r="X3388" s="18" t="s">
        <v>89</v>
      </c>
      <c r="Y3388" s="18" t="s">
        <v>90</v>
      </c>
      <c r="Z3388" s="18" t="s">
        <v>91</v>
      </c>
      <c r="AA3388" s="18" t="s">
        <v>92</v>
      </c>
      <c r="AB3388" s="18" t="s">
        <v>93</v>
      </c>
      <c r="AC3388" s="18" t="s">
        <v>94</v>
      </c>
      <c r="AD3388" s="18" t="s">
        <v>235</v>
      </c>
      <c r="AE3388" s="18" t="s">
        <v>236</v>
      </c>
      <c r="AF3388" s="18" t="s">
        <v>237</v>
      </c>
      <c r="AG3388" s="18" t="s">
        <v>238</v>
      </c>
      <c r="AH3388" s="18" t="s">
        <v>239</v>
      </c>
      <c r="AI3388" s="18" t="s">
        <v>240</v>
      </c>
      <c r="AJ3388" s="18" t="s">
        <v>241</v>
      </c>
      <c r="AK3388" s="18" t="s">
        <v>242</v>
      </c>
      <c r="AL3388" s="18" t="s">
        <v>243</v>
      </c>
      <c r="AM3388" s="50" t="s">
        <v>244</v>
      </c>
    </row>
    <row r="3389" spans="1:39">
      <c r="A3389" s="40" t="s">
        <v>245</v>
      </c>
      <c r="B3389" s="51" t="str">
        <f>D120</f>
        <v/>
      </c>
      <c r="C3389" s="40" t="str">
        <f t="shared" ref="C3389:C3415" si="527">A3389</f>
        <v>#</v>
      </c>
      <c r="D3389" s="40" t="str">
        <f>"   "&amp;B3389&amp;REPT(" ",$AH$70-LEN(B3389)-3)</f>
        <v xml:space="preserve">                                                            </v>
      </c>
      <c r="E3389" s="38" t="str">
        <f>SUM(E3390:E3415)&amp;" pts[/b]"</f>
        <v>0 pts[/b]</v>
      </c>
      <c r="F3389" s="21">
        <f>SUM(E3390:E3415)</f>
        <v>0</v>
      </c>
      <c r="K3389" s="18">
        <f>COUNTIF(E3390:E3415,"&gt;0")</f>
        <v>0</v>
      </c>
      <c r="L3389" s="21">
        <f>AM3389-K3389</f>
        <v>0</v>
      </c>
      <c r="M3389" s="22">
        <f>MAX(E3390:E3415)</f>
        <v>0</v>
      </c>
      <c r="N3389" s="22">
        <f>LARGE(E3390:E3415,2)</f>
        <v>0</v>
      </c>
      <c r="O3389" s="22">
        <f>LARGE(E3390:E3415,3)</f>
        <v>0</v>
      </c>
      <c r="P3389" s="18">
        <f>LARGE(E3390:E3415,4)</f>
        <v>0</v>
      </c>
      <c r="Q3389" s="22">
        <f>LARGE(E3390:E3415,5)</f>
        <v>0</v>
      </c>
      <c r="R3389" s="22">
        <f>LARGE(E3390:E3415,6)</f>
        <v>0</v>
      </c>
      <c r="S3389" s="22">
        <f>LARGE(E3390:E3415,7)</f>
        <v>0</v>
      </c>
      <c r="T3389" s="18">
        <f>LARGE(E3390:E3415,8)</f>
        <v>0</v>
      </c>
      <c r="U3389" s="18">
        <f>LARGE(E3390:E3415,9)</f>
        <v>0</v>
      </c>
      <c r="V3389" s="18">
        <f>LARGE(E3390:E3415,10)</f>
        <v>0</v>
      </c>
      <c r="W3389" s="18">
        <f>LARGE(E3390:E3415,11)</f>
        <v>0</v>
      </c>
      <c r="X3389" s="18">
        <f>LARGE(E3390:E3415,12)</f>
        <v>0</v>
      </c>
      <c r="Y3389" s="18">
        <f>LARGE(E3390:E3415,13)</f>
        <v>0</v>
      </c>
      <c r="Z3389" s="18">
        <f>LARGE(E3390:E3415,14)</f>
        <v>0</v>
      </c>
      <c r="AA3389" s="18">
        <f>LARGE(E3390:E3415,15)</f>
        <v>0</v>
      </c>
      <c r="AB3389" s="18">
        <f>LARGE(E3390:E3415,16)</f>
        <v>0</v>
      </c>
      <c r="AC3389" s="18">
        <f>LARGE(E3390:E3415,17)</f>
        <v>0</v>
      </c>
      <c r="AD3389" s="18">
        <f>LARGE(E3390:E3416,13)</f>
        <v>0</v>
      </c>
      <c r="AE3389" s="18">
        <f>LARGE(E3390:E3415,19)</f>
        <v>0</v>
      </c>
      <c r="AF3389" s="18">
        <f>LARGE(E3390:E3415,20)</f>
        <v>0</v>
      </c>
      <c r="AG3389" s="18">
        <f>LARGE(E3390:E3415,21)</f>
        <v>0</v>
      </c>
      <c r="AH3389" s="18">
        <f>LARGE(E3390:E3415,22)</f>
        <v>0</v>
      </c>
      <c r="AI3389" s="18">
        <f>LARGE(E3390:E3415,23)</f>
        <v>0</v>
      </c>
      <c r="AJ3389" s="18">
        <f>LARGE(E3390:E3415,24)</f>
        <v>0</v>
      </c>
      <c r="AK3389" s="18">
        <f>LARGE(E3390:E3415,25)</f>
        <v>0</v>
      </c>
      <c r="AL3389" s="18">
        <f>LARGE(E3390:E3415,26)</f>
        <v>0</v>
      </c>
      <c r="AM3389" s="50">
        <f>COUNTIF(B3390:B3415,"&lt;&gt;"&amp;AH74)</f>
        <v>0</v>
      </c>
    </row>
    <row r="3390" spans="1:39">
      <c r="A3390" s="42" t="s">
        <v>246</v>
      </c>
      <c r="B3390" s="40" t="str">
        <f t="shared" ref="B3390:B3415" si="528">$AH$74</f>
        <v>No pick yet</v>
      </c>
      <c r="C3390" s="40" t="str">
        <f t="shared" si="527"/>
        <v>01-&gt;</v>
      </c>
      <c r="D3390" s="40" t="str">
        <f t="shared" ref="D3390:D3415" si="529">B3390&amp;REPT(" ",$AH$70-LEN(B3390))</f>
        <v xml:space="preserve">No pick yet                                                 </v>
      </c>
      <c r="E3390" s="52">
        <f t="shared" ref="E3390:E3415" si="530">VLOOKUP(RIGHT(B3390,LEN(B3390)-$AH$66),$H$138:$I$420,2,0)</f>
        <v>0</v>
      </c>
      <c r="F3390" s="18"/>
      <c r="M3390" s="18"/>
      <c r="N3390" s="18"/>
      <c r="O3390" s="18"/>
      <c r="P3390" s="18"/>
      <c r="Q3390" s="22"/>
      <c r="R3390" s="21"/>
      <c r="S3390" s="21"/>
      <c r="T3390" s="21"/>
      <c r="AA3390"/>
      <c r="AH3390" t="str">
        <f t="shared" ref="AH3390:AH3415" si="531">RIGHT(B3390,LEN(B3390)-$AH$66)</f>
        <v>k yet</v>
      </c>
    </row>
    <row r="3391" spans="1:39">
      <c r="A3391" s="42" t="s">
        <v>247</v>
      </c>
      <c r="B3391" s="40" t="str">
        <f t="shared" si="528"/>
        <v>No pick yet</v>
      </c>
      <c r="C3391" s="40" t="str">
        <f t="shared" si="527"/>
        <v>02-&gt;</v>
      </c>
      <c r="D3391" s="40" t="str">
        <f t="shared" si="529"/>
        <v xml:space="preserve">No pick yet                                                 </v>
      </c>
      <c r="E3391" s="52">
        <f t="shared" si="530"/>
        <v>0</v>
      </c>
      <c r="F3391" s="18"/>
      <c r="K3391" s="22"/>
      <c r="N3391" s="22"/>
      <c r="O3391" s="22"/>
      <c r="P3391" s="22"/>
      <c r="Q3391" s="22"/>
      <c r="R3391" s="22"/>
      <c r="S3391" s="22"/>
      <c r="Z3391" s="53"/>
      <c r="AA3391"/>
      <c r="AH3391" t="str">
        <f t="shared" si="531"/>
        <v>k yet</v>
      </c>
    </row>
    <row r="3392" spans="1:39">
      <c r="A3392" s="42" t="s">
        <v>248</v>
      </c>
      <c r="B3392" s="40" t="str">
        <f t="shared" si="528"/>
        <v>No pick yet</v>
      </c>
      <c r="C3392" s="40" t="str">
        <f t="shared" si="527"/>
        <v>03-&gt;</v>
      </c>
      <c r="D3392" s="40" t="str">
        <f t="shared" si="529"/>
        <v xml:space="preserve">No pick yet                                                 </v>
      </c>
      <c r="E3392" s="52">
        <f t="shared" si="530"/>
        <v>0</v>
      </c>
      <c r="F3392" s="18"/>
      <c r="L3392" s="21"/>
      <c r="N3392" s="22"/>
      <c r="O3392" s="22"/>
      <c r="P3392" s="18"/>
      <c r="Q3392" s="22"/>
      <c r="R3392" s="22"/>
      <c r="S3392" s="22"/>
      <c r="Z3392" s="53"/>
      <c r="AA3392"/>
      <c r="AH3392" t="str">
        <f t="shared" si="531"/>
        <v>k yet</v>
      </c>
    </row>
    <row r="3393" spans="1:34">
      <c r="A3393" s="42" t="s">
        <v>249</v>
      </c>
      <c r="B3393" s="40" t="str">
        <f t="shared" si="528"/>
        <v>No pick yet</v>
      </c>
      <c r="C3393" s="40" t="str">
        <f t="shared" si="527"/>
        <v>04-&gt;</v>
      </c>
      <c r="D3393" s="40" t="str">
        <f t="shared" si="529"/>
        <v xml:space="preserve">No pick yet                                                 </v>
      </c>
      <c r="E3393" s="52">
        <f t="shared" si="530"/>
        <v>0</v>
      </c>
      <c r="F3393" s="18"/>
      <c r="M3393" s="18"/>
      <c r="N3393" s="18"/>
      <c r="O3393" s="18"/>
      <c r="P3393" s="18"/>
      <c r="Q3393" s="22"/>
      <c r="R3393" s="21"/>
      <c r="S3393" s="21"/>
      <c r="T3393" s="21"/>
      <c r="AA3393"/>
      <c r="AH3393" t="str">
        <f t="shared" si="531"/>
        <v>k yet</v>
      </c>
    </row>
    <row r="3394" spans="1:34">
      <c r="A3394" s="42" t="s">
        <v>250</v>
      </c>
      <c r="B3394" s="40" t="str">
        <f t="shared" si="528"/>
        <v>No pick yet</v>
      </c>
      <c r="C3394" s="40" t="str">
        <f t="shared" si="527"/>
        <v>05-&gt;</v>
      </c>
      <c r="D3394" s="40" t="str">
        <f t="shared" si="529"/>
        <v xml:space="preserve">No pick yet                                                 </v>
      </c>
      <c r="E3394" s="52">
        <f t="shared" si="530"/>
        <v>0</v>
      </c>
      <c r="F3394" s="18"/>
      <c r="M3394" s="18"/>
      <c r="N3394" s="18"/>
      <c r="O3394" s="18"/>
      <c r="P3394" s="18"/>
      <c r="Q3394" s="22"/>
      <c r="R3394" s="21"/>
      <c r="S3394" s="21"/>
      <c r="T3394" s="21"/>
      <c r="AA3394"/>
      <c r="AH3394" t="str">
        <f t="shared" si="531"/>
        <v>k yet</v>
      </c>
    </row>
    <row r="3395" spans="1:34">
      <c r="A3395" s="42" t="s">
        <v>251</v>
      </c>
      <c r="B3395" s="40" t="str">
        <f t="shared" si="528"/>
        <v>No pick yet</v>
      </c>
      <c r="C3395" s="40" t="str">
        <f t="shared" si="527"/>
        <v>06-&gt;</v>
      </c>
      <c r="D3395" s="40" t="str">
        <f t="shared" si="529"/>
        <v xml:space="preserve">No pick yet                                                 </v>
      </c>
      <c r="E3395" s="52">
        <f t="shared" si="530"/>
        <v>0</v>
      </c>
      <c r="F3395" s="18"/>
      <c r="M3395" s="18"/>
      <c r="N3395" s="18"/>
      <c r="O3395" s="18"/>
      <c r="P3395" s="18"/>
      <c r="Q3395" s="22"/>
      <c r="R3395" s="21"/>
      <c r="S3395" s="21"/>
      <c r="T3395" s="21"/>
      <c r="AA3395"/>
      <c r="AH3395" t="str">
        <f t="shared" si="531"/>
        <v>k yet</v>
      </c>
    </row>
    <row r="3396" spans="1:34">
      <c r="A3396" s="42" t="s">
        <v>252</v>
      </c>
      <c r="B3396" s="40" t="str">
        <f t="shared" si="528"/>
        <v>No pick yet</v>
      </c>
      <c r="C3396" s="40" t="str">
        <f t="shared" si="527"/>
        <v>07-&gt;</v>
      </c>
      <c r="D3396" s="40" t="str">
        <f t="shared" si="529"/>
        <v xml:space="preserve">No pick yet                                                 </v>
      </c>
      <c r="E3396" s="52">
        <f t="shared" si="530"/>
        <v>0</v>
      </c>
      <c r="F3396" s="18"/>
      <c r="M3396" s="18"/>
      <c r="N3396" s="18"/>
      <c r="O3396" s="18"/>
      <c r="P3396" s="18"/>
      <c r="Q3396" s="22"/>
      <c r="R3396" s="21"/>
      <c r="S3396" s="21"/>
      <c r="T3396" s="21"/>
      <c r="AA3396"/>
      <c r="AH3396" t="str">
        <f t="shared" si="531"/>
        <v>k yet</v>
      </c>
    </row>
    <row r="3397" spans="1:34">
      <c r="A3397" s="42" t="s">
        <v>253</v>
      </c>
      <c r="B3397" s="40" t="str">
        <f t="shared" si="528"/>
        <v>No pick yet</v>
      </c>
      <c r="C3397" s="40" t="str">
        <f t="shared" si="527"/>
        <v>08-&gt;</v>
      </c>
      <c r="D3397" s="40" t="str">
        <f t="shared" si="529"/>
        <v xml:space="preserve">No pick yet                                                 </v>
      </c>
      <c r="E3397" s="52">
        <f t="shared" si="530"/>
        <v>0</v>
      </c>
      <c r="F3397" s="18"/>
      <c r="M3397" s="18"/>
      <c r="N3397" s="18"/>
      <c r="O3397" s="18"/>
      <c r="P3397" s="18"/>
      <c r="Q3397" s="22"/>
      <c r="R3397" s="21"/>
      <c r="S3397" s="21"/>
      <c r="T3397" s="21"/>
      <c r="AA3397"/>
      <c r="AH3397" t="str">
        <f t="shared" si="531"/>
        <v>k yet</v>
      </c>
    </row>
    <row r="3398" spans="1:34">
      <c r="A3398" s="42" t="s">
        <v>254</v>
      </c>
      <c r="B3398" s="40" t="str">
        <f t="shared" si="528"/>
        <v>No pick yet</v>
      </c>
      <c r="C3398" s="40" t="str">
        <f t="shared" si="527"/>
        <v>09-&gt;</v>
      </c>
      <c r="D3398" s="40" t="str">
        <f t="shared" si="529"/>
        <v xml:space="preserve">No pick yet                                                 </v>
      </c>
      <c r="E3398" s="52">
        <f t="shared" si="530"/>
        <v>0</v>
      </c>
      <c r="F3398" s="18"/>
      <c r="M3398" s="18"/>
      <c r="N3398" s="18"/>
      <c r="O3398" s="18"/>
      <c r="P3398" s="18"/>
      <c r="Q3398" s="22"/>
      <c r="R3398" s="21"/>
      <c r="S3398" s="21"/>
      <c r="T3398" s="21"/>
      <c r="AA3398"/>
      <c r="AH3398" t="str">
        <f t="shared" si="531"/>
        <v>k yet</v>
      </c>
    </row>
    <row r="3399" spans="1:34">
      <c r="A3399" s="42" t="s">
        <v>255</v>
      </c>
      <c r="B3399" s="40" t="str">
        <f t="shared" si="528"/>
        <v>No pick yet</v>
      </c>
      <c r="C3399" s="40" t="str">
        <f t="shared" si="527"/>
        <v>10-&gt;</v>
      </c>
      <c r="D3399" s="40" t="str">
        <f t="shared" si="529"/>
        <v xml:space="preserve">No pick yet                                                 </v>
      </c>
      <c r="E3399" s="52">
        <f t="shared" si="530"/>
        <v>0</v>
      </c>
      <c r="F3399" s="22"/>
      <c r="M3399" s="18"/>
      <c r="N3399" s="18"/>
      <c r="O3399" s="18"/>
      <c r="P3399" s="18"/>
      <c r="Q3399" s="22"/>
      <c r="R3399" s="21"/>
      <c r="S3399" s="21"/>
      <c r="T3399" s="21"/>
      <c r="AA3399"/>
      <c r="AH3399" t="str">
        <f t="shared" si="531"/>
        <v>k yet</v>
      </c>
    </row>
    <row r="3400" spans="1:34">
      <c r="A3400" s="42" t="s">
        <v>256</v>
      </c>
      <c r="B3400" s="40" t="str">
        <f t="shared" si="528"/>
        <v>No pick yet</v>
      </c>
      <c r="C3400" s="40" t="str">
        <f t="shared" si="527"/>
        <v>11-&gt;</v>
      </c>
      <c r="D3400" s="40" t="str">
        <f t="shared" si="529"/>
        <v xml:space="preserve">No pick yet                                                 </v>
      </c>
      <c r="E3400" s="52">
        <f t="shared" si="530"/>
        <v>0</v>
      </c>
      <c r="M3400" s="18"/>
      <c r="N3400" s="18"/>
      <c r="O3400" s="18"/>
      <c r="P3400" s="18"/>
      <c r="Q3400" s="22"/>
      <c r="R3400" s="21"/>
      <c r="S3400" s="21"/>
      <c r="T3400" s="21"/>
      <c r="AA3400"/>
      <c r="AH3400" t="str">
        <f t="shared" si="531"/>
        <v>k yet</v>
      </c>
    </row>
    <row r="3401" spans="1:34">
      <c r="A3401" s="42" t="s">
        <v>257</v>
      </c>
      <c r="B3401" s="40" t="str">
        <f t="shared" si="528"/>
        <v>No pick yet</v>
      </c>
      <c r="C3401" s="40" t="str">
        <f t="shared" si="527"/>
        <v>12-&gt;</v>
      </c>
      <c r="D3401" s="40" t="str">
        <f t="shared" si="529"/>
        <v xml:space="preserve">No pick yet                                                 </v>
      </c>
      <c r="E3401" s="52">
        <f t="shared" si="530"/>
        <v>0</v>
      </c>
      <c r="M3401" s="18"/>
      <c r="N3401" s="18"/>
      <c r="O3401" s="18"/>
      <c r="P3401" s="18"/>
      <c r="Q3401" s="22"/>
      <c r="R3401" s="21"/>
      <c r="S3401" s="21"/>
      <c r="T3401" s="21"/>
      <c r="AA3401"/>
      <c r="AH3401" t="str">
        <f t="shared" si="531"/>
        <v>k yet</v>
      </c>
    </row>
    <row r="3402" spans="1:34">
      <c r="A3402" s="42" t="s">
        <v>258</v>
      </c>
      <c r="B3402" s="40" t="str">
        <f t="shared" si="528"/>
        <v>No pick yet</v>
      </c>
      <c r="C3402" s="40" t="str">
        <f t="shared" si="527"/>
        <v>13-&gt;</v>
      </c>
      <c r="D3402" s="40" t="str">
        <f t="shared" si="529"/>
        <v xml:space="preserve">No pick yet                                                 </v>
      </c>
      <c r="E3402" s="52">
        <f t="shared" si="530"/>
        <v>0</v>
      </c>
      <c r="M3402" s="18"/>
      <c r="N3402" s="18"/>
      <c r="O3402" s="18"/>
      <c r="P3402" s="18"/>
      <c r="Q3402" s="22"/>
      <c r="R3402" s="21"/>
      <c r="S3402" s="21"/>
      <c r="T3402" s="21"/>
      <c r="AA3402"/>
      <c r="AH3402" t="str">
        <f t="shared" si="531"/>
        <v>k yet</v>
      </c>
    </row>
    <row r="3403" spans="1:34">
      <c r="A3403" s="42" t="s">
        <v>259</v>
      </c>
      <c r="B3403" s="40" t="str">
        <f t="shared" si="528"/>
        <v>No pick yet</v>
      </c>
      <c r="C3403" s="40" t="str">
        <f t="shared" si="527"/>
        <v>14-&gt;</v>
      </c>
      <c r="D3403" s="40" t="str">
        <f t="shared" si="529"/>
        <v xml:space="preserve">No pick yet                                                 </v>
      </c>
      <c r="E3403" s="52">
        <f t="shared" si="530"/>
        <v>0</v>
      </c>
      <c r="M3403" s="18"/>
      <c r="N3403" s="18"/>
      <c r="O3403" s="18"/>
      <c r="P3403" s="18"/>
      <c r="Q3403" s="22"/>
      <c r="R3403" s="21"/>
      <c r="S3403" s="21"/>
      <c r="T3403" s="21"/>
      <c r="AA3403"/>
      <c r="AH3403" t="str">
        <f t="shared" si="531"/>
        <v>k yet</v>
      </c>
    </row>
    <row r="3404" spans="1:34">
      <c r="A3404" s="42" t="s">
        <v>260</v>
      </c>
      <c r="B3404" s="40" t="str">
        <f t="shared" si="528"/>
        <v>No pick yet</v>
      </c>
      <c r="C3404" s="40" t="str">
        <f t="shared" si="527"/>
        <v>15-&gt;</v>
      </c>
      <c r="D3404" s="40" t="str">
        <f t="shared" si="529"/>
        <v xml:space="preserve">No pick yet                                                 </v>
      </c>
      <c r="E3404" s="52">
        <f t="shared" si="530"/>
        <v>0</v>
      </c>
      <c r="M3404" s="18"/>
      <c r="N3404" s="18"/>
      <c r="O3404" s="18"/>
      <c r="P3404" s="18"/>
      <c r="Q3404" s="22"/>
      <c r="R3404" s="21"/>
      <c r="S3404" s="21"/>
      <c r="T3404" s="21"/>
      <c r="AA3404"/>
      <c r="AH3404" t="str">
        <f t="shared" si="531"/>
        <v>k yet</v>
      </c>
    </row>
    <row r="3405" spans="1:34">
      <c r="A3405" s="42" t="s">
        <v>261</v>
      </c>
      <c r="B3405" s="40" t="str">
        <f t="shared" si="528"/>
        <v>No pick yet</v>
      </c>
      <c r="C3405" s="40" t="str">
        <f t="shared" si="527"/>
        <v>16-&gt;</v>
      </c>
      <c r="D3405" s="40" t="str">
        <f t="shared" si="529"/>
        <v xml:space="preserve">No pick yet                                                 </v>
      </c>
      <c r="E3405" s="52">
        <f t="shared" si="530"/>
        <v>0</v>
      </c>
      <c r="M3405" s="18"/>
      <c r="N3405" s="18"/>
      <c r="O3405" s="18"/>
      <c r="P3405" s="18"/>
      <c r="Q3405" s="22"/>
      <c r="R3405" s="21"/>
      <c r="S3405" s="21"/>
      <c r="T3405" s="21"/>
      <c r="AA3405"/>
      <c r="AH3405" t="str">
        <f t="shared" si="531"/>
        <v>k yet</v>
      </c>
    </row>
    <row r="3406" spans="1:34">
      <c r="A3406" s="42" t="s">
        <v>262</v>
      </c>
      <c r="B3406" s="40" t="str">
        <f t="shared" si="528"/>
        <v>No pick yet</v>
      </c>
      <c r="C3406" s="40" t="str">
        <f t="shared" si="527"/>
        <v>17-&gt;</v>
      </c>
      <c r="D3406" s="40" t="str">
        <f t="shared" si="529"/>
        <v xml:space="preserve">No pick yet                                                 </v>
      </c>
      <c r="E3406" s="52">
        <f t="shared" si="530"/>
        <v>0</v>
      </c>
      <c r="K3406" s="22"/>
      <c r="N3406" s="22"/>
      <c r="O3406" s="22"/>
      <c r="P3406" s="22"/>
      <c r="Q3406" s="22"/>
      <c r="R3406" s="22"/>
      <c r="S3406" s="22"/>
      <c r="Z3406" s="53"/>
      <c r="AA3406"/>
      <c r="AH3406" t="str">
        <f t="shared" si="531"/>
        <v>k yet</v>
      </c>
    </row>
    <row r="3407" spans="1:34">
      <c r="A3407" s="42" t="s">
        <v>263</v>
      </c>
      <c r="B3407" s="40" t="str">
        <f t="shared" si="528"/>
        <v>No pick yet</v>
      </c>
      <c r="C3407" s="40" t="str">
        <f t="shared" si="527"/>
        <v>18-&gt;</v>
      </c>
      <c r="D3407" s="40" t="str">
        <f t="shared" si="529"/>
        <v xml:space="preserve">No pick yet                                                 </v>
      </c>
      <c r="E3407" s="52">
        <f t="shared" si="530"/>
        <v>0</v>
      </c>
      <c r="F3407" s="18"/>
      <c r="L3407" s="21"/>
      <c r="N3407" s="22"/>
      <c r="O3407" s="22"/>
      <c r="P3407" s="18"/>
      <c r="Q3407" s="22"/>
      <c r="R3407" s="22"/>
      <c r="S3407" s="22"/>
      <c r="Z3407" s="53"/>
      <c r="AA3407"/>
      <c r="AH3407" t="str">
        <f t="shared" si="531"/>
        <v>k yet</v>
      </c>
    </row>
    <row r="3408" spans="1:34">
      <c r="A3408" s="42" t="s">
        <v>264</v>
      </c>
      <c r="B3408" s="40" t="str">
        <f t="shared" si="528"/>
        <v>No pick yet</v>
      </c>
      <c r="C3408" s="40" t="str">
        <f t="shared" si="527"/>
        <v>19-&gt;</v>
      </c>
      <c r="D3408" s="40" t="str">
        <f t="shared" si="529"/>
        <v xml:space="preserve">No pick yet                                                 </v>
      </c>
      <c r="E3408" s="52">
        <f t="shared" si="530"/>
        <v>0</v>
      </c>
      <c r="F3408" s="18"/>
      <c r="M3408" s="18"/>
      <c r="N3408" s="18"/>
      <c r="O3408" s="18"/>
      <c r="P3408" s="18"/>
      <c r="Q3408" s="22"/>
      <c r="R3408" s="21"/>
      <c r="S3408" s="21"/>
      <c r="T3408" s="21"/>
      <c r="AA3408"/>
      <c r="AH3408" t="str">
        <f t="shared" si="531"/>
        <v>k yet</v>
      </c>
    </row>
    <row r="3409" spans="1:39">
      <c r="A3409" s="42" t="s">
        <v>265</v>
      </c>
      <c r="B3409" s="40" t="str">
        <f t="shared" si="528"/>
        <v>No pick yet</v>
      </c>
      <c r="C3409" s="40" t="str">
        <f t="shared" si="527"/>
        <v>20-&gt;</v>
      </c>
      <c r="D3409" s="40" t="str">
        <f t="shared" si="529"/>
        <v xml:space="preserve">No pick yet                                                 </v>
      </c>
      <c r="E3409" s="52">
        <f t="shared" si="530"/>
        <v>0</v>
      </c>
      <c r="F3409" s="18"/>
      <c r="M3409" s="18"/>
      <c r="N3409" s="18"/>
      <c r="O3409" s="18"/>
      <c r="P3409" s="18"/>
      <c r="Q3409" s="22"/>
      <c r="R3409" s="21"/>
      <c r="S3409" s="21"/>
      <c r="T3409" s="21"/>
      <c r="AA3409"/>
      <c r="AH3409" t="str">
        <f t="shared" si="531"/>
        <v>k yet</v>
      </c>
    </row>
    <row r="3410" spans="1:39">
      <c r="A3410" s="42" t="s">
        <v>266</v>
      </c>
      <c r="B3410" s="40" t="str">
        <f t="shared" si="528"/>
        <v>No pick yet</v>
      </c>
      <c r="C3410" s="40" t="str">
        <f t="shared" si="527"/>
        <v>21-&gt;</v>
      </c>
      <c r="D3410" s="40" t="str">
        <f t="shared" si="529"/>
        <v xml:space="preserve">No pick yet                                                 </v>
      </c>
      <c r="E3410" s="52">
        <f t="shared" si="530"/>
        <v>0</v>
      </c>
      <c r="F3410" s="18"/>
      <c r="M3410" s="18"/>
      <c r="N3410" s="18"/>
      <c r="O3410" s="18"/>
      <c r="P3410" s="18"/>
      <c r="Q3410" s="22"/>
      <c r="R3410" s="21"/>
      <c r="S3410" s="21"/>
      <c r="T3410" s="21"/>
      <c r="AA3410"/>
      <c r="AH3410" t="str">
        <f t="shared" si="531"/>
        <v>k yet</v>
      </c>
    </row>
    <row r="3411" spans="1:39">
      <c r="A3411" s="42" t="s">
        <v>267</v>
      </c>
      <c r="B3411" s="40" t="str">
        <f t="shared" si="528"/>
        <v>No pick yet</v>
      </c>
      <c r="C3411" s="40" t="str">
        <f t="shared" si="527"/>
        <v>22-&gt;</v>
      </c>
      <c r="D3411" s="40" t="str">
        <f t="shared" si="529"/>
        <v xml:space="preserve">No pick yet                                                 </v>
      </c>
      <c r="E3411" s="52">
        <f t="shared" si="530"/>
        <v>0</v>
      </c>
      <c r="F3411" s="18"/>
      <c r="M3411" s="18"/>
      <c r="N3411" s="18"/>
      <c r="O3411" s="18"/>
      <c r="P3411" s="18"/>
      <c r="Q3411" s="22"/>
      <c r="R3411" s="21"/>
      <c r="S3411" s="21"/>
      <c r="T3411" s="21"/>
      <c r="AA3411"/>
      <c r="AH3411" t="str">
        <f t="shared" si="531"/>
        <v>k yet</v>
      </c>
    </row>
    <row r="3412" spans="1:39">
      <c r="A3412" s="42" t="s">
        <v>268</v>
      </c>
      <c r="B3412" s="40" t="str">
        <f t="shared" si="528"/>
        <v>No pick yet</v>
      </c>
      <c r="C3412" s="40" t="str">
        <f t="shared" si="527"/>
        <v>23-&gt;</v>
      </c>
      <c r="D3412" s="40" t="str">
        <f t="shared" si="529"/>
        <v xml:space="preserve">No pick yet                                                 </v>
      </c>
      <c r="E3412" s="52">
        <f t="shared" si="530"/>
        <v>0</v>
      </c>
      <c r="F3412" s="18"/>
      <c r="M3412" s="18"/>
      <c r="N3412" s="18"/>
      <c r="O3412" s="18"/>
      <c r="P3412" s="18"/>
      <c r="Q3412" s="22"/>
      <c r="R3412" s="21"/>
      <c r="S3412" s="21"/>
      <c r="T3412" s="21"/>
      <c r="AA3412"/>
      <c r="AH3412" t="str">
        <f t="shared" si="531"/>
        <v>k yet</v>
      </c>
    </row>
    <row r="3413" spans="1:39">
      <c r="A3413" s="42" t="s">
        <v>269</v>
      </c>
      <c r="B3413" s="40" t="str">
        <f t="shared" si="528"/>
        <v>No pick yet</v>
      </c>
      <c r="C3413" s="40" t="str">
        <f t="shared" si="527"/>
        <v>24-&gt;</v>
      </c>
      <c r="D3413" s="40" t="str">
        <f t="shared" si="529"/>
        <v xml:space="preserve">No pick yet                                                 </v>
      </c>
      <c r="E3413" s="52">
        <f t="shared" si="530"/>
        <v>0</v>
      </c>
      <c r="F3413" s="18"/>
      <c r="M3413" s="18"/>
      <c r="N3413" s="18"/>
      <c r="O3413" s="18"/>
      <c r="P3413" s="18"/>
      <c r="Q3413" s="22"/>
      <c r="R3413" s="21"/>
      <c r="S3413" s="21"/>
      <c r="T3413" s="21"/>
      <c r="AA3413"/>
      <c r="AH3413" t="str">
        <f t="shared" si="531"/>
        <v>k yet</v>
      </c>
    </row>
    <row r="3414" spans="1:39">
      <c r="A3414" s="42" t="s">
        <v>270</v>
      </c>
      <c r="B3414" s="40" t="str">
        <f t="shared" si="528"/>
        <v>No pick yet</v>
      </c>
      <c r="C3414" s="40" t="str">
        <f t="shared" si="527"/>
        <v>25-&gt;</v>
      </c>
      <c r="D3414" s="40" t="str">
        <f t="shared" si="529"/>
        <v xml:space="preserve">No pick yet                                                 </v>
      </c>
      <c r="E3414" s="52">
        <f t="shared" si="530"/>
        <v>0</v>
      </c>
      <c r="F3414" s="18"/>
      <c r="M3414" s="18"/>
      <c r="N3414" s="18"/>
      <c r="O3414" s="18"/>
      <c r="P3414" s="18"/>
      <c r="Q3414" s="22"/>
      <c r="R3414" s="21"/>
      <c r="S3414" s="21"/>
      <c r="T3414" s="21"/>
      <c r="AA3414"/>
      <c r="AH3414" t="str">
        <f t="shared" si="531"/>
        <v>k yet</v>
      </c>
    </row>
    <row r="3415" spans="1:39">
      <c r="A3415" s="42" t="s">
        <v>271</v>
      </c>
      <c r="B3415" s="40" t="str">
        <f t="shared" si="528"/>
        <v>No pick yet</v>
      </c>
      <c r="C3415" s="40" t="str">
        <f t="shared" si="527"/>
        <v>26-&gt;</v>
      </c>
      <c r="D3415" s="40" t="str">
        <f t="shared" si="529"/>
        <v xml:space="preserve">No pick yet                                                 </v>
      </c>
      <c r="E3415" s="52">
        <f t="shared" si="530"/>
        <v>0</v>
      </c>
      <c r="F3415" s="18"/>
      <c r="M3415" s="18"/>
      <c r="N3415" s="18"/>
      <c r="O3415" s="18"/>
      <c r="P3415" s="18"/>
      <c r="Q3415" s="22"/>
      <c r="R3415" s="21"/>
      <c r="S3415" s="21"/>
      <c r="T3415" s="21"/>
      <c r="AA3415"/>
      <c r="AH3415" t="str">
        <f t="shared" si="531"/>
        <v>k yet</v>
      </c>
    </row>
    <row r="3416" spans="1:39">
      <c r="A3416" s="38"/>
      <c r="B3416" s="40"/>
      <c r="C3416" s="40"/>
      <c r="D3416" s="49"/>
      <c r="E3416" s="41" t="s">
        <v>69</v>
      </c>
      <c r="F3416" s="18"/>
      <c r="K3416" s="22" t="s">
        <v>73</v>
      </c>
      <c r="L3416" s="18" t="s">
        <v>74</v>
      </c>
      <c r="M3416" s="22" t="s">
        <v>78</v>
      </c>
      <c r="N3416" s="22" t="s">
        <v>79</v>
      </c>
      <c r="O3416" s="22" t="s">
        <v>80</v>
      </c>
      <c r="P3416" s="22" t="s">
        <v>81</v>
      </c>
      <c r="Q3416" s="22" t="s">
        <v>82</v>
      </c>
      <c r="R3416" s="22" t="s">
        <v>83</v>
      </c>
      <c r="S3416" s="22" t="s">
        <v>84</v>
      </c>
      <c r="T3416" s="18" t="s">
        <v>85</v>
      </c>
      <c r="U3416" s="18" t="s">
        <v>86</v>
      </c>
      <c r="V3416" s="18" t="s">
        <v>87</v>
      </c>
      <c r="W3416" s="18" t="s">
        <v>88</v>
      </c>
      <c r="X3416" s="18" t="s">
        <v>89</v>
      </c>
      <c r="Y3416" s="18" t="s">
        <v>90</v>
      </c>
      <c r="Z3416" s="18" t="s">
        <v>91</v>
      </c>
      <c r="AA3416" s="18" t="s">
        <v>92</v>
      </c>
      <c r="AB3416" s="18" t="s">
        <v>93</v>
      </c>
      <c r="AC3416" s="18" t="s">
        <v>94</v>
      </c>
      <c r="AD3416" s="18" t="s">
        <v>235</v>
      </c>
      <c r="AE3416" s="18" t="s">
        <v>236</v>
      </c>
      <c r="AF3416" s="18" t="s">
        <v>237</v>
      </c>
      <c r="AG3416" s="18" t="s">
        <v>238</v>
      </c>
      <c r="AH3416" s="18" t="s">
        <v>239</v>
      </c>
      <c r="AI3416" s="18" t="s">
        <v>240</v>
      </c>
      <c r="AJ3416" s="18" t="s">
        <v>241</v>
      </c>
      <c r="AK3416" s="18" t="s">
        <v>242</v>
      </c>
      <c r="AL3416" s="18" t="s">
        <v>243</v>
      </c>
      <c r="AM3416" s="50" t="s">
        <v>244</v>
      </c>
    </row>
    <row r="3417" spans="1:39">
      <c r="A3417" s="40" t="s">
        <v>245</v>
      </c>
      <c r="B3417" s="51" t="str">
        <f>D121</f>
        <v/>
      </c>
      <c r="C3417" s="40" t="str">
        <f t="shared" ref="C3417:C3443" si="532">A3417</f>
        <v>#</v>
      </c>
      <c r="D3417" s="40" t="str">
        <f>"   "&amp;B3417&amp;REPT(" ",$AH$70-LEN(B3417)-3)</f>
        <v xml:space="preserve">                                                            </v>
      </c>
      <c r="E3417" s="38" t="str">
        <f>SUM(E3418:E3443)&amp;" pts[/b]"</f>
        <v>0 pts[/b]</v>
      </c>
      <c r="F3417" s="21">
        <f>SUM(E3418:E3443)</f>
        <v>0</v>
      </c>
      <c r="K3417" s="18">
        <f>COUNTIF(E3418:E3443,"&gt;0")</f>
        <v>0</v>
      </c>
      <c r="L3417" s="21">
        <f>AM3417-K3417</f>
        <v>0</v>
      </c>
      <c r="M3417" s="22">
        <f>MAX(E3418:E3443)</f>
        <v>0</v>
      </c>
      <c r="N3417" s="22">
        <f>LARGE(E3418:E3443,2)</f>
        <v>0</v>
      </c>
      <c r="O3417" s="22">
        <f>LARGE(E3418:E3443,3)</f>
        <v>0</v>
      </c>
      <c r="P3417" s="18">
        <f>LARGE(E3418:E3443,4)</f>
        <v>0</v>
      </c>
      <c r="Q3417" s="22">
        <f>LARGE(E3418:E3443,5)</f>
        <v>0</v>
      </c>
      <c r="R3417" s="22">
        <f>LARGE(E3418:E3443,6)</f>
        <v>0</v>
      </c>
      <c r="S3417" s="22">
        <f>LARGE(E3418:E3443,7)</f>
        <v>0</v>
      </c>
      <c r="T3417" s="18">
        <f>LARGE(E3418:E3443,8)</f>
        <v>0</v>
      </c>
      <c r="U3417" s="18">
        <f>LARGE(E3418:E3443,9)</f>
        <v>0</v>
      </c>
      <c r="V3417" s="18">
        <f>LARGE(E3418:E3443,10)</f>
        <v>0</v>
      </c>
      <c r="W3417" s="18">
        <f>LARGE(E3418:E3443,11)</f>
        <v>0</v>
      </c>
      <c r="X3417" s="18">
        <f>LARGE(E3418:E3443,12)</f>
        <v>0</v>
      </c>
      <c r="Y3417" s="18">
        <f>LARGE(E3418:E3443,13)</f>
        <v>0</v>
      </c>
      <c r="Z3417" s="18">
        <f>LARGE(E3418:E3443,14)</f>
        <v>0</v>
      </c>
      <c r="AA3417" s="18">
        <f>LARGE(E3418:E3443,15)</f>
        <v>0</v>
      </c>
      <c r="AB3417" s="18">
        <f>LARGE(E3418:E3443,16)</f>
        <v>0</v>
      </c>
      <c r="AC3417" s="18">
        <f>LARGE(E3418:E3443,17)</f>
        <v>0</v>
      </c>
      <c r="AD3417" s="18">
        <f>LARGE(E3418:E3444,13)</f>
        <v>0</v>
      </c>
      <c r="AE3417" s="18">
        <f>LARGE(E3418:E3443,19)</f>
        <v>0</v>
      </c>
      <c r="AF3417" s="18">
        <f>LARGE(E3418:E3443,20)</f>
        <v>0</v>
      </c>
      <c r="AG3417" s="18">
        <f>LARGE(E3418:E3443,21)</f>
        <v>0</v>
      </c>
      <c r="AH3417" s="18">
        <f>LARGE(E3418:E3443,22)</f>
        <v>0</v>
      </c>
      <c r="AI3417" s="18">
        <f>LARGE(E3418:E3443,23)</f>
        <v>0</v>
      </c>
      <c r="AJ3417" s="18">
        <f>LARGE(E3418:E3443,24)</f>
        <v>0</v>
      </c>
      <c r="AK3417" s="18">
        <f>LARGE(E3418:E3443,25)</f>
        <v>0</v>
      </c>
      <c r="AL3417" s="18">
        <f>LARGE(E3418:E3443,26)</f>
        <v>0</v>
      </c>
      <c r="AM3417" s="50">
        <f>COUNTIF(B3418:B3443,"&lt;&gt;"&amp;AH74)</f>
        <v>0</v>
      </c>
    </row>
    <row r="3418" spans="1:39">
      <c r="A3418" s="42" t="s">
        <v>246</v>
      </c>
      <c r="B3418" s="40" t="str">
        <f t="shared" ref="B3418:B3443" si="533">$AH$74</f>
        <v>No pick yet</v>
      </c>
      <c r="C3418" s="40" t="str">
        <f t="shared" si="532"/>
        <v>01-&gt;</v>
      </c>
      <c r="D3418" s="40" t="str">
        <f t="shared" ref="D3418:D3443" si="534">B3418&amp;REPT(" ",$AH$70-LEN(B3418))</f>
        <v xml:space="preserve">No pick yet                                                 </v>
      </c>
      <c r="E3418" s="52">
        <f t="shared" ref="E3418:E3443" si="535">VLOOKUP(RIGHT(B3418,LEN(B3418)-$AH$66),$H$138:$I$420,2,0)</f>
        <v>0</v>
      </c>
      <c r="F3418" s="18"/>
      <c r="M3418" s="18"/>
      <c r="N3418" s="18"/>
      <c r="O3418" s="18"/>
      <c r="P3418" s="18"/>
      <c r="Q3418" s="22"/>
      <c r="R3418" s="21"/>
      <c r="S3418" s="21"/>
      <c r="T3418" s="21"/>
      <c r="AA3418"/>
      <c r="AH3418" t="str">
        <f t="shared" ref="AH3418:AH3443" si="536">RIGHT(B3418,LEN(B3418)-$AH$66)</f>
        <v>k yet</v>
      </c>
    </row>
    <row r="3419" spans="1:39">
      <c r="A3419" s="42" t="s">
        <v>247</v>
      </c>
      <c r="B3419" s="40" t="str">
        <f t="shared" si="533"/>
        <v>No pick yet</v>
      </c>
      <c r="C3419" s="40" t="str">
        <f t="shared" si="532"/>
        <v>02-&gt;</v>
      </c>
      <c r="D3419" s="40" t="str">
        <f t="shared" si="534"/>
        <v xml:space="preserve">No pick yet                                                 </v>
      </c>
      <c r="E3419" s="52">
        <f t="shared" si="535"/>
        <v>0</v>
      </c>
      <c r="F3419" s="18"/>
      <c r="K3419" s="22"/>
      <c r="N3419" s="22"/>
      <c r="O3419" s="22"/>
      <c r="P3419" s="22"/>
      <c r="Q3419" s="22"/>
      <c r="R3419" s="22"/>
      <c r="S3419" s="22"/>
      <c r="Z3419" s="53"/>
      <c r="AA3419"/>
      <c r="AH3419" t="str">
        <f t="shared" si="536"/>
        <v>k yet</v>
      </c>
    </row>
    <row r="3420" spans="1:39">
      <c r="A3420" s="42" t="s">
        <v>248</v>
      </c>
      <c r="B3420" s="40" t="str">
        <f t="shared" si="533"/>
        <v>No pick yet</v>
      </c>
      <c r="C3420" s="40" t="str">
        <f t="shared" si="532"/>
        <v>03-&gt;</v>
      </c>
      <c r="D3420" s="40" t="str">
        <f t="shared" si="534"/>
        <v xml:space="preserve">No pick yet                                                 </v>
      </c>
      <c r="E3420" s="52">
        <f t="shared" si="535"/>
        <v>0</v>
      </c>
      <c r="F3420" s="18"/>
      <c r="L3420" s="21"/>
      <c r="N3420" s="22"/>
      <c r="O3420" s="22"/>
      <c r="P3420" s="18"/>
      <c r="Q3420" s="22"/>
      <c r="R3420" s="22"/>
      <c r="S3420" s="22"/>
      <c r="Z3420" s="53"/>
      <c r="AA3420"/>
      <c r="AH3420" t="str">
        <f t="shared" si="536"/>
        <v>k yet</v>
      </c>
    </row>
    <row r="3421" spans="1:39">
      <c r="A3421" s="42" t="s">
        <v>249</v>
      </c>
      <c r="B3421" s="40" t="str">
        <f t="shared" si="533"/>
        <v>No pick yet</v>
      </c>
      <c r="C3421" s="40" t="str">
        <f t="shared" si="532"/>
        <v>04-&gt;</v>
      </c>
      <c r="D3421" s="40" t="str">
        <f t="shared" si="534"/>
        <v xml:space="preserve">No pick yet                                                 </v>
      </c>
      <c r="E3421" s="52">
        <f t="shared" si="535"/>
        <v>0</v>
      </c>
      <c r="F3421" s="18"/>
      <c r="M3421" s="18"/>
      <c r="N3421" s="18"/>
      <c r="O3421" s="18"/>
      <c r="P3421" s="18"/>
      <c r="Q3421" s="22"/>
      <c r="R3421" s="21"/>
      <c r="S3421" s="21"/>
      <c r="T3421" s="21"/>
      <c r="AA3421"/>
      <c r="AH3421" t="str">
        <f t="shared" si="536"/>
        <v>k yet</v>
      </c>
    </row>
    <row r="3422" spans="1:39">
      <c r="A3422" s="42" t="s">
        <v>250</v>
      </c>
      <c r="B3422" s="40" t="str">
        <f t="shared" si="533"/>
        <v>No pick yet</v>
      </c>
      <c r="C3422" s="40" t="str">
        <f t="shared" si="532"/>
        <v>05-&gt;</v>
      </c>
      <c r="D3422" s="40" t="str">
        <f t="shared" si="534"/>
        <v xml:space="preserve">No pick yet                                                 </v>
      </c>
      <c r="E3422" s="52">
        <f t="shared" si="535"/>
        <v>0</v>
      </c>
      <c r="F3422" s="18"/>
      <c r="M3422" s="18"/>
      <c r="N3422" s="18"/>
      <c r="O3422" s="18"/>
      <c r="P3422" s="18"/>
      <c r="Q3422" s="22"/>
      <c r="R3422" s="21"/>
      <c r="S3422" s="21"/>
      <c r="T3422" s="21"/>
      <c r="AA3422"/>
      <c r="AH3422" t="str">
        <f t="shared" si="536"/>
        <v>k yet</v>
      </c>
    </row>
    <row r="3423" spans="1:39">
      <c r="A3423" s="42" t="s">
        <v>251</v>
      </c>
      <c r="B3423" s="40" t="str">
        <f t="shared" si="533"/>
        <v>No pick yet</v>
      </c>
      <c r="C3423" s="40" t="str">
        <f t="shared" si="532"/>
        <v>06-&gt;</v>
      </c>
      <c r="D3423" s="40" t="str">
        <f t="shared" si="534"/>
        <v xml:space="preserve">No pick yet                                                 </v>
      </c>
      <c r="E3423" s="52">
        <f t="shared" si="535"/>
        <v>0</v>
      </c>
      <c r="F3423" s="18"/>
      <c r="M3423" s="18"/>
      <c r="N3423" s="18"/>
      <c r="O3423" s="18"/>
      <c r="P3423" s="18"/>
      <c r="Q3423" s="22"/>
      <c r="R3423" s="21"/>
      <c r="S3423" s="21"/>
      <c r="T3423" s="21"/>
      <c r="AA3423"/>
      <c r="AH3423" t="str">
        <f t="shared" si="536"/>
        <v>k yet</v>
      </c>
    </row>
    <row r="3424" spans="1:39">
      <c r="A3424" s="42" t="s">
        <v>252</v>
      </c>
      <c r="B3424" s="40" t="str">
        <f t="shared" si="533"/>
        <v>No pick yet</v>
      </c>
      <c r="C3424" s="40" t="str">
        <f t="shared" si="532"/>
        <v>07-&gt;</v>
      </c>
      <c r="D3424" s="40" t="str">
        <f t="shared" si="534"/>
        <v xml:space="preserve">No pick yet                                                 </v>
      </c>
      <c r="E3424" s="52">
        <f t="shared" si="535"/>
        <v>0</v>
      </c>
      <c r="F3424" s="18"/>
      <c r="M3424" s="18"/>
      <c r="N3424" s="18"/>
      <c r="O3424" s="18"/>
      <c r="P3424" s="18"/>
      <c r="Q3424" s="22"/>
      <c r="R3424" s="21"/>
      <c r="S3424" s="21"/>
      <c r="T3424" s="21"/>
      <c r="AA3424"/>
      <c r="AH3424" t="str">
        <f t="shared" si="536"/>
        <v>k yet</v>
      </c>
    </row>
    <row r="3425" spans="1:34">
      <c r="A3425" s="42" t="s">
        <v>253</v>
      </c>
      <c r="B3425" s="40" t="str">
        <f t="shared" si="533"/>
        <v>No pick yet</v>
      </c>
      <c r="C3425" s="40" t="str">
        <f t="shared" si="532"/>
        <v>08-&gt;</v>
      </c>
      <c r="D3425" s="40" t="str">
        <f t="shared" si="534"/>
        <v xml:space="preserve">No pick yet                                                 </v>
      </c>
      <c r="E3425" s="52">
        <f t="shared" si="535"/>
        <v>0</v>
      </c>
      <c r="F3425" s="18"/>
      <c r="M3425" s="18"/>
      <c r="N3425" s="18"/>
      <c r="O3425" s="18"/>
      <c r="P3425" s="18"/>
      <c r="Q3425" s="22"/>
      <c r="R3425" s="21"/>
      <c r="S3425" s="21"/>
      <c r="T3425" s="21"/>
      <c r="AA3425"/>
      <c r="AH3425" t="str">
        <f t="shared" si="536"/>
        <v>k yet</v>
      </c>
    </row>
    <row r="3426" spans="1:34">
      <c r="A3426" s="42" t="s">
        <v>254</v>
      </c>
      <c r="B3426" s="40" t="str">
        <f t="shared" si="533"/>
        <v>No pick yet</v>
      </c>
      <c r="C3426" s="40" t="str">
        <f t="shared" si="532"/>
        <v>09-&gt;</v>
      </c>
      <c r="D3426" s="40" t="str">
        <f t="shared" si="534"/>
        <v xml:space="preserve">No pick yet                                                 </v>
      </c>
      <c r="E3426" s="52">
        <f t="shared" si="535"/>
        <v>0</v>
      </c>
      <c r="F3426" s="18"/>
      <c r="M3426" s="18"/>
      <c r="N3426" s="18"/>
      <c r="O3426" s="18"/>
      <c r="P3426" s="18"/>
      <c r="Q3426" s="22"/>
      <c r="R3426" s="21"/>
      <c r="S3426" s="21"/>
      <c r="T3426" s="21"/>
      <c r="AA3426"/>
      <c r="AH3426" t="str">
        <f t="shared" si="536"/>
        <v>k yet</v>
      </c>
    </row>
    <row r="3427" spans="1:34">
      <c r="A3427" s="42" t="s">
        <v>255</v>
      </c>
      <c r="B3427" s="40" t="str">
        <f t="shared" si="533"/>
        <v>No pick yet</v>
      </c>
      <c r="C3427" s="40" t="str">
        <f t="shared" si="532"/>
        <v>10-&gt;</v>
      </c>
      <c r="D3427" s="40" t="str">
        <f t="shared" si="534"/>
        <v xml:space="preserve">No pick yet                                                 </v>
      </c>
      <c r="E3427" s="52">
        <f t="shared" si="535"/>
        <v>0</v>
      </c>
      <c r="F3427" s="22"/>
      <c r="M3427" s="18"/>
      <c r="N3427" s="18"/>
      <c r="O3427" s="18"/>
      <c r="P3427" s="18"/>
      <c r="Q3427" s="22"/>
      <c r="R3427" s="21"/>
      <c r="S3427" s="21"/>
      <c r="T3427" s="21"/>
      <c r="AA3427"/>
      <c r="AH3427" t="str">
        <f t="shared" si="536"/>
        <v>k yet</v>
      </c>
    </row>
    <row r="3428" spans="1:34">
      <c r="A3428" s="42" t="s">
        <v>256</v>
      </c>
      <c r="B3428" s="40" t="str">
        <f t="shared" si="533"/>
        <v>No pick yet</v>
      </c>
      <c r="C3428" s="40" t="str">
        <f t="shared" si="532"/>
        <v>11-&gt;</v>
      </c>
      <c r="D3428" s="40" t="str">
        <f t="shared" si="534"/>
        <v xml:space="preserve">No pick yet                                                 </v>
      </c>
      <c r="E3428" s="52">
        <f t="shared" si="535"/>
        <v>0</v>
      </c>
      <c r="M3428" s="18"/>
      <c r="N3428" s="18"/>
      <c r="O3428" s="18"/>
      <c r="P3428" s="18"/>
      <c r="Q3428" s="22"/>
      <c r="R3428" s="21"/>
      <c r="S3428" s="21"/>
      <c r="T3428" s="21"/>
      <c r="AA3428"/>
      <c r="AH3428" t="str">
        <f t="shared" si="536"/>
        <v>k yet</v>
      </c>
    </row>
    <row r="3429" spans="1:34">
      <c r="A3429" s="42" t="s">
        <v>257</v>
      </c>
      <c r="B3429" s="40" t="str">
        <f t="shared" si="533"/>
        <v>No pick yet</v>
      </c>
      <c r="C3429" s="40" t="str">
        <f t="shared" si="532"/>
        <v>12-&gt;</v>
      </c>
      <c r="D3429" s="40" t="str">
        <f t="shared" si="534"/>
        <v xml:space="preserve">No pick yet                                                 </v>
      </c>
      <c r="E3429" s="52">
        <f t="shared" si="535"/>
        <v>0</v>
      </c>
      <c r="M3429" s="18"/>
      <c r="N3429" s="18"/>
      <c r="O3429" s="18"/>
      <c r="P3429" s="18"/>
      <c r="Q3429" s="22"/>
      <c r="R3429" s="21"/>
      <c r="S3429" s="21"/>
      <c r="T3429" s="21"/>
      <c r="AA3429"/>
      <c r="AH3429" t="str">
        <f t="shared" si="536"/>
        <v>k yet</v>
      </c>
    </row>
    <row r="3430" spans="1:34">
      <c r="A3430" s="42" t="s">
        <v>258</v>
      </c>
      <c r="B3430" s="40" t="str">
        <f t="shared" si="533"/>
        <v>No pick yet</v>
      </c>
      <c r="C3430" s="40" t="str">
        <f t="shared" si="532"/>
        <v>13-&gt;</v>
      </c>
      <c r="D3430" s="40" t="str">
        <f t="shared" si="534"/>
        <v xml:space="preserve">No pick yet                                                 </v>
      </c>
      <c r="E3430" s="52">
        <f t="shared" si="535"/>
        <v>0</v>
      </c>
      <c r="M3430" s="18"/>
      <c r="N3430" s="18"/>
      <c r="O3430" s="18"/>
      <c r="P3430" s="18"/>
      <c r="Q3430" s="22"/>
      <c r="R3430" s="21"/>
      <c r="S3430" s="21"/>
      <c r="T3430" s="21"/>
      <c r="AA3430"/>
      <c r="AH3430" t="str">
        <f t="shared" si="536"/>
        <v>k yet</v>
      </c>
    </row>
    <row r="3431" spans="1:34">
      <c r="A3431" s="42" t="s">
        <v>259</v>
      </c>
      <c r="B3431" s="40" t="str">
        <f t="shared" si="533"/>
        <v>No pick yet</v>
      </c>
      <c r="C3431" s="40" t="str">
        <f t="shared" si="532"/>
        <v>14-&gt;</v>
      </c>
      <c r="D3431" s="40" t="str">
        <f t="shared" si="534"/>
        <v xml:space="preserve">No pick yet                                                 </v>
      </c>
      <c r="E3431" s="52">
        <f t="shared" si="535"/>
        <v>0</v>
      </c>
      <c r="M3431" s="18"/>
      <c r="N3431" s="18"/>
      <c r="O3431" s="18"/>
      <c r="P3431" s="18"/>
      <c r="Q3431" s="22"/>
      <c r="R3431" s="21"/>
      <c r="S3431" s="21"/>
      <c r="T3431" s="21"/>
      <c r="AA3431"/>
      <c r="AH3431" t="str">
        <f t="shared" si="536"/>
        <v>k yet</v>
      </c>
    </row>
    <row r="3432" spans="1:34">
      <c r="A3432" s="42" t="s">
        <v>260</v>
      </c>
      <c r="B3432" s="40" t="str">
        <f t="shared" si="533"/>
        <v>No pick yet</v>
      </c>
      <c r="C3432" s="40" t="str">
        <f t="shared" si="532"/>
        <v>15-&gt;</v>
      </c>
      <c r="D3432" s="40" t="str">
        <f t="shared" si="534"/>
        <v xml:space="preserve">No pick yet                                                 </v>
      </c>
      <c r="E3432" s="52">
        <f t="shared" si="535"/>
        <v>0</v>
      </c>
      <c r="M3432" s="18"/>
      <c r="N3432" s="18"/>
      <c r="O3432" s="18"/>
      <c r="P3432" s="18"/>
      <c r="Q3432" s="22"/>
      <c r="R3432" s="21"/>
      <c r="S3432" s="21"/>
      <c r="T3432" s="21"/>
      <c r="AA3432"/>
      <c r="AH3432" t="str">
        <f t="shared" si="536"/>
        <v>k yet</v>
      </c>
    </row>
    <row r="3433" spans="1:34">
      <c r="A3433" s="42" t="s">
        <v>261</v>
      </c>
      <c r="B3433" s="40" t="str">
        <f t="shared" si="533"/>
        <v>No pick yet</v>
      </c>
      <c r="C3433" s="40" t="str">
        <f t="shared" si="532"/>
        <v>16-&gt;</v>
      </c>
      <c r="D3433" s="40" t="str">
        <f t="shared" si="534"/>
        <v xml:space="preserve">No pick yet                                                 </v>
      </c>
      <c r="E3433" s="52">
        <f t="shared" si="535"/>
        <v>0</v>
      </c>
      <c r="M3433" s="18"/>
      <c r="N3433" s="18"/>
      <c r="O3433" s="18"/>
      <c r="P3433" s="18"/>
      <c r="Q3433" s="22"/>
      <c r="R3433" s="21"/>
      <c r="S3433" s="21"/>
      <c r="T3433" s="21"/>
      <c r="AA3433"/>
      <c r="AH3433" t="str">
        <f t="shared" si="536"/>
        <v>k yet</v>
      </c>
    </row>
    <row r="3434" spans="1:34">
      <c r="A3434" s="42" t="s">
        <v>262</v>
      </c>
      <c r="B3434" s="40" t="str">
        <f t="shared" si="533"/>
        <v>No pick yet</v>
      </c>
      <c r="C3434" s="40" t="str">
        <f t="shared" si="532"/>
        <v>17-&gt;</v>
      </c>
      <c r="D3434" s="40" t="str">
        <f t="shared" si="534"/>
        <v xml:space="preserve">No pick yet                                                 </v>
      </c>
      <c r="E3434" s="52">
        <f t="shared" si="535"/>
        <v>0</v>
      </c>
      <c r="K3434" s="22"/>
      <c r="N3434" s="22"/>
      <c r="O3434" s="22"/>
      <c r="P3434" s="22"/>
      <c r="Q3434" s="22"/>
      <c r="R3434" s="22"/>
      <c r="S3434" s="22"/>
      <c r="Z3434" s="53"/>
      <c r="AA3434"/>
      <c r="AH3434" t="str">
        <f t="shared" si="536"/>
        <v>k yet</v>
      </c>
    </row>
    <row r="3435" spans="1:34">
      <c r="A3435" s="42" t="s">
        <v>263</v>
      </c>
      <c r="B3435" s="40" t="str">
        <f t="shared" si="533"/>
        <v>No pick yet</v>
      </c>
      <c r="C3435" s="40" t="str">
        <f t="shared" si="532"/>
        <v>18-&gt;</v>
      </c>
      <c r="D3435" s="40" t="str">
        <f t="shared" si="534"/>
        <v xml:space="preserve">No pick yet                                                 </v>
      </c>
      <c r="E3435" s="52">
        <f t="shared" si="535"/>
        <v>0</v>
      </c>
      <c r="F3435" s="18"/>
      <c r="L3435" s="21"/>
      <c r="N3435" s="22"/>
      <c r="O3435" s="22"/>
      <c r="P3435" s="18"/>
      <c r="Q3435" s="22"/>
      <c r="R3435" s="22"/>
      <c r="S3435" s="22"/>
      <c r="Z3435" s="53"/>
      <c r="AA3435"/>
      <c r="AH3435" t="str">
        <f t="shared" si="536"/>
        <v>k yet</v>
      </c>
    </row>
    <row r="3436" spans="1:34">
      <c r="A3436" s="42" t="s">
        <v>264</v>
      </c>
      <c r="B3436" s="40" t="str">
        <f t="shared" si="533"/>
        <v>No pick yet</v>
      </c>
      <c r="C3436" s="40" t="str">
        <f t="shared" si="532"/>
        <v>19-&gt;</v>
      </c>
      <c r="D3436" s="40" t="str">
        <f t="shared" si="534"/>
        <v xml:space="preserve">No pick yet                                                 </v>
      </c>
      <c r="E3436" s="52">
        <f t="shared" si="535"/>
        <v>0</v>
      </c>
      <c r="F3436" s="18"/>
      <c r="M3436" s="18"/>
      <c r="N3436" s="18"/>
      <c r="O3436" s="18"/>
      <c r="P3436" s="18"/>
      <c r="Q3436" s="22"/>
      <c r="R3436" s="21"/>
      <c r="S3436" s="21"/>
      <c r="T3436" s="21"/>
      <c r="AA3436"/>
      <c r="AH3436" t="str">
        <f t="shared" si="536"/>
        <v>k yet</v>
      </c>
    </row>
    <row r="3437" spans="1:34">
      <c r="A3437" s="42" t="s">
        <v>265</v>
      </c>
      <c r="B3437" s="40" t="str">
        <f t="shared" si="533"/>
        <v>No pick yet</v>
      </c>
      <c r="C3437" s="40" t="str">
        <f t="shared" si="532"/>
        <v>20-&gt;</v>
      </c>
      <c r="D3437" s="40" t="str">
        <f t="shared" si="534"/>
        <v xml:space="preserve">No pick yet                                                 </v>
      </c>
      <c r="E3437" s="52">
        <f t="shared" si="535"/>
        <v>0</v>
      </c>
      <c r="F3437" s="18"/>
      <c r="M3437" s="18"/>
      <c r="N3437" s="18"/>
      <c r="O3437" s="18"/>
      <c r="P3437" s="18"/>
      <c r="Q3437" s="22"/>
      <c r="R3437" s="21"/>
      <c r="S3437" s="21"/>
      <c r="T3437" s="21"/>
      <c r="AA3437"/>
      <c r="AH3437" t="str">
        <f t="shared" si="536"/>
        <v>k yet</v>
      </c>
    </row>
    <row r="3438" spans="1:34">
      <c r="A3438" s="42" t="s">
        <v>266</v>
      </c>
      <c r="B3438" s="40" t="str">
        <f t="shared" si="533"/>
        <v>No pick yet</v>
      </c>
      <c r="C3438" s="40" t="str">
        <f t="shared" si="532"/>
        <v>21-&gt;</v>
      </c>
      <c r="D3438" s="40" t="str">
        <f t="shared" si="534"/>
        <v xml:space="preserve">No pick yet                                                 </v>
      </c>
      <c r="E3438" s="52">
        <f t="shared" si="535"/>
        <v>0</v>
      </c>
      <c r="F3438" s="18"/>
      <c r="M3438" s="18"/>
      <c r="N3438" s="18"/>
      <c r="O3438" s="18"/>
      <c r="P3438" s="18"/>
      <c r="Q3438" s="22"/>
      <c r="R3438" s="21"/>
      <c r="S3438" s="21"/>
      <c r="T3438" s="21"/>
      <c r="AA3438"/>
      <c r="AH3438" t="str">
        <f t="shared" si="536"/>
        <v>k yet</v>
      </c>
    </row>
    <row r="3439" spans="1:34">
      <c r="A3439" s="42" t="s">
        <v>267</v>
      </c>
      <c r="B3439" s="40" t="str">
        <f t="shared" si="533"/>
        <v>No pick yet</v>
      </c>
      <c r="C3439" s="40" t="str">
        <f t="shared" si="532"/>
        <v>22-&gt;</v>
      </c>
      <c r="D3439" s="40" t="str">
        <f t="shared" si="534"/>
        <v xml:space="preserve">No pick yet                                                 </v>
      </c>
      <c r="E3439" s="52">
        <f t="shared" si="535"/>
        <v>0</v>
      </c>
      <c r="F3439" s="18"/>
      <c r="M3439" s="18"/>
      <c r="N3439" s="18"/>
      <c r="O3439" s="18"/>
      <c r="P3439" s="18"/>
      <c r="Q3439" s="22"/>
      <c r="R3439" s="21"/>
      <c r="S3439" s="21"/>
      <c r="T3439" s="21"/>
      <c r="AA3439"/>
      <c r="AH3439" t="str">
        <f t="shared" si="536"/>
        <v>k yet</v>
      </c>
    </row>
    <row r="3440" spans="1:34">
      <c r="A3440" s="42" t="s">
        <v>268</v>
      </c>
      <c r="B3440" s="40" t="str">
        <f t="shared" si="533"/>
        <v>No pick yet</v>
      </c>
      <c r="C3440" s="40" t="str">
        <f t="shared" si="532"/>
        <v>23-&gt;</v>
      </c>
      <c r="D3440" s="40" t="str">
        <f t="shared" si="534"/>
        <v xml:space="preserve">No pick yet                                                 </v>
      </c>
      <c r="E3440" s="52">
        <f t="shared" si="535"/>
        <v>0</v>
      </c>
      <c r="F3440" s="18"/>
      <c r="M3440" s="18"/>
      <c r="N3440" s="18"/>
      <c r="O3440" s="18"/>
      <c r="P3440" s="18"/>
      <c r="Q3440" s="22"/>
      <c r="R3440" s="21"/>
      <c r="S3440" s="21"/>
      <c r="T3440" s="21"/>
      <c r="AA3440"/>
      <c r="AH3440" t="str">
        <f t="shared" si="536"/>
        <v>k yet</v>
      </c>
    </row>
    <row r="3441" spans="1:39">
      <c r="A3441" s="42" t="s">
        <v>269</v>
      </c>
      <c r="B3441" s="40" t="str">
        <f t="shared" si="533"/>
        <v>No pick yet</v>
      </c>
      <c r="C3441" s="40" t="str">
        <f t="shared" si="532"/>
        <v>24-&gt;</v>
      </c>
      <c r="D3441" s="40" t="str">
        <f t="shared" si="534"/>
        <v xml:space="preserve">No pick yet                                                 </v>
      </c>
      <c r="E3441" s="52">
        <f t="shared" si="535"/>
        <v>0</v>
      </c>
      <c r="F3441" s="18"/>
      <c r="M3441" s="18"/>
      <c r="N3441" s="18"/>
      <c r="O3441" s="18"/>
      <c r="P3441" s="18"/>
      <c r="Q3441" s="22"/>
      <c r="R3441" s="21"/>
      <c r="S3441" s="21"/>
      <c r="T3441" s="21"/>
      <c r="AA3441"/>
      <c r="AH3441" t="str">
        <f t="shared" si="536"/>
        <v>k yet</v>
      </c>
    </row>
    <row r="3442" spans="1:39">
      <c r="A3442" s="42" t="s">
        <v>270</v>
      </c>
      <c r="B3442" s="40" t="str">
        <f t="shared" si="533"/>
        <v>No pick yet</v>
      </c>
      <c r="C3442" s="40" t="str">
        <f t="shared" si="532"/>
        <v>25-&gt;</v>
      </c>
      <c r="D3442" s="40" t="str">
        <f t="shared" si="534"/>
        <v xml:space="preserve">No pick yet                                                 </v>
      </c>
      <c r="E3442" s="52">
        <f t="shared" si="535"/>
        <v>0</v>
      </c>
      <c r="F3442" s="18"/>
      <c r="M3442" s="18"/>
      <c r="N3442" s="18"/>
      <c r="O3442" s="18"/>
      <c r="P3442" s="18"/>
      <c r="Q3442" s="22"/>
      <c r="R3442" s="21"/>
      <c r="S3442" s="21"/>
      <c r="T3442" s="21"/>
      <c r="AA3442"/>
      <c r="AH3442" t="str">
        <f t="shared" si="536"/>
        <v>k yet</v>
      </c>
    </row>
    <row r="3443" spans="1:39">
      <c r="A3443" s="42" t="s">
        <v>271</v>
      </c>
      <c r="B3443" s="40" t="str">
        <f t="shared" si="533"/>
        <v>No pick yet</v>
      </c>
      <c r="C3443" s="40" t="str">
        <f t="shared" si="532"/>
        <v>26-&gt;</v>
      </c>
      <c r="D3443" s="40" t="str">
        <f t="shared" si="534"/>
        <v xml:space="preserve">No pick yet                                                 </v>
      </c>
      <c r="E3443" s="52">
        <f t="shared" si="535"/>
        <v>0</v>
      </c>
      <c r="F3443" s="18"/>
      <c r="M3443" s="18"/>
      <c r="N3443" s="18"/>
      <c r="O3443" s="18"/>
      <c r="P3443" s="18"/>
      <c r="Q3443" s="22"/>
      <c r="R3443" s="21"/>
      <c r="S3443" s="21"/>
      <c r="T3443" s="21"/>
      <c r="AA3443"/>
      <c r="AH3443" t="str">
        <f t="shared" si="536"/>
        <v>k yet</v>
      </c>
    </row>
    <row r="3444" spans="1:39">
      <c r="A3444" s="38"/>
      <c r="B3444" s="40"/>
      <c r="C3444" s="40"/>
      <c r="D3444" s="49"/>
      <c r="E3444" s="41" t="s">
        <v>69</v>
      </c>
      <c r="F3444" s="18"/>
      <c r="K3444" s="22" t="s">
        <v>73</v>
      </c>
      <c r="L3444" s="18" t="s">
        <v>74</v>
      </c>
      <c r="M3444" s="22" t="s">
        <v>78</v>
      </c>
      <c r="N3444" s="22" t="s">
        <v>79</v>
      </c>
      <c r="O3444" s="22" t="s">
        <v>80</v>
      </c>
      <c r="P3444" s="22" t="s">
        <v>81</v>
      </c>
      <c r="Q3444" s="22" t="s">
        <v>82</v>
      </c>
      <c r="R3444" s="22" t="s">
        <v>83</v>
      </c>
      <c r="S3444" s="22" t="s">
        <v>84</v>
      </c>
      <c r="T3444" s="18" t="s">
        <v>85</v>
      </c>
      <c r="U3444" s="18" t="s">
        <v>86</v>
      </c>
      <c r="V3444" s="18" t="s">
        <v>87</v>
      </c>
      <c r="W3444" s="18" t="s">
        <v>88</v>
      </c>
      <c r="X3444" s="18" t="s">
        <v>89</v>
      </c>
      <c r="Y3444" s="18" t="s">
        <v>90</v>
      </c>
      <c r="Z3444" s="18" t="s">
        <v>91</v>
      </c>
      <c r="AA3444" s="18" t="s">
        <v>92</v>
      </c>
      <c r="AB3444" s="18" t="s">
        <v>93</v>
      </c>
      <c r="AC3444" s="18" t="s">
        <v>94</v>
      </c>
      <c r="AD3444" s="18" t="s">
        <v>235</v>
      </c>
      <c r="AE3444" s="18" t="s">
        <v>236</v>
      </c>
      <c r="AF3444" s="18" t="s">
        <v>237</v>
      </c>
      <c r="AG3444" s="18" t="s">
        <v>238</v>
      </c>
      <c r="AH3444" s="18" t="s">
        <v>239</v>
      </c>
      <c r="AI3444" s="18" t="s">
        <v>240</v>
      </c>
      <c r="AJ3444" s="18" t="s">
        <v>241</v>
      </c>
      <c r="AK3444" s="18" t="s">
        <v>242</v>
      </c>
      <c r="AL3444" s="18" t="s">
        <v>243</v>
      </c>
      <c r="AM3444" s="50" t="s">
        <v>244</v>
      </c>
    </row>
    <row r="3445" spans="1:39">
      <c r="A3445" s="40" t="s">
        <v>245</v>
      </c>
      <c r="B3445" s="51" t="str">
        <f>D122</f>
        <v/>
      </c>
      <c r="C3445" s="40" t="str">
        <f t="shared" ref="C3445:C3471" si="537">A3445</f>
        <v>#</v>
      </c>
      <c r="D3445" s="40" t="str">
        <f>"   "&amp;B3445&amp;REPT(" ",$AH$70-LEN(B3445)-3)</f>
        <v xml:space="preserve">                                                            </v>
      </c>
      <c r="E3445" s="38" t="str">
        <f>SUM(E3446:E3471)&amp;" pts[/b]"</f>
        <v>0 pts[/b]</v>
      </c>
      <c r="F3445" s="21">
        <f>SUM(E3446:E3471)</f>
        <v>0</v>
      </c>
      <c r="K3445" s="18">
        <f>COUNTIF(E3446:E3471,"&gt;0")</f>
        <v>0</v>
      </c>
      <c r="L3445" s="21">
        <f>AM3445-K3445</f>
        <v>0</v>
      </c>
      <c r="M3445" s="22">
        <f>MAX(E3446:E3471)</f>
        <v>0</v>
      </c>
      <c r="N3445" s="22">
        <f>LARGE(E3446:E3471,2)</f>
        <v>0</v>
      </c>
      <c r="O3445" s="22">
        <f>LARGE(E3446:E3471,3)</f>
        <v>0</v>
      </c>
      <c r="P3445" s="18">
        <f>LARGE(E3446:E3471,4)</f>
        <v>0</v>
      </c>
      <c r="Q3445" s="22">
        <f>LARGE(E3446:E3471,5)</f>
        <v>0</v>
      </c>
      <c r="R3445" s="22">
        <f>LARGE(E3446:E3471,6)</f>
        <v>0</v>
      </c>
      <c r="S3445" s="22">
        <f>LARGE(E3446:E3471,7)</f>
        <v>0</v>
      </c>
      <c r="T3445" s="18">
        <f>LARGE(E3446:E3471,8)</f>
        <v>0</v>
      </c>
      <c r="U3445" s="18">
        <f>LARGE(E3446:E3471,9)</f>
        <v>0</v>
      </c>
      <c r="V3445" s="18">
        <f>LARGE(E3446:E3471,10)</f>
        <v>0</v>
      </c>
      <c r="W3445" s="18">
        <f>LARGE(E3446:E3471,11)</f>
        <v>0</v>
      </c>
      <c r="X3445" s="18">
        <f>LARGE(E3446:E3471,12)</f>
        <v>0</v>
      </c>
      <c r="Y3445" s="18">
        <f>LARGE(E3446:E3471,13)</f>
        <v>0</v>
      </c>
      <c r="Z3445" s="18">
        <f>LARGE(E3446:E3471,14)</f>
        <v>0</v>
      </c>
      <c r="AA3445" s="18">
        <f>LARGE(E3446:E3471,15)</f>
        <v>0</v>
      </c>
      <c r="AB3445" s="18">
        <f>LARGE(E3446:E3471,16)</f>
        <v>0</v>
      </c>
      <c r="AC3445" s="18">
        <f>LARGE(E3446:E3471,17)</f>
        <v>0</v>
      </c>
      <c r="AD3445" s="18">
        <f>LARGE(E3446:E3472,13)</f>
        <v>0</v>
      </c>
      <c r="AE3445" s="18">
        <f>LARGE(E3446:E3471,19)</f>
        <v>0</v>
      </c>
      <c r="AF3445" s="18">
        <f>LARGE(E3446:E3471,20)</f>
        <v>0</v>
      </c>
      <c r="AG3445" s="18">
        <f>LARGE(E3446:E3471,21)</f>
        <v>0</v>
      </c>
      <c r="AH3445" s="18">
        <f>LARGE(E3446:E3471,22)</f>
        <v>0</v>
      </c>
      <c r="AI3445" s="18">
        <f>LARGE(E3446:E3471,23)</f>
        <v>0</v>
      </c>
      <c r="AJ3445" s="18">
        <f>LARGE(E3446:E3471,24)</f>
        <v>0</v>
      </c>
      <c r="AK3445" s="18">
        <f>LARGE(E3446:E3471,25)</f>
        <v>0</v>
      </c>
      <c r="AL3445" s="18">
        <f>LARGE(E3446:E3471,26)</f>
        <v>0</v>
      </c>
      <c r="AM3445" s="50">
        <f>COUNTIF(B3446:B3471,"&lt;&gt;"&amp;AH74)</f>
        <v>0</v>
      </c>
    </row>
    <row r="3446" spans="1:39">
      <c r="A3446" s="42" t="s">
        <v>246</v>
      </c>
      <c r="B3446" s="40" t="str">
        <f t="shared" ref="B3446:B3471" si="538">$AH$74</f>
        <v>No pick yet</v>
      </c>
      <c r="C3446" s="40" t="str">
        <f t="shared" si="537"/>
        <v>01-&gt;</v>
      </c>
      <c r="D3446" s="40" t="str">
        <f t="shared" ref="D3446:D3471" si="539">B3446&amp;REPT(" ",$AH$70-LEN(B3446))</f>
        <v xml:space="preserve">No pick yet                                                 </v>
      </c>
      <c r="E3446" s="52">
        <f t="shared" ref="E3446:E3471" si="540">VLOOKUP(RIGHT(B3446,LEN(B3446)-$AH$66),$H$138:$I$420,2,0)</f>
        <v>0</v>
      </c>
      <c r="F3446" s="18"/>
      <c r="M3446" s="18"/>
      <c r="N3446" s="18"/>
      <c r="O3446" s="18"/>
      <c r="P3446" s="18"/>
      <c r="Q3446" s="22"/>
      <c r="R3446" s="21"/>
      <c r="S3446" s="21"/>
      <c r="T3446" s="21"/>
      <c r="AA3446"/>
      <c r="AH3446" t="str">
        <f t="shared" ref="AH3446:AH3471" si="541">RIGHT(B3446,LEN(B3446)-$AH$66)</f>
        <v>k yet</v>
      </c>
    </row>
    <row r="3447" spans="1:39">
      <c r="A3447" s="42" t="s">
        <v>247</v>
      </c>
      <c r="B3447" s="40" t="str">
        <f t="shared" si="538"/>
        <v>No pick yet</v>
      </c>
      <c r="C3447" s="40" t="str">
        <f t="shared" si="537"/>
        <v>02-&gt;</v>
      </c>
      <c r="D3447" s="40" t="str">
        <f t="shared" si="539"/>
        <v xml:space="preserve">No pick yet                                                 </v>
      </c>
      <c r="E3447" s="52">
        <f t="shared" si="540"/>
        <v>0</v>
      </c>
      <c r="F3447" s="18"/>
      <c r="K3447" s="22"/>
      <c r="N3447" s="22"/>
      <c r="O3447" s="22"/>
      <c r="P3447" s="22"/>
      <c r="Q3447" s="22"/>
      <c r="R3447" s="22"/>
      <c r="S3447" s="22"/>
      <c r="Z3447" s="53"/>
      <c r="AA3447"/>
      <c r="AH3447" t="str">
        <f t="shared" si="541"/>
        <v>k yet</v>
      </c>
    </row>
    <row r="3448" spans="1:39">
      <c r="A3448" s="42" t="s">
        <v>248</v>
      </c>
      <c r="B3448" s="40" t="str">
        <f t="shared" si="538"/>
        <v>No pick yet</v>
      </c>
      <c r="C3448" s="40" t="str">
        <f t="shared" si="537"/>
        <v>03-&gt;</v>
      </c>
      <c r="D3448" s="40" t="str">
        <f t="shared" si="539"/>
        <v xml:space="preserve">No pick yet                                                 </v>
      </c>
      <c r="E3448" s="52">
        <f t="shared" si="540"/>
        <v>0</v>
      </c>
      <c r="F3448" s="18"/>
      <c r="L3448" s="21"/>
      <c r="N3448" s="22"/>
      <c r="O3448" s="22"/>
      <c r="P3448" s="18"/>
      <c r="Q3448" s="22"/>
      <c r="R3448" s="22"/>
      <c r="S3448" s="22"/>
      <c r="Z3448" s="53"/>
      <c r="AA3448"/>
      <c r="AH3448" t="str">
        <f t="shared" si="541"/>
        <v>k yet</v>
      </c>
    </row>
    <row r="3449" spans="1:39">
      <c r="A3449" s="42" t="s">
        <v>249</v>
      </c>
      <c r="B3449" s="40" t="str">
        <f t="shared" si="538"/>
        <v>No pick yet</v>
      </c>
      <c r="C3449" s="40" t="str">
        <f t="shared" si="537"/>
        <v>04-&gt;</v>
      </c>
      <c r="D3449" s="40" t="str">
        <f t="shared" si="539"/>
        <v xml:space="preserve">No pick yet                                                 </v>
      </c>
      <c r="E3449" s="52">
        <f t="shared" si="540"/>
        <v>0</v>
      </c>
      <c r="F3449" s="18"/>
      <c r="M3449" s="18"/>
      <c r="N3449" s="18"/>
      <c r="O3449" s="18"/>
      <c r="P3449" s="18"/>
      <c r="Q3449" s="22"/>
      <c r="R3449" s="21"/>
      <c r="S3449" s="21"/>
      <c r="T3449" s="21"/>
      <c r="AA3449"/>
      <c r="AH3449" t="str">
        <f t="shared" si="541"/>
        <v>k yet</v>
      </c>
    </row>
    <row r="3450" spans="1:39">
      <c r="A3450" s="42" t="s">
        <v>250</v>
      </c>
      <c r="B3450" s="40" t="str">
        <f t="shared" si="538"/>
        <v>No pick yet</v>
      </c>
      <c r="C3450" s="40" t="str">
        <f t="shared" si="537"/>
        <v>05-&gt;</v>
      </c>
      <c r="D3450" s="40" t="str">
        <f t="shared" si="539"/>
        <v xml:space="preserve">No pick yet                                                 </v>
      </c>
      <c r="E3450" s="52">
        <f t="shared" si="540"/>
        <v>0</v>
      </c>
      <c r="F3450" s="18"/>
      <c r="M3450" s="18"/>
      <c r="N3450" s="18"/>
      <c r="O3450" s="18"/>
      <c r="P3450" s="18"/>
      <c r="Q3450" s="22"/>
      <c r="R3450" s="21"/>
      <c r="S3450" s="21"/>
      <c r="T3450" s="21"/>
      <c r="AA3450"/>
      <c r="AH3450" t="str">
        <f t="shared" si="541"/>
        <v>k yet</v>
      </c>
    </row>
    <row r="3451" spans="1:39">
      <c r="A3451" s="42" t="s">
        <v>251</v>
      </c>
      <c r="B3451" s="40" t="str">
        <f t="shared" si="538"/>
        <v>No pick yet</v>
      </c>
      <c r="C3451" s="40" t="str">
        <f t="shared" si="537"/>
        <v>06-&gt;</v>
      </c>
      <c r="D3451" s="40" t="str">
        <f t="shared" si="539"/>
        <v xml:space="preserve">No pick yet                                                 </v>
      </c>
      <c r="E3451" s="52">
        <f t="shared" si="540"/>
        <v>0</v>
      </c>
      <c r="F3451" s="18"/>
      <c r="M3451" s="18"/>
      <c r="N3451" s="18"/>
      <c r="O3451" s="18"/>
      <c r="P3451" s="18"/>
      <c r="Q3451" s="22"/>
      <c r="R3451" s="21"/>
      <c r="S3451" s="21"/>
      <c r="T3451" s="21"/>
      <c r="AA3451"/>
      <c r="AH3451" t="str">
        <f t="shared" si="541"/>
        <v>k yet</v>
      </c>
    </row>
    <row r="3452" spans="1:39">
      <c r="A3452" s="42" t="s">
        <v>252</v>
      </c>
      <c r="B3452" s="40" t="str">
        <f t="shared" si="538"/>
        <v>No pick yet</v>
      </c>
      <c r="C3452" s="40" t="str">
        <f t="shared" si="537"/>
        <v>07-&gt;</v>
      </c>
      <c r="D3452" s="40" t="str">
        <f t="shared" si="539"/>
        <v xml:space="preserve">No pick yet                                                 </v>
      </c>
      <c r="E3452" s="52">
        <f t="shared" si="540"/>
        <v>0</v>
      </c>
      <c r="F3452" s="18"/>
      <c r="M3452" s="18"/>
      <c r="N3452" s="18"/>
      <c r="O3452" s="18"/>
      <c r="P3452" s="18"/>
      <c r="Q3452" s="22"/>
      <c r="R3452" s="21"/>
      <c r="S3452" s="21"/>
      <c r="T3452" s="21"/>
      <c r="AA3452"/>
      <c r="AH3452" t="str">
        <f t="shared" si="541"/>
        <v>k yet</v>
      </c>
    </row>
    <row r="3453" spans="1:39">
      <c r="A3453" s="42" t="s">
        <v>253</v>
      </c>
      <c r="B3453" s="40" t="str">
        <f t="shared" si="538"/>
        <v>No pick yet</v>
      </c>
      <c r="C3453" s="40" t="str">
        <f t="shared" si="537"/>
        <v>08-&gt;</v>
      </c>
      <c r="D3453" s="40" t="str">
        <f t="shared" si="539"/>
        <v xml:space="preserve">No pick yet                                                 </v>
      </c>
      <c r="E3453" s="52">
        <f t="shared" si="540"/>
        <v>0</v>
      </c>
      <c r="F3453" s="18"/>
      <c r="M3453" s="18"/>
      <c r="N3453" s="18"/>
      <c r="O3453" s="18"/>
      <c r="P3453" s="18"/>
      <c r="Q3453" s="22"/>
      <c r="R3453" s="21"/>
      <c r="S3453" s="21"/>
      <c r="T3453" s="21"/>
      <c r="AA3453"/>
      <c r="AH3453" t="str">
        <f t="shared" si="541"/>
        <v>k yet</v>
      </c>
    </row>
    <row r="3454" spans="1:39">
      <c r="A3454" s="42" t="s">
        <v>254</v>
      </c>
      <c r="B3454" s="40" t="str">
        <f t="shared" si="538"/>
        <v>No pick yet</v>
      </c>
      <c r="C3454" s="40" t="str">
        <f t="shared" si="537"/>
        <v>09-&gt;</v>
      </c>
      <c r="D3454" s="40" t="str">
        <f t="shared" si="539"/>
        <v xml:space="preserve">No pick yet                                                 </v>
      </c>
      <c r="E3454" s="52">
        <f t="shared" si="540"/>
        <v>0</v>
      </c>
      <c r="F3454" s="18"/>
      <c r="M3454" s="18"/>
      <c r="N3454" s="18"/>
      <c r="O3454" s="18"/>
      <c r="P3454" s="18"/>
      <c r="Q3454" s="22"/>
      <c r="R3454" s="21"/>
      <c r="S3454" s="21"/>
      <c r="T3454" s="21"/>
      <c r="AA3454"/>
      <c r="AH3454" t="str">
        <f t="shared" si="541"/>
        <v>k yet</v>
      </c>
    </row>
    <row r="3455" spans="1:39">
      <c r="A3455" s="42" t="s">
        <v>255</v>
      </c>
      <c r="B3455" s="40" t="str">
        <f t="shared" si="538"/>
        <v>No pick yet</v>
      </c>
      <c r="C3455" s="40" t="str">
        <f t="shared" si="537"/>
        <v>10-&gt;</v>
      </c>
      <c r="D3455" s="40" t="str">
        <f t="shared" si="539"/>
        <v xml:space="preserve">No pick yet                                                 </v>
      </c>
      <c r="E3455" s="52">
        <f t="shared" si="540"/>
        <v>0</v>
      </c>
      <c r="F3455" s="22"/>
      <c r="M3455" s="18"/>
      <c r="N3455" s="18"/>
      <c r="O3455" s="18"/>
      <c r="P3455" s="18"/>
      <c r="Q3455" s="22"/>
      <c r="R3455" s="21"/>
      <c r="S3455" s="21"/>
      <c r="T3455" s="21"/>
      <c r="AA3455"/>
      <c r="AH3455" t="str">
        <f t="shared" si="541"/>
        <v>k yet</v>
      </c>
    </row>
    <row r="3456" spans="1:39">
      <c r="A3456" s="42" t="s">
        <v>256</v>
      </c>
      <c r="B3456" s="40" t="str">
        <f t="shared" si="538"/>
        <v>No pick yet</v>
      </c>
      <c r="C3456" s="40" t="str">
        <f t="shared" si="537"/>
        <v>11-&gt;</v>
      </c>
      <c r="D3456" s="40" t="str">
        <f t="shared" si="539"/>
        <v xml:space="preserve">No pick yet                                                 </v>
      </c>
      <c r="E3456" s="52">
        <f t="shared" si="540"/>
        <v>0</v>
      </c>
      <c r="M3456" s="18"/>
      <c r="N3456" s="18"/>
      <c r="O3456" s="18"/>
      <c r="P3456" s="18"/>
      <c r="Q3456" s="22"/>
      <c r="R3456" s="21"/>
      <c r="S3456" s="21"/>
      <c r="T3456" s="21"/>
      <c r="AA3456"/>
      <c r="AH3456" t="str">
        <f t="shared" si="541"/>
        <v>k yet</v>
      </c>
    </row>
    <row r="3457" spans="1:39">
      <c r="A3457" s="42" t="s">
        <v>257</v>
      </c>
      <c r="B3457" s="40" t="str">
        <f t="shared" si="538"/>
        <v>No pick yet</v>
      </c>
      <c r="C3457" s="40" t="str">
        <f t="shared" si="537"/>
        <v>12-&gt;</v>
      </c>
      <c r="D3457" s="40" t="str">
        <f t="shared" si="539"/>
        <v xml:space="preserve">No pick yet                                                 </v>
      </c>
      <c r="E3457" s="52">
        <f t="shared" si="540"/>
        <v>0</v>
      </c>
      <c r="M3457" s="18"/>
      <c r="N3457" s="18"/>
      <c r="O3457" s="18"/>
      <c r="P3457" s="18"/>
      <c r="Q3457" s="22"/>
      <c r="R3457" s="21"/>
      <c r="S3457" s="21"/>
      <c r="T3457" s="21"/>
      <c r="AA3457"/>
      <c r="AH3457" t="str">
        <f t="shared" si="541"/>
        <v>k yet</v>
      </c>
    </row>
    <row r="3458" spans="1:39">
      <c r="A3458" s="42" t="s">
        <v>258</v>
      </c>
      <c r="B3458" s="40" t="str">
        <f t="shared" si="538"/>
        <v>No pick yet</v>
      </c>
      <c r="C3458" s="40" t="str">
        <f t="shared" si="537"/>
        <v>13-&gt;</v>
      </c>
      <c r="D3458" s="40" t="str">
        <f t="shared" si="539"/>
        <v xml:space="preserve">No pick yet                                                 </v>
      </c>
      <c r="E3458" s="52">
        <f t="shared" si="540"/>
        <v>0</v>
      </c>
      <c r="M3458" s="18"/>
      <c r="N3458" s="18"/>
      <c r="O3458" s="18"/>
      <c r="P3458" s="18"/>
      <c r="Q3458" s="22"/>
      <c r="R3458" s="21"/>
      <c r="S3458" s="21"/>
      <c r="T3458" s="21"/>
      <c r="AA3458"/>
      <c r="AH3458" t="str">
        <f t="shared" si="541"/>
        <v>k yet</v>
      </c>
    </row>
    <row r="3459" spans="1:39">
      <c r="A3459" s="42" t="s">
        <v>259</v>
      </c>
      <c r="B3459" s="40" t="str">
        <f t="shared" si="538"/>
        <v>No pick yet</v>
      </c>
      <c r="C3459" s="40" t="str">
        <f t="shared" si="537"/>
        <v>14-&gt;</v>
      </c>
      <c r="D3459" s="40" t="str">
        <f t="shared" si="539"/>
        <v xml:space="preserve">No pick yet                                                 </v>
      </c>
      <c r="E3459" s="52">
        <f t="shared" si="540"/>
        <v>0</v>
      </c>
      <c r="M3459" s="18"/>
      <c r="N3459" s="18"/>
      <c r="O3459" s="18"/>
      <c r="P3459" s="18"/>
      <c r="Q3459" s="22"/>
      <c r="R3459" s="21"/>
      <c r="S3459" s="21"/>
      <c r="T3459" s="21"/>
      <c r="AA3459"/>
      <c r="AH3459" t="str">
        <f t="shared" si="541"/>
        <v>k yet</v>
      </c>
    </row>
    <row r="3460" spans="1:39">
      <c r="A3460" s="42" t="s">
        <v>260</v>
      </c>
      <c r="B3460" s="40" t="str">
        <f t="shared" si="538"/>
        <v>No pick yet</v>
      </c>
      <c r="C3460" s="40" t="str">
        <f t="shared" si="537"/>
        <v>15-&gt;</v>
      </c>
      <c r="D3460" s="40" t="str">
        <f t="shared" si="539"/>
        <v xml:space="preserve">No pick yet                                                 </v>
      </c>
      <c r="E3460" s="52">
        <f t="shared" si="540"/>
        <v>0</v>
      </c>
      <c r="M3460" s="18"/>
      <c r="N3460" s="18"/>
      <c r="O3460" s="18"/>
      <c r="P3460" s="18"/>
      <c r="Q3460" s="22"/>
      <c r="R3460" s="21"/>
      <c r="S3460" s="21"/>
      <c r="T3460" s="21"/>
      <c r="AA3460"/>
      <c r="AH3460" t="str">
        <f t="shared" si="541"/>
        <v>k yet</v>
      </c>
    </row>
    <row r="3461" spans="1:39">
      <c r="A3461" s="42" t="s">
        <v>261</v>
      </c>
      <c r="B3461" s="40" t="str">
        <f t="shared" si="538"/>
        <v>No pick yet</v>
      </c>
      <c r="C3461" s="40" t="str">
        <f t="shared" si="537"/>
        <v>16-&gt;</v>
      </c>
      <c r="D3461" s="40" t="str">
        <f t="shared" si="539"/>
        <v xml:space="preserve">No pick yet                                                 </v>
      </c>
      <c r="E3461" s="52">
        <f t="shared" si="540"/>
        <v>0</v>
      </c>
      <c r="M3461" s="18"/>
      <c r="N3461" s="18"/>
      <c r="O3461" s="18"/>
      <c r="P3461" s="18"/>
      <c r="Q3461" s="22"/>
      <c r="R3461" s="21"/>
      <c r="S3461" s="21"/>
      <c r="T3461" s="21"/>
      <c r="AA3461"/>
      <c r="AH3461" t="str">
        <f t="shared" si="541"/>
        <v>k yet</v>
      </c>
    </row>
    <row r="3462" spans="1:39">
      <c r="A3462" s="42" t="s">
        <v>262</v>
      </c>
      <c r="B3462" s="40" t="str">
        <f t="shared" si="538"/>
        <v>No pick yet</v>
      </c>
      <c r="C3462" s="40" t="str">
        <f t="shared" si="537"/>
        <v>17-&gt;</v>
      </c>
      <c r="D3462" s="40" t="str">
        <f t="shared" si="539"/>
        <v xml:space="preserve">No pick yet                                                 </v>
      </c>
      <c r="E3462" s="52">
        <f t="shared" si="540"/>
        <v>0</v>
      </c>
      <c r="K3462" s="22"/>
      <c r="N3462" s="22"/>
      <c r="O3462" s="22"/>
      <c r="P3462" s="22"/>
      <c r="Q3462" s="22"/>
      <c r="R3462" s="22"/>
      <c r="S3462" s="22"/>
      <c r="Z3462" s="53"/>
      <c r="AA3462"/>
      <c r="AH3462" t="str">
        <f t="shared" si="541"/>
        <v>k yet</v>
      </c>
    </row>
    <row r="3463" spans="1:39">
      <c r="A3463" s="42" t="s">
        <v>263</v>
      </c>
      <c r="B3463" s="40" t="str">
        <f t="shared" si="538"/>
        <v>No pick yet</v>
      </c>
      <c r="C3463" s="40" t="str">
        <f t="shared" si="537"/>
        <v>18-&gt;</v>
      </c>
      <c r="D3463" s="40" t="str">
        <f t="shared" si="539"/>
        <v xml:space="preserve">No pick yet                                                 </v>
      </c>
      <c r="E3463" s="52">
        <f t="shared" si="540"/>
        <v>0</v>
      </c>
      <c r="F3463" s="18"/>
      <c r="L3463" s="21"/>
      <c r="N3463" s="22"/>
      <c r="O3463" s="22"/>
      <c r="P3463" s="18"/>
      <c r="Q3463" s="22"/>
      <c r="R3463" s="22"/>
      <c r="S3463" s="22"/>
      <c r="Z3463" s="53"/>
      <c r="AA3463"/>
      <c r="AH3463" t="str">
        <f t="shared" si="541"/>
        <v>k yet</v>
      </c>
    </row>
    <row r="3464" spans="1:39">
      <c r="A3464" s="42" t="s">
        <v>264</v>
      </c>
      <c r="B3464" s="40" t="str">
        <f t="shared" si="538"/>
        <v>No pick yet</v>
      </c>
      <c r="C3464" s="40" t="str">
        <f t="shared" si="537"/>
        <v>19-&gt;</v>
      </c>
      <c r="D3464" s="40" t="str">
        <f t="shared" si="539"/>
        <v xml:space="preserve">No pick yet                                                 </v>
      </c>
      <c r="E3464" s="52">
        <f t="shared" si="540"/>
        <v>0</v>
      </c>
      <c r="F3464" s="18"/>
      <c r="M3464" s="18"/>
      <c r="N3464" s="18"/>
      <c r="O3464" s="18"/>
      <c r="P3464" s="18"/>
      <c r="Q3464" s="22"/>
      <c r="R3464" s="21"/>
      <c r="S3464" s="21"/>
      <c r="T3464" s="21"/>
      <c r="AA3464"/>
      <c r="AH3464" t="str">
        <f t="shared" si="541"/>
        <v>k yet</v>
      </c>
    </row>
    <row r="3465" spans="1:39">
      <c r="A3465" s="42" t="s">
        <v>265</v>
      </c>
      <c r="B3465" s="40" t="str">
        <f t="shared" si="538"/>
        <v>No pick yet</v>
      </c>
      <c r="C3465" s="40" t="str">
        <f t="shared" si="537"/>
        <v>20-&gt;</v>
      </c>
      <c r="D3465" s="40" t="str">
        <f t="shared" si="539"/>
        <v xml:space="preserve">No pick yet                                                 </v>
      </c>
      <c r="E3465" s="52">
        <f t="shared" si="540"/>
        <v>0</v>
      </c>
      <c r="F3465" s="18"/>
      <c r="M3465" s="18"/>
      <c r="N3465" s="18"/>
      <c r="O3465" s="18"/>
      <c r="P3465" s="18"/>
      <c r="Q3465" s="22"/>
      <c r="R3465" s="21"/>
      <c r="S3465" s="21"/>
      <c r="T3465" s="21"/>
      <c r="AA3465"/>
      <c r="AH3465" t="str">
        <f t="shared" si="541"/>
        <v>k yet</v>
      </c>
    </row>
    <row r="3466" spans="1:39">
      <c r="A3466" s="42" t="s">
        <v>266</v>
      </c>
      <c r="B3466" s="40" t="str">
        <f t="shared" si="538"/>
        <v>No pick yet</v>
      </c>
      <c r="C3466" s="40" t="str">
        <f t="shared" si="537"/>
        <v>21-&gt;</v>
      </c>
      <c r="D3466" s="40" t="str">
        <f t="shared" si="539"/>
        <v xml:space="preserve">No pick yet                                                 </v>
      </c>
      <c r="E3466" s="52">
        <f t="shared" si="540"/>
        <v>0</v>
      </c>
      <c r="F3466" s="18"/>
      <c r="M3466" s="18"/>
      <c r="N3466" s="18"/>
      <c r="O3466" s="18"/>
      <c r="P3466" s="18"/>
      <c r="Q3466" s="22"/>
      <c r="R3466" s="21"/>
      <c r="S3466" s="21"/>
      <c r="T3466" s="21"/>
      <c r="AA3466"/>
      <c r="AH3466" t="str">
        <f t="shared" si="541"/>
        <v>k yet</v>
      </c>
    </row>
    <row r="3467" spans="1:39">
      <c r="A3467" s="42" t="s">
        <v>267</v>
      </c>
      <c r="B3467" s="40" t="str">
        <f t="shared" si="538"/>
        <v>No pick yet</v>
      </c>
      <c r="C3467" s="40" t="str">
        <f t="shared" si="537"/>
        <v>22-&gt;</v>
      </c>
      <c r="D3467" s="40" t="str">
        <f t="shared" si="539"/>
        <v xml:space="preserve">No pick yet                                                 </v>
      </c>
      <c r="E3467" s="52">
        <f t="shared" si="540"/>
        <v>0</v>
      </c>
      <c r="F3467" s="18"/>
      <c r="M3467" s="18"/>
      <c r="N3467" s="18"/>
      <c r="O3467" s="18"/>
      <c r="P3467" s="18"/>
      <c r="Q3467" s="22"/>
      <c r="R3467" s="21"/>
      <c r="S3467" s="21"/>
      <c r="T3467" s="21"/>
      <c r="AA3467"/>
      <c r="AH3467" t="str">
        <f t="shared" si="541"/>
        <v>k yet</v>
      </c>
    </row>
    <row r="3468" spans="1:39">
      <c r="A3468" s="42" t="s">
        <v>268</v>
      </c>
      <c r="B3468" s="40" t="str">
        <f t="shared" si="538"/>
        <v>No pick yet</v>
      </c>
      <c r="C3468" s="40" t="str">
        <f t="shared" si="537"/>
        <v>23-&gt;</v>
      </c>
      <c r="D3468" s="40" t="str">
        <f t="shared" si="539"/>
        <v xml:space="preserve">No pick yet                                                 </v>
      </c>
      <c r="E3468" s="52">
        <f t="shared" si="540"/>
        <v>0</v>
      </c>
      <c r="F3468" s="18"/>
      <c r="M3468" s="18"/>
      <c r="N3468" s="18"/>
      <c r="O3468" s="18"/>
      <c r="P3468" s="18"/>
      <c r="Q3468" s="22"/>
      <c r="R3468" s="21"/>
      <c r="S3468" s="21"/>
      <c r="T3468" s="21"/>
      <c r="AA3468"/>
      <c r="AH3468" t="str">
        <f t="shared" si="541"/>
        <v>k yet</v>
      </c>
    </row>
    <row r="3469" spans="1:39">
      <c r="A3469" s="42" t="s">
        <v>269</v>
      </c>
      <c r="B3469" s="40" t="str">
        <f t="shared" si="538"/>
        <v>No pick yet</v>
      </c>
      <c r="C3469" s="40" t="str">
        <f t="shared" si="537"/>
        <v>24-&gt;</v>
      </c>
      <c r="D3469" s="40" t="str">
        <f t="shared" si="539"/>
        <v xml:space="preserve">No pick yet                                                 </v>
      </c>
      <c r="E3469" s="52">
        <f t="shared" si="540"/>
        <v>0</v>
      </c>
      <c r="F3469" s="18"/>
      <c r="M3469" s="18"/>
      <c r="N3469" s="18"/>
      <c r="O3469" s="18"/>
      <c r="P3469" s="18"/>
      <c r="Q3469" s="22"/>
      <c r="R3469" s="21"/>
      <c r="S3469" s="21"/>
      <c r="T3469" s="21"/>
      <c r="AA3469"/>
      <c r="AH3469" t="str">
        <f t="shared" si="541"/>
        <v>k yet</v>
      </c>
    </row>
    <row r="3470" spans="1:39">
      <c r="A3470" s="42" t="s">
        <v>270</v>
      </c>
      <c r="B3470" s="40" t="str">
        <f t="shared" si="538"/>
        <v>No pick yet</v>
      </c>
      <c r="C3470" s="40" t="str">
        <f t="shared" si="537"/>
        <v>25-&gt;</v>
      </c>
      <c r="D3470" s="40" t="str">
        <f t="shared" si="539"/>
        <v xml:space="preserve">No pick yet                                                 </v>
      </c>
      <c r="E3470" s="52">
        <f t="shared" si="540"/>
        <v>0</v>
      </c>
      <c r="F3470" s="18"/>
      <c r="M3470" s="18"/>
      <c r="N3470" s="18"/>
      <c r="O3470" s="18"/>
      <c r="P3470" s="18"/>
      <c r="Q3470" s="22"/>
      <c r="R3470" s="21"/>
      <c r="S3470" s="21"/>
      <c r="T3470" s="21"/>
      <c r="AA3470"/>
      <c r="AH3470" t="str">
        <f t="shared" si="541"/>
        <v>k yet</v>
      </c>
    </row>
    <row r="3471" spans="1:39">
      <c r="A3471" s="42" t="s">
        <v>271</v>
      </c>
      <c r="B3471" s="40" t="str">
        <f t="shared" si="538"/>
        <v>No pick yet</v>
      </c>
      <c r="C3471" s="40" t="str">
        <f t="shared" si="537"/>
        <v>26-&gt;</v>
      </c>
      <c r="D3471" s="40" t="str">
        <f t="shared" si="539"/>
        <v xml:space="preserve">No pick yet                                                 </v>
      </c>
      <c r="E3471" s="52">
        <f t="shared" si="540"/>
        <v>0</v>
      </c>
      <c r="F3471" s="18"/>
      <c r="M3471" s="18"/>
      <c r="N3471" s="18"/>
      <c r="O3471" s="18"/>
      <c r="P3471" s="18"/>
      <c r="Q3471" s="22"/>
      <c r="R3471" s="21"/>
      <c r="S3471" s="21"/>
      <c r="T3471" s="21"/>
      <c r="AA3471"/>
      <c r="AH3471" t="str">
        <f t="shared" si="541"/>
        <v>k yet</v>
      </c>
    </row>
    <row r="3472" spans="1:39">
      <c r="A3472" s="38"/>
      <c r="B3472" s="40"/>
      <c r="C3472" s="40"/>
      <c r="D3472" s="49"/>
      <c r="E3472" s="41" t="s">
        <v>69</v>
      </c>
      <c r="F3472" s="18"/>
      <c r="K3472" s="22" t="s">
        <v>73</v>
      </c>
      <c r="L3472" s="18" t="s">
        <v>74</v>
      </c>
      <c r="M3472" s="22" t="s">
        <v>78</v>
      </c>
      <c r="N3472" s="22" t="s">
        <v>79</v>
      </c>
      <c r="O3472" s="22" t="s">
        <v>80</v>
      </c>
      <c r="P3472" s="22" t="s">
        <v>81</v>
      </c>
      <c r="Q3472" s="22" t="s">
        <v>82</v>
      </c>
      <c r="R3472" s="22" t="s">
        <v>83</v>
      </c>
      <c r="S3472" s="22" t="s">
        <v>84</v>
      </c>
      <c r="T3472" s="18" t="s">
        <v>85</v>
      </c>
      <c r="U3472" s="18" t="s">
        <v>86</v>
      </c>
      <c r="V3472" s="18" t="s">
        <v>87</v>
      </c>
      <c r="W3472" s="18" t="s">
        <v>88</v>
      </c>
      <c r="X3472" s="18" t="s">
        <v>89</v>
      </c>
      <c r="Y3472" s="18" t="s">
        <v>90</v>
      </c>
      <c r="Z3472" s="18" t="s">
        <v>91</v>
      </c>
      <c r="AA3472" s="18" t="s">
        <v>92</v>
      </c>
      <c r="AB3472" s="18" t="s">
        <v>93</v>
      </c>
      <c r="AC3472" s="18" t="s">
        <v>94</v>
      </c>
      <c r="AD3472" s="18" t="s">
        <v>235</v>
      </c>
      <c r="AE3472" s="18" t="s">
        <v>236</v>
      </c>
      <c r="AF3472" s="18" t="s">
        <v>237</v>
      </c>
      <c r="AG3472" s="18" t="s">
        <v>238</v>
      </c>
      <c r="AH3472" s="18" t="s">
        <v>239</v>
      </c>
      <c r="AI3472" s="18" t="s">
        <v>240</v>
      </c>
      <c r="AJ3472" s="18" t="s">
        <v>241</v>
      </c>
      <c r="AK3472" s="18" t="s">
        <v>242</v>
      </c>
      <c r="AL3472" s="18" t="s">
        <v>243</v>
      </c>
      <c r="AM3472" s="50" t="s">
        <v>244</v>
      </c>
    </row>
    <row r="3473" spans="1:39">
      <c r="A3473" s="40" t="s">
        <v>245</v>
      </c>
      <c r="B3473" s="51" t="str">
        <f>D123</f>
        <v/>
      </c>
      <c r="C3473" s="40" t="str">
        <f t="shared" ref="C3473:C3499" si="542">A3473</f>
        <v>#</v>
      </c>
      <c r="D3473" s="40" t="str">
        <f>"   "&amp;B3473&amp;REPT(" ",$AH$70-LEN(B3473)-3)</f>
        <v xml:space="preserve">                                                            </v>
      </c>
      <c r="E3473" s="38" t="str">
        <f>SUM(E3474:E3499)&amp;" pts[/b]"</f>
        <v>0 pts[/b]</v>
      </c>
      <c r="F3473" s="21">
        <f>SUM(E3474:E3499)</f>
        <v>0</v>
      </c>
      <c r="K3473" s="18">
        <f>COUNTIF(E3474:E3499,"&gt;0")</f>
        <v>0</v>
      </c>
      <c r="L3473" s="21">
        <f>AM3473-K3473</f>
        <v>0</v>
      </c>
      <c r="M3473" s="22">
        <f>MAX(E3474:E3499)</f>
        <v>0</v>
      </c>
      <c r="N3473" s="22">
        <f>LARGE(E3474:E3499,2)</f>
        <v>0</v>
      </c>
      <c r="O3473" s="22">
        <f>LARGE(E3474:E3499,3)</f>
        <v>0</v>
      </c>
      <c r="P3473" s="18">
        <f>LARGE(E3474:E3499,4)</f>
        <v>0</v>
      </c>
      <c r="Q3473" s="22">
        <f>LARGE(E3474:E3499,5)</f>
        <v>0</v>
      </c>
      <c r="R3473" s="22">
        <f>LARGE(E3474:E3499,6)</f>
        <v>0</v>
      </c>
      <c r="S3473" s="22">
        <f>LARGE(E3474:E3499,7)</f>
        <v>0</v>
      </c>
      <c r="T3473" s="18">
        <f>LARGE(E3474:E3499,8)</f>
        <v>0</v>
      </c>
      <c r="U3473" s="18">
        <f>LARGE(E3474:E3499,9)</f>
        <v>0</v>
      </c>
      <c r="V3473" s="18">
        <f>LARGE(E3474:E3499,10)</f>
        <v>0</v>
      </c>
      <c r="W3473" s="18">
        <f>LARGE(E3474:E3499,11)</f>
        <v>0</v>
      </c>
      <c r="X3473" s="18">
        <f>LARGE(E3474:E3499,12)</f>
        <v>0</v>
      </c>
      <c r="Y3473" s="18">
        <f>LARGE(E3474:E3499,13)</f>
        <v>0</v>
      </c>
      <c r="Z3473" s="18">
        <f>LARGE(E3474:E3499,14)</f>
        <v>0</v>
      </c>
      <c r="AA3473" s="18">
        <f>LARGE(E3474:E3499,15)</f>
        <v>0</v>
      </c>
      <c r="AB3473" s="18">
        <f>LARGE(E3474:E3499,16)</f>
        <v>0</v>
      </c>
      <c r="AC3473" s="18">
        <f>LARGE(E3474:E3499,17)</f>
        <v>0</v>
      </c>
      <c r="AD3473" s="18">
        <f>LARGE(E3474:E3500,13)</f>
        <v>0</v>
      </c>
      <c r="AE3473" s="18">
        <f>LARGE(E3474:E3499,19)</f>
        <v>0</v>
      </c>
      <c r="AF3473" s="18">
        <f>LARGE(E3474:E3499,20)</f>
        <v>0</v>
      </c>
      <c r="AG3473" s="18">
        <f>LARGE(E3474:E3499,21)</f>
        <v>0</v>
      </c>
      <c r="AH3473" s="18">
        <f>LARGE(E3474:E3499,22)</f>
        <v>0</v>
      </c>
      <c r="AI3473" s="18">
        <f>LARGE(E3474:E3499,23)</f>
        <v>0</v>
      </c>
      <c r="AJ3473" s="18">
        <f>LARGE(E3474:E3499,24)</f>
        <v>0</v>
      </c>
      <c r="AK3473" s="18">
        <f>LARGE(E3474:E3499,25)</f>
        <v>0</v>
      </c>
      <c r="AL3473" s="18">
        <f>LARGE(E3474:E3499,26)</f>
        <v>0</v>
      </c>
      <c r="AM3473" s="50">
        <f>COUNTIF(B3474:B3499,"&lt;&gt;"&amp;AH74)</f>
        <v>0</v>
      </c>
    </row>
    <row r="3474" spans="1:39">
      <c r="A3474" s="42" t="s">
        <v>246</v>
      </c>
      <c r="B3474" s="40" t="str">
        <f t="shared" ref="B3474:B3499" si="543">$AH$74</f>
        <v>No pick yet</v>
      </c>
      <c r="C3474" s="40" t="str">
        <f t="shared" si="542"/>
        <v>01-&gt;</v>
      </c>
      <c r="D3474" s="40" t="str">
        <f t="shared" ref="D3474:D3499" si="544">B3474&amp;REPT(" ",$AH$70-LEN(B3474))</f>
        <v xml:space="preserve">No pick yet                                                 </v>
      </c>
      <c r="E3474" s="52">
        <f t="shared" ref="E3474:E3499" si="545">VLOOKUP(RIGHT(B3474,LEN(B3474)-$AH$66),$H$138:$I$420,2,0)</f>
        <v>0</v>
      </c>
      <c r="F3474" s="18"/>
      <c r="M3474" s="18"/>
      <c r="N3474" s="18"/>
      <c r="O3474" s="18"/>
      <c r="P3474" s="18"/>
      <c r="Q3474" s="22"/>
      <c r="R3474" s="21"/>
      <c r="S3474" s="21"/>
      <c r="T3474" s="21"/>
      <c r="AA3474"/>
      <c r="AH3474" t="str">
        <f t="shared" ref="AH3474:AH3499" si="546">RIGHT(B3474,LEN(B3474)-$AH$66)</f>
        <v>k yet</v>
      </c>
    </row>
    <row r="3475" spans="1:39">
      <c r="A3475" s="42" t="s">
        <v>247</v>
      </c>
      <c r="B3475" s="40" t="str">
        <f t="shared" si="543"/>
        <v>No pick yet</v>
      </c>
      <c r="C3475" s="40" t="str">
        <f t="shared" si="542"/>
        <v>02-&gt;</v>
      </c>
      <c r="D3475" s="40" t="str">
        <f t="shared" si="544"/>
        <v xml:space="preserve">No pick yet                                                 </v>
      </c>
      <c r="E3475" s="52">
        <f t="shared" si="545"/>
        <v>0</v>
      </c>
      <c r="F3475" s="18"/>
      <c r="K3475" s="22"/>
      <c r="N3475" s="22"/>
      <c r="O3475" s="22"/>
      <c r="P3475" s="22"/>
      <c r="Q3475" s="22"/>
      <c r="R3475" s="22"/>
      <c r="S3475" s="22"/>
      <c r="Z3475" s="53"/>
      <c r="AA3475"/>
      <c r="AH3475" t="str">
        <f t="shared" si="546"/>
        <v>k yet</v>
      </c>
    </row>
    <row r="3476" spans="1:39">
      <c r="A3476" s="42" t="s">
        <v>248</v>
      </c>
      <c r="B3476" s="40" t="str">
        <f t="shared" si="543"/>
        <v>No pick yet</v>
      </c>
      <c r="C3476" s="40" t="str">
        <f t="shared" si="542"/>
        <v>03-&gt;</v>
      </c>
      <c r="D3476" s="40" t="str">
        <f t="shared" si="544"/>
        <v xml:space="preserve">No pick yet                                                 </v>
      </c>
      <c r="E3476" s="52">
        <f t="shared" si="545"/>
        <v>0</v>
      </c>
      <c r="F3476" s="18"/>
      <c r="L3476" s="21"/>
      <c r="N3476" s="22"/>
      <c r="O3476" s="22"/>
      <c r="P3476" s="18"/>
      <c r="Q3476" s="22"/>
      <c r="R3476" s="22"/>
      <c r="S3476" s="22"/>
      <c r="Z3476" s="53"/>
      <c r="AA3476"/>
      <c r="AH3476" t="str">
        <f t="shared" si="546"/>
        <v>k yet</v>
      </c>
    </row>
    <row r="3477" spans="1:39">
      <c r="A3477" s="42" t="s">
        <v>249</v>
      </c>
      <c r="B3477" s="40" t="str">
        <f t="shared" si="543"/>
        <v>No pick yet</v>
      </c>
      <c r="C3477" s="40" t="str">
        <f t="shared" si="542"/>
        <v>04-&gt;</v>
      </c>
      <c r="D3477" s="40" t="str">
        <f t="shared" si="544"/>
        <v xml:space="preserve">No pick yet                                                 </v>
      </c>
      <c r="E3477" s="52">
        <f t="shared" si="545"/>
        <v>0</v>
      </c>
      <c r="F3477" s="18"/>
      <c r="M3477" s="18"/>
      <c r="N3477" s="18"/>
      <c r="O3477" s="18"/>
      <c r="P3477" s="18"/>
      <c r="Q3477" s="22"/>
      <c r="R3477" s="21"/>
      <c r="S3477" s="21"/>
      <c r="T3477" s="21"/>
      <c r="AA3477"/>
      <c r="AH3477" t="str">
        <f t="shared" si="546"/>
        <v>k yet</v>
      </c>
    </row>
    <row r="3478" spans="1:39">
      <c r="A3478" s="42" t="s">
        <v>250</v>
      </c>
      <c r="B3478" s="40" t="str">
        <f t="shared" si="543"/>
        <v>No pick yet</v>
      </c>
      <c r="C3478" s="40" t="str">
        <f t="shared" si="542"/>
        <v>05-&gt;</v>
      </c>
      <c r="D3478" s="40" t="str">
        <f t="shared" si="544"/>
        <v xml:space="preserve">No pick yet                                                 </v>
      </c>
      <c r="E3478" s="52">
        <f t="shared" si="545"/>
        <v>0</v>
      </c>
      <c r="F3478" s="18"/>
      <c r="M3478" s="18"/>
      <c r="N3478" s="18"/>
      <c r="O3478" s="18"/>
      <c r="P3478" s="18"/>
      <c r="Q3478" s="22"/>
      <c r="R3478" s="21"/>
      <c r="S3478" s="21"/>
      <c r="T3478" s="21"/>
      <c r="AA3478"/>
      <c r="AH3478" t="str">
        <f t="shared" si="546"/>
        <v>k yet</v>
      </c>
    </row>
    <row r="3479" spans="1:39">
      <c r="A3479" s="42" t="s">
        <v>251</v>
      </c>
      <c r="B3479" s="40" t="str">
        <f t="shared" si="543"/>
        <v>No pick yet</v>
      </c>
      <c r="C3479" s="40" t="str">
        <f t="shared" si="542"/>
        <v>06-&gt;</v>
      </c>
      <c r="D3479" s="40" t="str">
        <f t="shared" si="544"/>
        <v xml:space="preserve">No pick yet                                                 </v>
      </c>
      <c r="E3479" s="52">
        <f t="shared" si="545"/>
        <v>0</v>
      </c>
      <c r="F3479" s="18"/>
      <c r="M3479" s="18"/>
      <c r="N3479" s="18"/>
      <c r="O3479" s="18"/>
      <c r="P3479" s="18"/>
      <c r="Q3479" s="22"/>
      <c r="R3479" s="21"/>
      <c r="S3479" s="21"/>
      <c r="T3479" s="21"/>
      <c r="AA3479"/>
      <c r="AH3479" t="str">
        <f t="shared" si="546"/>
        <v>k yet</v>
      </c>
    </row>
    <row r="3480" spans="1:39">
      <c r="A3480" s="42" t="s">
        <v>252</v>
      </c>
      <c r="B3480" s="40" t="str">
        <f t="shared" si="543"/>
        <v>No pick yet</v>
      </c>
      <c r="C3480" s="40" t="str">
        <f t="shared" si="542"/>
        <v>07-&gt;</v>
      </c>
      <c r="D3480" s="40" t="str">
        <f t="shared" si="544"/>
        <v xml:space="preserve">No pick yet                                                 </v>
      </c>
      <c r="E3480" s="52">
        <f t="shared" si="545"/>
        <v>0</v>
      </c>
      <c r="F3480" s="18"/>
      <c r="M3480" s="18"/>
      <c r="N3480" s="18"/>
      <c r="O3480" s="18"/>
      <c r="P3480" s="18"/>
      <c r="Q3480" s="22"/>
      <c r="R3480" s="21"/>
      <c r="S3480" s="21"/>
      <c r="T3480" s="21"/>
      <c r="AA3480"/>
      <c r="AH3480" t="str">
        <f t="shared" si="546"/>
        <v>k yet</v>
      </c>
    </row>
    <row r="3481" spans="1:39">
      <c r="A3481" s="42" t="s">
        <v>253</v>
      </c>
      <c r="B3481" s="40" t="str">
        <f t="shared" si="543"/>
        <v>No pick yet</v>
      </c>
      <c r="C3481" s="40" t="str">
        <f t="shared" si="542"/>
        <v>08-&gt;</v>
      </c>
      <c r="D3481" s="40" t="str">
        <f t="shared" si="544"/>
        <v xml:space="preserve">No pick yet                                                 </v>
      </c>
      <c r="E3481" s="52">
        <f t="shared" si="545"/>
        <v>0</v>
      </c>
      <c r="F3481" s="18"/>
      <c r="M3481" s="18"/>
      <c r="N3481" s="18"/>
      <c r="O3481" s="18"/>
      <c r="P3481" s="18"/>
      <c r="Q3481" s="22"/>
      <c r="R3481" s="21"/>
      <c r="S3481" s="21"/>
      <c r="T3481" s="21"/>
      <c r="AA3481"/>
      <c r="AH3481" t="str">
        <f t="shared" si="546"/>
        <v>k yet</v>
      </c>
    </row>
    <row r="3482" spans="1:39">
      <c r="A3482" s="42" t="s">
        <v>254</v>
      </c>
      <c r="B3482" s="40" t="str">
        <f t="shared" si="543"/>
        <v>No pick yet</v>
      </c>
      <c r="C3482" s="40" t="str">
        <f t="shared" si="542"/>
        <v>09-&gt;</v>
      </c>
      <c r="D3482" s="40" t="str">
        <f t="shared" si="544"/>
        <v xml:space="preserve">No pick yet                                                 </v>
      </c>
      <c r="E3482" s="52">
        <f t="shared" si="545"/>
        <v>0</v>
      </c>
      <c r="F3482" s="18"/>
      <c r="M3482" s="18"/>
      <c r="N3482" s="18"/>
      <c r="O3482" s="18"/>
      <c r="P3482" s="18"/>
      <c r="Q3482" s="22"/>
      <c r="R3482" s="21"/>
      <c r="S3482" s="21"/>
      <c r="T3482" s="21"/>
      <c r="AA3482"/>
      <c r="AH3482" t="str">
        <f t="shared" si="546"/>
        <v>k yet</v>
      </c>
    </row>
    <row r="3483" spans="1:39">
      <c r="A3483" s="42" t="s">
        <v>255</v>
      </c>
      <c r="B3483" s="40" t="str">
        <f t="shared" si="543"/>
        <v>No pick yet</v>
      </c>
      <c r="C3483" s="40" t="str">
        <f t="shared" si="542"/>
        <v>10-&gt;</v>
      </c>
      <c r="D3483" s="40" t="str">
        <f t="shared" si="544"/>
        <v xml:space="preserve">No pick yet                                                 </v>
      </c>
      <c r="E3483" s="52">
        <f t="shared" si="545"/>
        <v>0</v>
      </c>
      <c r="F3483" s="22"/>
      <c r="M3483" s="18"/>
      <c r="N3483" s="18"/>
      <c r="O3483" s="18"/>
      <c r="P3483" s="18"/>
      <c r="Q3483" s="22"/>
      <c r="R3483" s="21"/>
      <c r="S3483" s="21"/>
      <c r="T3483" s="21"/>
      <c r="AA3483"/>
      <c r="AH3483" t="str">
        <f t="shared" si="546"/>
        <v>k yet</v>
      </c>
    </row>
    <row r="3484" spans="1:39">
      <c r="A3484" s="42" t="s">
        <v>256</v>
      </c>
      <c r="B3484" s="40" t="str">
        <f t="shared" si="543"/>
        <v>No pick yet</v>
      </c>
      <c r="C3484" s="40" t="str">
        <f t="shared" si="542"/>
        <v>11-&gt;</v>
      </c>
      <c r="D3484" s="40" t="str">
        <f t="shared" si="544"/>
        <v xml:space="preserve">No pick yet                                                 </v>
      </c>
      <c r="E3484" s="52">
        <f t="shared" si="545"/>
        <v>0</v>
      </c>
      <c r="M3484" s="18"/>
      <c r="N3484" s="18"/>
      <c r="O3484" s="18"/>
      <c r="P3484" s="18"/>
      <c r="Q3484" s="22"/>
      <c r="R3484" s="21"/>
      <c r="S3484" s="21"/>
      <c r="T3484" s="21"/>
      <c r="AA3484"/>
      <c r="AH3484" t="str">
        <f t="shared" si="546"/>
        <v>k yet</v>
      </c>
    </row>
    <row r="3485" spans="1:39">
      <c r="A3485" s="42" t="s">
        <v>257</v>
      </c>
      <c r="B3485" s="40" t="str">
        <f t="shared" si="543"/>
        <v>No pick yet</v>
      </c>
      <c r="C3485" s="40" t="str">
        <f t="shared" si="542"/>
        <v>12-&gt;</v>
      </c>
      <c r="D3485" s="40" t="str">
        <f t="shared" si="544"/>
        <v xml:space="preserve">No pick yet                                                 </v>
      </c>
      <c r="E3485" s="52">
        <f t="shared" si="545"/>
        <v>0</v>
      </c>
      <c r="M3485" s="18"/>
      <c r="N3485" s="18"/>
      <c r="O3485" s="18"/>
      <c r="P3485" s="18"/>
      <c r="Q3485" s="22"/>
      <c r="R3485" s="21"/>
      <c r="S3485" s="21"/>
      <c r="T3485" s="21"/>
      <c r="AA3485"/>
      <c r="AH3485" t="str">
        <f t="shared" si="546"/>
        <v>k yet</v>
      </c>
    </row>
    <row r="3486" spans="1:39">
      <c r="A3486" s="42" t="s">
        <v>258</v>
      </c>
      <c r="B3486" s="40" t="str">
        <f t="shared" si="543"/>
        <v>No pick yet</v>
      </c>
      <c r="C3486" s="40" t="str">
        <f t="shared" si="542"/>
        <v>13-&gt;</v>
      </c>
      <c r="D3486" s="40" t="str">
        <f t="shared" si="544"/>
        <v xml:space="preserve">No pick yet                                                 </v>
      </c>
      <c r="E3486" s="52">
        <f t="shared" si="545"/>
        <v>0</v>
      </c>
      <c r="M3486" s="18"/>
      <c r="N3486" s="18"/>
      <c r="O3486" s="18"/>
      <c r="P3486" s="18"/>
      <c r="Q3486" s="22"/>
      <c r="R3486" s="21"/>
      <c r="S3486" s="21"/>
      <c r="T3486" s="21"/>
      <c r="AA3486"/>
      <c r="AH3486" t="str">
        <f t="shared" si="546"/>
        <v>k yet</v>
      </c>
    </row>
    <row r="3487" spans="1:39">
      <c r="A3487" s="42" t="s">
        <v>259</v>
      </c>
      <c r="B3487" s="40" t="str">
        <f t="shared" si="543"/>
        <v>No pick yet</v>
      </c>
      <c r="C3487" s="40" t="str">
        <f t="shared" si="542"/>
        <v>14-&gt;</v>
      </c>
      <c r="D3487" s="40" t="str">
        <f t="shared" si="544"/>
        <v xml:space="preserve">No pick yet                                                 </v>
      </c>
      <c r="E3487" s="52">
        <f t="shared" si="545"/>
        <v>0</v>
      </c>
      <c r="M3487" s="18"/>
      <c r="N3487" s="18"/>
      <c r="O3487" s="18"/>
      <c r="P3487" s="18"/>
      <c r="Q3487" s="22"/>
      <c r="R3487" s="21"/>
      <c r="S3487" s="21"/>
      <c r="T3487" s="21"/>
      <c r="AA3487"/>
      <c r="AH3487" t="str">
        <f t="shared" si="546"/>
        <v>k yet</v>
      </c>
    </row>
    <row r="3488" spans="1:39">
      <c r="A3488" s="42" t="s">
        <v>260</v>
      </c>
      <c r="B3488" s="40" t="str">
        <f t="shared" si="543"/>
        <v>No pick yet</v>
      </c>
      <c r="C3488" s="40" t="str">
        <f t="shared" si="542"/>
        <v>15-&gt;</v>
      </c>
      <c r="D3488" s="40" t="str">
        <f t="shared" si="544"/>
        <v xml:space="preserve">No pick yet                                                 </v>
      </c>
      <c r="E3488" s="52">
        <f t="shared" si="545"/>
        <v>0</v>
      </c>
      <c r="M3488" s="18"/>
      <c r="N3488" s="18"/>
      <c r="O3488" s="18"/>
      <c r="P3488" s="18"/>
      <c r="Q3488" s="22"/>
      <c r="R3488" s="21"/>
      <c r="S3488" s="21"/>
      <c r="T3488" s="21"/>
      <c r="AA3488"/>
      <c r="AH3488" t="str">
        <f t="shared" si="546"/>
        <v>k yet</v>
      </c>
    </row>
    <row r="3489" spans="1:39">
      <c r="A3489" s="42" t="s">
        <v>261</v>
      </c>
      <c r="B3489" s="40" t="str">
        <f t="shared" si="543"/>
        <v>No pick yet</v>
      </c>
      <c r="C3489" s="40" t="str">
        <f t="shared" si="542"/>
        <v>16-&gt;</v>
      </c>
      <c r="D3489" s="40" t="str">
        <f t="shared" si="544"/>
        <v xml:space="preserve">No pick yet                                                 </v>
      </c>
      <c r="E3489" s="52">
        <f t="shared" si="545"/>
        <v>0</v>
      </c>
      <c r="M3489" s="18"/>
      <c r="N3489" s="18"/>
      <c r="O3489" s="18"/>
      <c r="P3489" s="18"/>
      <c r="Q3489" s="22"/>
      <c r="R3489" s="21"/>
      <c r="S3489" s="21"/>
      <c r="T3489" s="21"/>
      <c r="AA3489"/>
      <c r="AH3489" t="str">
        <f t="shared" si="546"/>
        <v>k yet</v>
      </c>
    </row>
    <row r="3490" spans="1:39">
      <c r="A3490" s="42" t="s">
        <v>262</v>
      </c>
      <c r="B3490" s="40" t="str">
        <f t="shared" si="543"/>
        <v>No pick yet</v>
      </c>
      <c r="C3490" s="40" t="str">
        <f t="shared" si="542"/>
        <v>17-&gt;</v>
      </c>
      <c r="D3490" s="40" t="str">
        <f t="shared" si="544"/>
        <v xml:space="preserve">No pick yet                                                 </v>
      </c>
      <c r="E3490" s="52">
        <f t="shared" si="545"/>
        <v>0</v>
      </c>
      <c r="K3490" s="22"/>
      <c r="N3490" s="22"/>
      <c r="O3490" s="22"/>
      <c r="P3490" s="22"/>
      <c r="Q3490" s="22"/>
      <c r="R3490" s="22"/>
      <c r="S3490" s="22"/>
      <c r="Z3490" s="53"/>
      <c r="AA3490"/>
      <c r="AH3490" t="str">
        <f t="shared" si="546"/>
        <v>k yet</v>
      </c>
    </row>
    <row r="3491" spans="1:39">
      <c r="A3491" s="42" t="s">
        <v>263</v>
      </c>
      <c r="B3491" s="40" t="str">
        <f t="shared" si="543"/>
        <v>No pick yet</v>
      </c>
      <c r="C3491" s="40" t="str">
        <f t="shared" si="542"/>
        <v>18-&gt;</v>
      </c>
      <c r="D3491" s="40" t="str">
        <f t="shared" si="544"/>
        <v xml:space="preserve">No pick yet                                                 </v>
      </c>
      <c r="E3491" s="52">
        <f t="shared" si="545"/>
        <v>0</v>
      </c>
      <c r="F3491" s="18"/>
      <c r="L3491" s="21"/>
      <c r="N3491" s="22"/>
      <c r="O3491" s="22"/>
      <c r="P3491" s="18"/>
      <c r="Q3491" s="22"/>
      <c r="R3491" s="22"/>
      <c r="S3491" s="22"/>
      <c r="Z3491" s="53"/>
      <c r="AA3491"/>
      <c r="AH3491" t="str">
        <f t="shared" si="546"/>
        <v>k yet</v>
      </c>
    </row>
    <row r="3492" spans="1:39">
      <c r="A3492" s="42" t="s">
        <v>264</v>
      </c>
      <c r="B3492" s="40" t="str">
        <f t="shared" si="543"/>
        <v>No pick yet</v>
      </c>
      <c r="C3492" s="40" t="str">
        <f t="shared" si="542"/>
        <v>19-&gt;</v>
      </c>
      <c r="D3492" s="40" t="str">
        <f t="shared" si="544"/>
        <v xml:space="preserve">No pick yet                                                 </v>
      </c>
      <c r="E3492" s="52">
        <f t="shared" si="545"/>
        <v>0</v>
      </c>
      <c r="F3492" s="18"/>
      <c r="M3492" s="18"/>
      <c r="N3492" s="18"/>
      <c r="O3492" s="18"/>
      <c r="P3492" s="18"/>
      <c r="Q3492" s="22"/>
      <c r="R3492" s="21"/>
      <c r="S3492" s="21"/>
      <c r="T3492" s="21"/>
      <c r="AA3492"/>
      <c r="AH3492" t="str">
        <f t="shared" si="546"/>
        <v>k yet</v>
      </c>
    </row>
    <row r="3493" spans="1:39">
      <c r="A3493" s="42" t="s">
        <v>265</v>
      </c>
      <c r="B3493" s="40" t="str">
        <f t="shared" si="543"/>
        <v>No pick yet</v>
      </c>
      <c r="C3493" s="40" t="str">
        <f t="shared" si="542"/>
        <v>20-&gt;</v>
      </c>
      <c r="D3493" s="40" t="str">
        <f t="shared" si="544"/>
        <v xml:space="preserve">No pick yet                                                 </v>
      </c>
      <c r="E3493" s="52">
        <f t="shared" si="545"/>
        <v>0</v>
      </c>
      <c r="F3493" s="18"/>
      <c r="M3493" s="18"/>
      <c r="N3493" s="18"/>
      <c r="O3493" s="18"/>
      <c r="P3493" s="18"/>
      <c r="Q3493" s="22"/>
      <c r="R3493" s="21"/>
      <c r="S3493" s="21"/>
      <c r="T3493" s="21"/>
      <c r="AA3493"/>
      <c r="AH3493" t="str">
        <f t="shared" si="546"/>
        <v>k yet</v>
      </c>
    </row>
    <row r="3494" spans="1:39">
      <c r="A3494" s="42" t="s">
        <v>266</v>
      </c>
      <c r="B3494" s="40" t="str">
        <f t="shared" si="543"/>
        <v>No pick yet</v>
      </c>
      <c r="C3494" s="40" t="str">
        <f t="shared" si="542"/>
        <v>21-&gt;</v>
      </c>
      <c r="D3494" s="40" t="str">
        <f t="shared" si="544"/>
        <v xml:space="preserve">No pick yet                                                 </v>
      </c>
      <c r="E3494" s="52">
        <f t="shared" si="545"/>
        <v>0</v>
      </c>
      <c r="F3494" s="18"/>
      <c r="M3494" s="18"/>
      <c r="N3494" s="18"/>
      <c r="O3494" s="18"/>
      <c r="P3494" s="18"/>
      <c r="Q3494" s="22"/>
      <c r="R3494" s="21"/>
      <c r="S3494" s="21"/>
      <c r="T3494" s="21"/>
      <c r="AA3494"/>
      <c r="AH3494" t="str">
        <f t="shared" si="546"/>
        <v>k yet</v>
      </c>
    </row>
    <row r="3495" spans="1:39">
      <c r="A3495" s="42" t="s">
        <v>267</v>
      </c>
      <c r="B3495" s="40" t="str">
        <f t="shared" si="543"/>
        <v>No pick yet</v>
      </c>
      <c r="C3495" s="40" t="str">
        <f t="shared" si="542"/>
        <v>22-&gt;</v>
      </c>
      <c r="D3495" s="40" t="str">
        <f t="shared" si="544"/>
        <v xml:space="preserve">No pick yet                                                 </v>
      </c>
      <c r="E3495" s="52">
        <f t="shared" si="545"/>
        <v>0</v>
      </c>
      <c r="F3495" s="18"/>
      <c r="M3495" s="18"/>
      <c r="N3495" s="18"/>
      <c r="O3495" s="18"/>
      <c r="P3495" s="18"/>
      <c r="Q3495" s="22"/>
      <c r="R3495" s="21"/>
      <c r="S3495" s="21"/>
      <c r="T3495" s="21"/>
      <c r="AA3495"/>
      <c r="AH3495" t="str">
        <f t="shared" si="546"/>
        <v>k yet</v>
      </c>
    </row>
    <row r="3496" spans="1:39">
      <c r="A3496" s="42" t="s">
        <v>268</v>
      </c>
      <c r="B3496" s="40" t="str">
        <f t="shared" si="543"/>
        <v>No pick yet</v>
      </c>
      <c r="C3496" s="40" t="str">
        <f t="shared" si="542"/>
        <v>23-&gt;</v>
      </c>
      <c r="D3496" s="40" t="str">
        <f t="shared" si="544"/>
        <v xml:space="preserve">No pick yet                                                 </v>
      </c>
      <c r="E3496" s="52">
        <f t="shared" si="545"/>
        <v>0</v>
      </c>
      <c r="F3496" s="18"/>
      <c r="M3496" s="18"/>
      <c r="N3496" s="18"/>
      <c r="O3496" s="18"/>
      <c r="P3496" s="18"/>
      <c r="Q3496" s="22"/>
      <c r="R3496" s="21"/>
      <c r="S3496" s="21"/>
      <c r="T3496" s="21"/>
      <c r="AA3496"/>
      <c r="AH3496" t="str">
        <f t="shared" si="546"/>
        <v>k yet</v>
      </c>
    </row>
    <row r="3497" spans="1:39">
      <c r="A3497" s="42" t="s">
        <v>269</v>
      </c>
      <c r="B3497" s="40" t="str">
        <f t="shared" si="543"/>
        <v>No pick yet</v>
      </c>
      <c r="C3497" s="40" t="str">
        <f t="shared" si="542"/>
        <v>24-&gt;</v>
      </c>
      <c r="D3497" s="40" t="str">
        <f t="shared" si="544"/>
        <v xml:space="preserve">No pick yet                                                 </v>
      </c>
      <c r="E3497" s="52">
        <f t="shared" si="545"/>
        <v>0</v>
      </c>
      <c r="F3497" s="18"/>
      <c r="M3497" s="18"/>
      <c r="N3497" s="18"/>
      <c r="O3497" s="18"/>
      <c r="P3497" s="18"/>
      <c r="Q3497" s="22"/>
      <c r="R3497" s="21"/>
      <c r="S3497" s="21"/>
      <c r="T3497" s="21"/>
      <c r="AA3497"/>
      <c r="AH3497" t="str">
        <f t="shared" si="546"/>
        <v>k yet</v>
      </c>
    </row>
    <row r="3498" spans="1:39">
      <c r="A3498" s="42" t="s">
        <v>270</v>
      </c>
      <c r="B3498" s="40" t="str">
        <f t="shared" si="543"/>
        <v>No pick yet</v>
      </c>
      <c r="C3498" s="40" t="str">
        <f t="shared" si="542"/>
        <v>25-&gt;</v>
      </c>
      <c r="D3498" s="40" t="str">
        <f t="shared" si="544"/>
        <v xml:space="preserve">No pick yet                                                 </v>
      </c>
      <c r="E3498" s="52">
        <f t="shared" si="545"/>
        <v>0</v>
      </c>
      <c r="F3498" s="18"/>
      <c r="M3498" s="18"/>
      <c r="N3498" s="18"/>
      <c r="O3498" s="18"/>
      <c r="P3498" s="18"/>
      <c r="Q3498" s="22"/>
      <c r="R3498" s="21"/>
      <c r="S3498" s="21"/>
      <c r="T3498" s="21"/>
      <c r="AA3498"/>
      <c r="AH3498" t="str">
        <f t="shared" si="546"/>
        <v>k yet</v>
      </c>
    </row>
    <row r="3499" spans="1:39">
      <c r="A3499" s="42" t="s">
        <v>271</v>
      </c>
      <c r="B3499" s="40" t="str">
        <f t="shared" si="543"/>
        <v>No pick yet</v>
      </c>
      <c r="C3499" s="40" t="str">
        <f t="shared" si="542"/>
        <v>26-&gt;</v>
      </c>
      <c r="D3499" s="40" t="str">
        <f t="shared" si="544"/>
        <v xml:space="preserve">No pick yet                                                 </v>
      </c>
      <c r="E3499" s="52">
        <f t="shared" si="545"/>
        <v>0</v>
      </c>
      <c r="F3499" s="18"/>
      <c r="M3499" s="18"/>
      <c r="N3499" s="18"/>
      <c r="O3499" s="18"/>
      <c r="P3499" s="18"/>
      <c r="Q3499" s="22"/>
      <c r="R3499" s="21"/>
      <c r="S3499" s="21"/>
      <c r="T3499" s="21"/>
      <c r="AA3499"/>
      <c r="AH3499" t="str">
        <f t="shared" si="546"/>
        <v>k yet</v>
      </c>
    </row>
    <row r="3500" spans="1:39">
      <c r="A3500" s="38"/>
      <c r="B3500" s="40"/>
      <c r="C3500" s="40"/>
      <c r="D3500" s="49"/>
      <c r="E3500" s="41" t="s">
        <v>69</v>
      </c>
      <c r="F3500" s="18"/>
      <c r="K3500" s="22" t="s">
        <v>73</v>
      </c>
      <c r="L3500" s="18" t="s">
        <v>74</v>
      </c>
      <c r="M3500" s="22" t="s">
        <v>78</v>
      </c>
      <c r="N3500" s="22" t="s">
        <v>79</v>
      </c>
      <c r="O3500" s="22" t="s">
        <v>80</v>
      </c>
      <c r="P3500" s="22" t="s">
        <v>81</v>
      </c>
      <c r="Q3500" s="22" t="s">
        <v>82</v>
      </c>
      <c r="R3500" s="22" t="s">
        <v>83</v>
      </c>
      <c r="S3500" s="22" t="s">
        <v>84</v>
      </c>
      <c r="T3500" s="18" t="s">
        <v>85</v>
      </c>
      <c r="U3500" s="18" t="s">
        <v>86</v>
      </c>
      <c r="V3500" s="18" t="s">
        <v>87</v>
      </c>
      <c r="W3500" s="18" t="s">
        <v>88</v>
      </c>
      <c r="X3500" s="18" t="s">
        <v>89</v>
      </c>
      <c r="Y3500" s="18" t="s">
        <v>90</v>
      </c>
      <c r="Z3500" s="18" t="s">
        <v>91</v>
      </c>
      <c r="AA3500" s="18" t="s">
        <v>92</v>
      </c>
      <c r="AB3500" s="18" t="s">
        <v>93</v>
      </c>
      <c r="AC3500" s="18" t="s">
        <v>94</v>
      </c>
      <c r="AD3500" s="18" t="s">
        <v>235</v>
      </c>
      <c r="AE3500" s="18" t="s">
        <v>236</v>
      </c>
      <c r="AF3500" s="18" t="s">
        <v>237</v>
      </c>
      <c r="AG3500" s="18" t="s">
        <v>238</v>
      </c>
      <c r="AH3500" s="18" t="s">
        <v>239</v>
      </c>
      <c r="AI3500" s="18" t="s">
        <v>240</v>
      </c>
      <c r="AJ3500" s="18" t="s">
        <v>241</v>
      </c>
      <c r="AK3500" s="18" t="s">
        <v>242</v>
      </c>
      <c r="AL3500" s="18" t="s">
        <v>243</v>
      </c>
      <c r="AM3500" s="50" t="s">
        <v>244</v>
      </c>
    </row>
    <row r="3501" spans="1:39">
      <c r="A3501" s="40" t="s">
        <v>245</v>
      </c>
      <c r="B3501" s="51" t="str">
        <f>D124</f>
        <v/>
      </c>
      <c r="C3501" s="40" t="str">
        <f t="shared" ref="C3501:C3527" si="547">A3501</f>
        <v>#</v>
      </c>
      <c r="D3501" s="40" t="str">
        <f>"   "&amp;B3501&amp;REPT(" ",$AH$70-LEN(B3501)-3)</f>
        <v xml:space="preserve">                                                            </v>
      </c>
      <c r="E3501" s="38" t="str">
        <f>SUM(E3502:E3527)&amp;" pts[/b]"</f>
        <v>0 pts[/b]</v>
      </c>
      <c r="F3501" s="21">
        <f>SUM(E3502:E3527)</f>
        <v>0</v>
      </c>
      <c r="K3501" s="18">
        <f>COUNTIF(E3502:E3527,"&gt;0")</f>
        <v>0</v>
      </c>
      <c r="L3501" s="21">
        <f>AM3501-K3501</f>
        <v>0</v>
      </c>
      <c r="M3501" s="22">
        <f>MAX(E3502:E3527)</f>
        <v>0</v>
      </c>
      <c r="N3501" s="22">
        <f>LARGE(E3502:E3527,2)</f>
        <v>0</v>
      </c>
      <c r="O3501" s="22">
        <f>LARGE(E3502:E3527,3)</f>
        <v>0</v>
      </c>
      <c r="P3501" s="18">
        <f>LARGE(E3502:E3527,4)</f>
        <v>0</v>
      </c>
      <c r="Q3501" s="22">
        <f>LARGE(E3502:E3527,5)</f>
        <v>0</v>
      </c>
      <c r="R3501" s="22">
        <f>LARGE(E3502:E3527,6)</f>
        <v>0</v>
      </c>
      <c r="S3501" s="22">
        <f>LARGE(E3502:E3527,7)</f>
        <v>0</v>
      </c>
      <c r="T3501" s="18">
        <f>LARGE(E3502:E3527,8)</f>
        <v>0</v>
      </c>
      <c r="U3501" s="18">
        <f>LARGE(E3502:E3527,9)</f>
        <v>0</v>
      </c>
      <c r="V3501" s="18">
        <f>LARGE(E3502:E3527,10)</f>
        <v>0</v>
      </c>
      <c r="W3501" s="18">
        <f>LARGE(E3502:E3527,11)</f>
        <v>0</v>
      </c>
      <c r="X3501" s="18">
        <f>LARGE(E3502:E3527,12)</f>
        <v>0</v>
      </c>
      <c r="Y3501" s="18">
        <f>LARGE(E3502:E3527,13)</f>
        <v>0</v>
      </c>
      <c r="Z3501" s="18">
        <f>LARGE(E3502:E3527,14)</f>
        <v>0</v>
      </c>
      <c r="AA3501" s="18">
        <f>LARGE(E3502:E3527,15)</f>
        <v>0</v>
      </c>
      <c r="AB3501" s="18">
        <f>LARGE(E3502:E3527,16)</f>
        <v>0</v>
      </c>
      <c r="AC3501" s="18">
        <f>LARGE(E3502:E3527,17)</f>
        <v>0</v>
      </c>
      <c r="AD3501" s="18">
        <f>LARGE(E3502:E3528,13)</f>
        <v>0</v>
      </c>
      <c r="AE3501" s="18">
        <f>LARGE(E3502:E3527,19)</f>
        <v>0</v>
      </c>
      <c r="AF3501" s="18">
        <f>LARGE(E3502:E3527,20)</f>
        <v>0</v>
      </c>
      <c r="AG3501" s="18">
        <f>LARGE(E3502:E3527,21)</f>
        <v>0</v>
      </c>
      <c r="AH3501" s="18">
        <f>LARGE(E3502:E3527,22)</f>
        <v>0</v>
      </c>
      <c r="AI3501" s="18">
        <f>LARGE(E3502:E3527,23)</f>
        <v>0</v>
      </c>
      <c r="AJ3501" s="18">
        <f>LARGE(E3502:E3527,24)</f>
        <v>0</v>
      </c>
      <c r="AK3501" s="18">
        <f>LARGE(E3502:E3527,25)</f>
        <v>0</v>
      </c>
      <c r="AL3501" s="18">
        <f>LARGE(E3502:E3527,26)</f>
        <v>0</v>
      </c>
      <c r="AM3501" s="50">
        <f>COUNTIF(B3502:B3527,"&lt;&gt;"&amp;AH74)</f>
        <v>0</v>
      </c>
    </row>
    <row r="3502" spans="1:39">
      <c r="A3502" s="42" t="s">
        <v>246</v>
      </c>
      <c r="B3502" s="40" t="str">
        <f t="shared" ref="B3502:B3527" si="548">$AH$74</f>
        <v>No pick yet</v>
      </c>
      <c r="C3502" s="40" t="str">
        <f t="shared" si="547"/>
        <v>01-&gt;</v>
      </c>
      <c r="D3502" s="40" t="str">
        <f t="shared" ref="D3502:D3527" si="549">B3502&amp;REPT(" ",$AH$70-LEN(B3502))</f>
        <v xml:space="preserve">No pick yet                                                 </v>
      </c>
      <c r="E3502" s="52">
        <f t="shared" ref="E3502:E3527" si="550">VLOOKUP(RIGHT(B3502,LEN(B3502)-$AH$66),$H$138:$I$420,2,0)</f>
        <v>0</v>
      </c>
      <c r="F3502" s="18"/>
      <c r="M3502" s="18"/>
      <c r="N3502" s="18"/>
      <c r="O3502" s="18"/>
      <c r="P3502" s="18"/>
      <c r="Q3502" s="22"/>
      <c r="R3502" s="21"/>
      <c r="S3502" s="21"/>
      <c r="T3502" s="21"/>
      <c r="AA3502"/>
      <c r="AH3502" t="str">
        <f t="shared" ref="AH3502:AH3527" si="551">RIGHT(B3502,LEN(B3502)-$AH$66)</f>
        <v>k yet</v>
      </c>
    </row>
    <row r="3503" spans="1:39">
      <c r="A3503" s="42" t="s">
        <v>247</v>
      </c>
      <c r="B3503" s="40" t="str">
        <f t="shared" si="548"/>
        <v>No pick yet</v>
      </c>
      <c r="C3503" s="40" t="str">
        <f t="shared" si="547"/>
        <v>02-&gt;</v>
      </c>
      <c r="D3503" s="40" t="str">
        <f t="shared" si="549"/>
        <v xml:space="preserve">No pick yet                                                 </v>
      </c>
      <c r="E3503" s="52">
        <f t="shared" si="550"/>
        <v>0</v>
      </c>
      <c r="F3503" s="18"/>
      <c r="K3503" s="22"/>
      <c r="N3503" s="22"/>
      <c r="O3503" s="22"/>
      <c r="P3503" s="22"/>
      <c r="Q3503" s="22"/>
      <c r="R3503" s="22"/>
      <c r="S3503" s="22"/>
      <c r="Z3503" s="53"/>
      <c r="AA3503"/>
      <c r="AH3503" t="str">
        <f t="shared" si="551"/>
        <v>k yet</v>
      </c>
    </row>
    <row r="3504" spans="1:39">
      <c r="A3504" s="42" t="s">
        <v>248</v>
      </c>
      <c r="B3504" s="40" t="str">
        <f t="shared" si="548"/>
        <v>No pick yet</v>
      </c>
      <c r="C3504" s="40" t="str">
        <f t="shared" si="547"/>
        <v>03-&gt;</v>
      </c>
      <c r="D3504" s="40" t="str">
        <f t="shared" si="549"/>
        <v xml:space="preserve">No pick yet                                                 </v>
      </c>
      <c r="E3504" s="52">
        <f t="shared" si="550"/>
        <v>0</v>
      </c>
      <c r="F3504" s="18"/>
      <c r="L3504" s="21"/>
      <c r="N3504" s="22"/>
      <c r="O3504" s="22"/>
      <c r="P3504" s="18"/>
      <c r="Q3504" s="22"/>
      <c r="R3504" s="22"/>
      <c r="S3504" s="22"/>
      <c r="Z3504" s="53"/>
      <c r="AA3504"/>
      <c r="AH3504" t="str">
        <f t="shared" si="551"/>
        <v>k yet</v>
      </c>
    </row>
    <row r="3505" spans="1:34">
      <c r="A3505" s="42" t="s">
        <v>249</v>
      </c>
      <c r="B3505" s="40" t="str">
        <f t="shared" si="548"/>
        <v>No pick yet</v>
      </c>
      <c r="C3505" s="40" t="str">
        <f t="shared" si="547"/>
        <v>04-&gt;</v>
      </c>
      <c r="D3505" s="40" t="str">
        <f t="shared" si="549"/>
        <v xml:space="preserve">No pick yet                                                 </v>
      </c>
      <c r="E3505" s="52">
        <f t="shared" si="550"/>
        <v>0</v>
      </c>
      <c r="F3505" s="18"/>
      <c r="M3505" s="18"/>
      <c r="N3505" s="18"/>
      <c r="O3505" s="18"/>
      <c r="P3505" s="18"/>
      <c r="Q3505" s="22"/>
      <c r="R3505" s="21"/>
      <c r="S3505" s="21"/>
      <c r="T3505" s="21"/>
      <c r="AA3505"/>
      <c r="AH3505" t="str">
        <f t="shared" si="551"/>
        <v>k yet</v>
      </c>
    </row>
    <row r="3506" spans="1:34">
      <c r="A3506" s="42" t="s">
        <v>250</v>
      </c>
      <c r="B3506" s="40" t="str">
        <f t="shared" si="548"/>
        <v>No pick yet</v>
      </c>
      <c r="C3506" s="40" t="str">
        <f t="shared" si="547"/>
        <v>05-&gt;</v>
      </c>
      <c r="D3506" s="40" t="str">
        <f t="shared" si="549"/>
        <v xml:space="preserve">No pick yet                                                 </v>
      </c>
      <c r="E3506" s="52">
        <f t="shared" si="550"/>
        <v>0</v>
      </c>
      <c r="F3506" s="18"/>
      <c r="M3506" s="18"/>
      <c r="N3506" s="18"/>
      <c r="O3506" s="18"/>
      <c r="P3506" s="18"/>
      <c r="Q3506" s="22"/>
      <c r="R3506" s="21"/>
      <c r="S3506" s="21"/>
      <c r="T3506" s="21"/>
      <c r="AA3506"/>
      <c r="AH3506" t="str">
        <f t="shared" si="551"/>
        <v>k yet</v>
      </c>
    </row>
    <row r="3507" spans="1:34">
      <c r="A3507" s="42" t="s">
        <v>251</v>
      </c>
      <c r="B3507" s="40" t="str">
        <f t="shared" si="548"/>
        <v>No pick yet</v>
      </c>
      <c r="C3507" s="40" t="str">
        <f t="shared" si="547"/>
        <v>06-&gt;</v>
      </c>
      <c r="D3507" s="40" t="str">
        <f t="shared" si="549"/>
        <v xml:space="preserve">No pick yet                                                 </v>
      </c>
      <c r="E3507" s="52">
        <f t="shared" si="550"/>
        <v>0</v>
      </c>
      <c r="F3507" s="18"/>
      <c r="M3507" s="18"/>
      <c r="N3507" s="18"/>
      <c r="O3507" s="18"/>
      <c r="P3507" s="18"/>
      <c r="Q3507" s="22"/>
      <c r="R3507" s="21"/>
      <c r="S3507" s="21"/>
      <c r="T3507" s="21"/>
      <c r="AA3507"/>
      <c r="AH3507" t="str">
        <f t="shared" si="551"/>
        <v>k yet</v>
      </c>
    </row>
    <row r="3508" spans="1:34">
      <c r="A3508" s="42" t="s">
        <v>252</v>
      </c>
      <c r="B3508" s="40" t="str">
        <f t="shared" si="548"/>
        <v>No pick yet</v>
      </c>
      <c r="C3508" s="40" t="str">
        <f t="shared" si="547"/>
        <v>07-&gt;</v>
      </c>
      <c r="D3508" s="40" t="str">
        <f t="shared" si="549"/>
        <v xml:space="preserve">No pick yet                                                 </v>
      </c>
      <c r="E3508" s="52">
        <f t="shared" si="550"/>
        <v>0</v>
      </c>
      <c r="F3508" s="18"/>
      <c r="M3508" s="18"/>
      <c r="N3508" s="18"/>
      <c r="O3508" s="18"/>
      <c r="P3508" s="18"/>
      <c r="Q3508" s="22"/>
      <c r="R3508" s="21"/>
      <c r="S3508" s="21"/>
      <c r="T3508" s="21"/>
      <c r="AA3508"/>
      <c r="AH3508" t="str">
        <f t="shared" si="551"/>
        <v>k yet</v>
      </c>
    </row>
    <row r="3509" spans="1:34">
      <c r="A3509" s="42" t="s">
        <v>253</v>
      </c>
      <c r="B3509" s="40" t="str">
        <f t="shared" si="548"/>
        <v>No pick yet</v>
      </c>
      <c r="C3509" s="40" t="str">
        <f t="shared" si="547"/>
        <v>08-&gt;</v>
      </c>
      <c r="D3509" s="40" t="str">
        <f t="shared" si="549"/>
        <v xml:space="preserve">No pick yet                                                 </v>
      </c>
      <c r="E3509" s="52">
        <f t="shared" si="550"/>
        <v>0</v>
      </c>
      <c r="F3509" s="18"/>
      <c r="M3509" s="18"/>
      <c r="N3509" s="18"/>
      <c r="O3509" s="18"/>
      <c r="P3509" s="18"/>
      <c r="Q3509" s="22"/>
      <c r="R3509" s="21"/>
      <c r="S3509" s="21"/>
      <c r="T3509" s="21"/>
      <c r="AA3509"/>
      <c r="AH3509" t="str">
        <f t="shared" si="551"/>
        <v>k yet</v>
      </c>
    </row>
    <row r="3510" spans="1:34">
      <c r="A3510" s="42" t="s">
        <v>254</v>
      </c>
      <c r="B3510" s="40" t="str">
        <f t="shared" si="548"/>
        <v>No pick yet</v>
      </c>
      <c r="C3510" s="40" t="str">
        <f t="shared" si="547"/>
        <v>09-&gt;</v>
      </c>
      <c r="D3510" s="40" t="str">
        <f t="shared" si="549"/>
        <v xml:space="preserve">No pick yet                                                 </v>
      </c>
      <c r="E3510" s="52">
        <f t="shared" si="550"/>
        <v>0</v>
      </c>
      <c r="F3510" s="18"/>
      <c r="M3510" s="18"/>
      <c r="N3510" s="18"/>
      <c r="O3510" s="18"/>
      <c r="P3510" s="18"/>
      <c r="Q3510" s="22"/>
      <c r="R3510" s="21"/>
      <c r="S3510" s="21"/>
      <c r="T3510" s="21"/>
      <c r="AA3510"/>
      <c r="AH3510" t="str">
        <f t="shared" si="551"/>
        <v>k yet</v>
      </c>
    </row>
    <row r="3511" spans="1:34">
      <c r="A3511" s="42" t="s">
        <v>255</v>
      </c>
      <c r="B3511" s="40" t="str">
        <f t="shared" si="548"/>
        <v>No pick yet</v>
      </c>
      <c r="C3511" s="40" t="str">
        <f t="shared" si="547"/>
        <v>10-&gt;</v>
      </c>
      <c r="D3511" s="40" t="str">
        <f t="shared" si="549"/>
        <v xml:space="preserve">No pick yet                                                 </v>
      </c>
      <c r="E3511" s="52">
        <f t="shared" si="550"/>
        <v>0</v>
      </c>
      <c r="F3511" s="22"/>
      <c r="M3511" s="18"/>
      <c r="N3511" s="18"/>
      <c r="O3511" s="18"/>
      <c r="P3511" s="18"/>
      <c r="Q3511" s="22"/>
      <c r="R3511" s="21"/>
      <c r="S3511" s="21"/>
      <c r="T3511" s="21"/>
      <c r="AA3511"/>
      <c r="AH3511" t="str">
        <f t="shared" si="551"/>
        <v>k yet</v>
      </c>
    </row>
    <row r="3512" spans="1:34">
      <c r="A3512" s="42" t="s">
        <v>256</v>
      </c>
      <c r="B3512" s="40" t="str">
        <f t="shared" si="548"/>
        <v>No pick yet</v>
      </c>
      <c r="C3512" s="40" t="str">
        <f t="shared" si="547"/>
        <v>11-&gt;</v>
      </c>
      <c r="D3512" s="40" t="str">
        <f t="shared" si="549"/>
        <v xml:space="preserve">No pick yet                                                 </v>
      </c>
      <c r="E3512" s="52">
        <f t="shared" si="550"/>
        <v>0</v>
      </c>
      <c r="M3512" s="18"/>
      <c r="N3512" s="18"/>
      <c r="O3512" s="18"/>
      <c r="P3512" s="18"/>
      <c r="Q3512" s="22"/>
      <c r="R3512" s="21"/>
      <c r="S3512" s="21"/>
      <c r="T3512" s="21"/>
      <c r="AA3512"/>
      <c r="AH3512" t="str">
        <f t="shared" si="551"/>
        <v>k yet</v>
      </c>
    </row>
    <row r="3513" spans="1:34">
      <c r="A3513" s="42" t="s">
        <v>257</v>
      </c>
      <c r="B3513" s="40" t="str">
        <f t="shared" si="548"/>
        <v>No pick yet</v>
      </c>
      <c r="C3513" s="40" t="str">
        <f t="shared" si="547"/>
        <v>12-&gt;</v>
      </c>
      <c r="D3513" s="40" t="str">
        <f t="shared" si="549"/>
        <v xml:space="preserve">No pick yet                                                 </v>
      </c>
      <c r="E3513" s="52">
        <f t="shared" si="550"/>
        <v>0</v>
      </c>
      <c r="M3513" s="18"/>
      <c r="N3513" s="18"/>
      <c r="O3513" s="18"/>
      <c r="P3513" s="18"/>
      <c r="Q3513" s="22"/>
      <c r="R3513" s="21"/>
      <c r="S3513" s="21"/>
      <c r="T3513" s="21"/>
      <c r="AA3513"/>
      <c r="AH3513" t="str">
        <f t="shared" si="551"/>
        <v>k yet</v>
      </c>
    </row>
    <row r="3514" spans="1:34">
      <c r="A3514" s="42" t="s">
        <v>258</v>
      </c>
      <c r="B3514" s="40" t="str">
        <f t="shared" si="548"/>
        <v>No pick yet</v>
      </c>
      <c r="C3514" s="40" t="str">
        <f t="shared" si="547"/>
        <v>13-&gt;</v>
      </c>
      <c r="D3514" s="40" t="str">
        <f t="shared" si="549"/>
        <v xml:space="preserve">No pick yet                                                 </v>
      </c>
      <c r="E3514" s="52">
        <f t="shared" si="550"/>
        <v>0</v>
      </c>
      <c r="M3514" s="18"/>
      <c r="N3514" s="18"/>
      <c r="O3514" s="18"/>
      <c r="P3514" s="18"/>
      <c r="Q3514" s="22"/>
      <c r="R3514" s="21"/>
      <c r="S3514" s="21"/>
      <c r="T3514" s="21"/>
      <c r="AA3514"/>
      <c r="AH3514" t="str">
        <f t="shared" si="551"/>
        <v>k yet</v>
      </c>
    </row>
    <row r="3515" spans="1:34">
      <c r="A3515" s="42" t="s">
        <v>259</v>
      </c>
      <c r="B3515" s="40" t="str">
        <f t="shared" si="548"/>
        <v>No pick yet</v>
      </c>
      <c r="C3515" s="40" t="str">
        <f t="shared" si="547"/>
        <v>14-&gt;</v>
      </c>
      <c r="D3515" s="40" t="str">
        <f t="shared" si="549"/>
        <v xml:space="preserve">No pick yet                                                 </v>
      </c>
      <c r="E3515" s="52">
        <f t="shared" si="550"/>
        <v>0</v>
      </c>
      <c r="M3515" s="18"/>
      <c r="N3515" s="18"/>
      <c r="O3515" s="18"/>
      <c r="P3515" s="18"/>
      <c r="Q3515" s="22"/>
      <c r="R3515" s="21"/>
      <c r="S3515" s="21"/>
      <c r="T3515" s="21"/>
      <c r="AA3515"/>
      <c r="AH3515" t="str">
        <f t="shared" si="551"/>
        <v>k yet</v>
      </c>
    </row>
    <row r="3516" spans="1:34">
      <c r="A3516" s="42" t="s">
        <v>260</v>
      </c>
      <c r="B3516" s="40" t="str">
        <f t="shared" si="548"/>
        <v>No pick yet</v>
      </c>
      <c r="C3516" s="40" t="str">
        <f t="shared" si="547"/>
        <v>15-&gt;</v>
      </c>
      <c r="D3516" s="40" t="str">
        <f t="shared" si="549"/>
        <v xml:space="preserve">No pick yet                                                 </v>
      </c>
      <c r="E3516" s="52">
        <f t="shared" si="550"/>
        <v>0</v>
      </c>
      <c r="M3516" s="18"/>
      <c r="N3516" s="18"/>
      <c r="O3516" s="18"/>
      <c r="P3516" s="18"/>
      <c r="Q3516" s="22"/>
      <c r="R3516" s="21"/>
      <c r="S3516" s="21"/>
      <c r="T3516" s="21"/>
      <c r="AA3516"/>
      <c r="AH3516" t="str">
        <f t="shared" si="551"/>
        <v>k yet</v>
      </c>
    </row>
    <row r="3517" spans="1:34">
      <c r="A3517" s="42" t="s">
        <v>261</v>
      </c>
      <c r="B3517" s="40" t="str">
        <f t="shared" si="548"/>
        <v>No pick yet</v>
      </c>
      <c r="C3517" s="40" t="str">
        <f t="shared" si="547"/>
        <v>16-&gt;</v>
      </c>
      <c r="D3517" s="40" t="str">
        <f t="shared" si="549"/>
        <v xml:space="preserve">No pick yet                                                 </v>
      </c>
      <c r="E3517" s="52">
        <f t="shared" si="550"/>
        <v>0</v>
      </c>
      <c r="M3517" s="18"/>
      <c r="N3517" s="18"/>
      <c r="O3517" s="18"/>
      <c r="P3517" s="18"/>
      <c r="Q3517" s="22"/>
      <c r="R3517" s="21"/>
      <c r="S3517" s="21"/>
      <c r="T3517" s="21"/>
      <c r="AA3517"/>
      <c r="AH3517" t="str">
        <f t="shared" si="551"/>
        <v>k yet</v>
      </c>
    </row>
    <row r="3518" spans="1:34">
      <c r="A3518" s="42" t="s">
        <v>262</v>
      </c>
      <c r="B3518" s="40" t="str">
        <f t="shared" si="548"/>
        <v>No pick yet</v>
      </c>
      <c r="C3518" s="40" t="str">
        <f t="shared" si="547"/>
        <v>17-&gt;</v>
      </c>
      <c r="D3518" s="40" t="str">
        <f t="shared" si="549"/>
        <v xml:space="preserve">No pick yet                                                 </v>
      </c>
      <c r="E3518" s="52">
        <f t="shared" si="550"/>
        <v>0</v>
      </c>
      <c r="K3518" s="22"/>
      <c r="N3518" s="22"/>
      <c r="O3518" s="22"/>
      <c r="P3518" s="22"/>
      <c r="Q3518" s="22"/>
      <c r="R3518" s="22"/>
      <c r="S3518" s="22"/>
      <c r="Z3518" s="53"/>
      <c r="AA3518"/>
      <c r="AH3518" t="str">
        <f t="shared" si="551"/>
        <v>k yet</v>
      </c>
    </row>
    <row r="3519" spans="1:34">
      <c r="A3519" s="42" t="s">
        <v>263</v>
      </c>
      <c r="B3519" s="40" t="str">
        <f t="shared" si="548"/>
        <v>No pick yet</v>
      </c>
      <c r="C3519" s="40" t="str">
        <f t="shared" si="547"/>
        <v>18-&gt;</v>
      </c>
      <c r="D3519" s="40" t="str">
        <f t="shared" si="549"/>
        <v xml:space="preserve">No pick yet                                                 </v>
      </c>
      <c r="E3519" s="52">
        <f t="shared" si="550"/>
        <v>0</v>
      </c>
      <c r="F3519" s="18"/>
      <c r="L3519" s="21"/>
      <c r="N3519" s="22"/>
      <c r="O3519" s="22"/>
      <c r="P3519" s="18"/>
      <c r="Q3519" s="22"/>
      <c r="R3519" s="22"/>
      <c r="S3519" s="22"/>
      <c r="Z3519" s="53"/>
      <c r="AA3519"/>
      <c r="AH3519" t="str">
        <f t="shared" si="551"/>
        <v>k yet</v>
      </c>
    </row>
    <row r="3520" spans="1:34">
      <c r="A3520" s="42" t="s">
        <v>264</v>
      </c>
      <c r="B3520" s="40" t="str">
        <f t="shared" si="548"/>
        <v>No pick yet</v>
      </c>
      <c r="C3520" s="40" t="str">
        <f t="shared" si="547"/>
        <v>19-&gt;</v>
      </c>
      <c r="D3520" s="40" t="str">
        <f t="shared" si="549"/>
        <v xml:space="preserve">No pick yet                                                 </v>
      </c>
      <c r="E3520" s="52">
        <f t="shared" si="550"/>
        <v>0</v>
      </c>
      <c r="F3520" s="18"/>
      <c r="M3520" s="18"/>
      <c r="N3520" s="18"/>
      <c r="O3520" s="18"/>
      <c r="P3520" s="18"/>
      <c r="Q3520" s="22"/>
      <c r="R3520" s="21"/>
      <c r="S3520" s="21"/>
      <c r="T3520" s="21"/>
      <c r="AA3520"/>
      <c r="AH3520" t="str">
        <f t="shared" si="551"/>
        <v>k yet</v>
      </c>
    </row>
    <row r="3521" spans="1:39">
      <c r="A3521" s="42" t="s">
        <v>265</v>
      </c>
      <c r="B3521" s="40" t="str">
        <f t="shared" si="548"/>
        <v>No pick yet</v>
      </c>
      <c r="C3521" s="40" t="str">
        <f t="shared" si="547"/>
        <v>20-&gt;</v>
      </c>
      <c r="D3521" s="40" t="str">
        <f t="shared" si="549"/>
        <v xml:space="preserve">No pick yet                                                 </v>
      </c>
      <c r="E3521" s="52">
        <f t="shared" si="550"/>
        <v>0</v>
      </c>
      <c r="F3521" s="18"/>
      <c r="M3521" s="18"/>
      <c r="N3521" s="18"/>
      <c r="O3521" s="18"/>
      <c r="P3521" s="18"/>
      <c r="Q3521" s="22"/>
      <c r="R3521" s="21"/>
      <c r="S3521" s="21"/>
      <c r="T3521" s="21"/>
      <c r="AA3521"/>
      <c r="AH3521" t="str">
        <f t="shared" si="551"/>
        <v>k yet</v>
      </c>
    </row>
    <row r="3522" spans="1:39">
      <c r="A3522" s="42" t="s">
        <v>266</v>
      </c>
      <c r="B3522" s="40" t="str">
        <f t="shared" si="548"/>
        <v>No pick yet</v>
      </c>
      <c r="C3522" s="40" t="str">
        <f t="shared" si="547"/>
        <v>21-&gt;</v>
      </c>
      <c r="D3522" s="40" t="str">
        <f t="shared" si="549"/>
        <v xml:space="preserve">No pick yet                                                 </v>
      </c>
      <c r="E3522" s="52">
        <f t="shared" si="550"/>
        <v>0</v>
      </c>
      <c r="F3522" s="18"/>
      <c r="M3522" s="18"/>
      <c r="N3522" s="18"/>
      <c r="O3522" s="18"/>
      <c r="P3522" s="18"/>
      <c r="Q3522" s="22"/>
      <c r="R3522" s="21"/>
      <c r="S3522" s="21"/>
      <c r="T3522" s="21"/>
      <c r="AA3522"/>
      <c r="AH3522" t="str">
        <f t="shared" si="551"/>
        <v>k yet</v>
      </c>
    </row>
    <row r="3523" spans="1:39">
      <c r="A3523" s="42" t="s">
        <v>267</v>
      </c>
      <c r="B3523" s="40" t="str">
        <f t="shared" si="548"/>
        <v>No pick yet</v>
      </c>
      <c r="C3523" s="40" t="str">
        <f t="shared" si="547"/>
        <v>22-&gt;</v>
      </c>
      <c r="D3523" s="40" t="str">
        <f t="shared" si="549"/>
        <v xml:space="preserve">No pick yet                                                 </v>
      </c>
      <c r="E3523" s="52">
        <f t="shared" si="550"/>
        <v>0</v>
      </c>
      <c r="F3523" s="18"/>
      <c r="M3523" s="18"/>
      <c r="N3523" s="18"/>
      <c r="O3523" s="18"/>
      <c r="P3523" s="18"/>
      <c r="Q3523" s="22"/>
      <c r="R3523" s="21"/>
      <c r="S3523" s="21"/>
      <c r="T3523" s="21"/>
      <c r="AA3523"/>
      <c r="AH3523" t="str">
        <f t="shared" si="551"/>
        <v>k yet</v>
      </c>
    </row>
    <row r="3524" spans="1:39">
      <c r="A3524" s="42" t="s">
        <v>268</v>
      </c>
      <c r="B3524" s="40" t="str">
        <f t="shared" si="548"/>
        <v>No pick yet</v>
      </c>
      <c r="C3524" s="40" t="str">
        <f t="shared" si="547"/>
        <v>23-&gt;</v>
      </c>
      <c r="D3524" s="40" t="str">
        <f t="shared" si="549"/>
        <v xml:space="preserve">No pick yet                                                 </v>
      </c>
      <c r="E3524" s="52">
        <f t="shared" si="550"/>
        <v>0</v>
      </c>
      <c r="F3524" s="18"/>
      <c r="M3524" s="18"/>
      <c r="N3524" s="18"/>
      <c r="O3524" s="18"/>
      <c r="P3524" s="18"/>
      <c r="Q3524" s="22"/>
      <c r="R3524" s="21"/>
      <c r="S3524" s="21"/>
      <c r="T3524" s="21"/>
      <c r="AA3524"/>
      <c r="AH3524" t="str">
        <f t="shared" si="551"/>
        <v>k yet</v>
      </c>
    </row>
    <row r="3525" spans="1:39">
      <c r="A3525" s="42" t="s">
        <v>269</v>
      </c>
      <c r="B3525" s="40" t="str">
        <f t="shared" si="548"/>
        <v>No pick yet</v>
      </c>
      <c r="C3525" s="40" t="str">
        <f t="shared" si="547"/>
        <v>24-&gt;</v>
      </c>
      <c r="D3525" s="40" t="str">
        <f t="shared" si="549"/>
        <v xml:space="preserve">No pick yet                                                 </v>
      </c>
      <c r="E3525" s="52">
        <f t="shared" si="550"/>
        <v>0</v>
      </c>
      <c r="F3525" s="18"/>
      <c r="M3525" s="18"/>
      <c r="N3525" s="18"/>
      <c r="O3525" s="18"/>
      <c r="P3525" s="18"/>
      <c r="Q3525" s="22"/>
      <c r="R3525" s="21"/>
      <c r="S3525" s="21"/>
      <c r="T3525" s="21"/>
      <c r="AA3525"/>
      <c r="AH3525" t="str">
        <f t="shared" si="551"/>
        <v>k yet</v>
      </c>
    </row>
    <row r="3526" spans="1:39">
      <c r="A3526" s="42" t="s">
        <v>270</v>
      </c>
      <c r="B3526" s="40" t="str">
        <f t="shared" si="548"/>
        <v>No pick yet</v>
      </c>
      <c r="C3526" s="40" t="str">
        <f t="shared" si="547"/>
        <v>25-&gt;</v>
      </c>
      <c r="D3526" s="40" t="str">
        <f t="shared" si="549"/>
        <v xml:space="preserve">No pick yet                                                 </v>
      </c>
      <c r="E3526" s="52">
        <f t="shared" si="550"/>
        <v>0</v>
      </c>
      <c r="F3526" s="18"/>
      <c r="M3526" s="18"/>
      <c r="N3526" s="18"/>
      <c r="O3526" s="18"/>
      <c r="P3526" s="18"/>
      <c r="Q3526" s="22"/>
      <c r="R3526" s="21"/>
      <c r="S3526" s="21"/>
      <c r="T3526" s="21"/>
      <c r="AA3526"/>
      <c r="AH3526" t="str">
        <f t="shared" si="551"/>
        <v>k yet</v>
      </c>
    </row>
    <row r="3527" spans="1:39">
      <c r="A3527" s="42" t="s">
        <v>271</v>
      </c>
      <c r="B3527" s="40" t="str">
        <f t="shared" si="548"/>
        <v>No pick yet</v>
      </c>
      <c r="C3527" s="40" t="str">
        <f t="shared" si="547"/>
        <v>26-&gt;</v>
      </c>
      <c r="D3527" s="40" t="str">
        <f t="shared" si="549"/>
        <v xml:space="preserve">No pick yet                                                 </v>
      </c>
      <c r="E3527" s="52">
        <f t="shared" si="550"/>
        <v>0</v>
      </c>
      <c r="F3527" s="18"/>
      <c r="M3527" s="18"/>
      <c r="N3527" s="18"/>
      <c r="O3527" s="18"/>
      <c r="P3527" s="18"/>
      <c r="Q3527" s="22"/>
      <c r="R3527" s="21"/>
      <c r="S3527" s="21"/>
      <c r="T3527" s="21"/>
      <c r="AA3527"/>
      <c r="AH3527" t="str">
        <f t="shared" si="551"/>
        <v>k yet</v>
      </c>
    </row>
    <row r="3528" spans="1:39">
      <c r="A3528" s="38"/>
      <c r="B3528" s="40"/>
      <c r="C3528" s="40"/>
      <c r="D3528" s="49"/>
      <c r="E3528" s="41" t="s">
        <v>69</v>
      </c>
      <c r="F3528" s="18"/>
      <c r="K3528" s="22" t="s">
        <v>73</v>
      </c>
      <c r="L3528" s="18" t="s">
        <v>74</v>
      </c>
      <c r="M3528" s="22" t="s">
        <v>78</v>
      </c>
      <c r="N3528" s="22" t="s">
        <v>79</v>
      </c>
      <c r="O3528" s="22" t="s">
        <v>80</v>
      </c>
      <c r="P3528" s="22" t="s">
        <v>81</v>
      </c>
      <c r="Q3528" s="22" t="s">
        <v>82</v>
      </c>
      <c r="R3528" s="22" t="s">
        <v>83</v>
      </c>
      <c r="S3528" s="22" t="s">
        <v>84</v>
      </c>
      <c r="T3528" s="18" t="s">
        <v>85</v>
      </c>
      <c r="U3528" s="18" t="s">
        <v>86</v>
      </c>
      <c r="V3528" s="18" t="s">
        <v>87</v>
      </c>
      <c r="W3528" s="18" t="s">
        <v>88</v>
      </c>
      <c r="X3528" s="18" t="s">
        <v>89</v>
      </c>
      <c r="Y3528" s="18" t="s">
        <v>90</v>
      </c>
      <c r="Z3528" s="18" t="s">
        <v>91</v>
      </c>
      <c r="AA3528" s="18" t="s">
        <v>92</v>
      </c>
      <c r="AB3528" s="18" t="s">
        <v>93</v>
      </c>
      <c r="AC3528" s="18" t="s">
        <v>94</v>
      </c>
      <c r="AD3528" s="18" t="s">
        <v>235</v>
      </c>
      <c r="AE3528" s="18" t="s">
        <v>236</v>
      </c>
      <c r="AF3528" s="18" t="s">
        <v>237</v>
      </c>
      <c r="AG3528" s="18" t="s">
        <v>238</v>
      </c>
      <c r="AH3528" s="18" t="s">
        <v>239</v>
      </c>
      <c r="AI3528" s="18" t="s">
        <v>240</v>
      </c>
      <c r="AJ3528" s="18" t="s">
        <v>241</v>
      </c>
      <c r="AK3528" s="18" t="s">
        <v>242</v>
      </c>
      <c r="AL3528" s="18" t="s">
        <v>243</v>
      </c>
      <c r="AM3528" s="50" t="s">
        <v>244</v>
      </c>
    </row>
    <row r="3529" spans="1:39">
      <c r="A3529" s="40" t="s">
        <v>245</v>
      </c>
      <c r="B3529" s="51" t="str">
        <f>D125</f>
        <v/>
      </c>
      <c r="C3529" s="40" t="str">
        <f t="shared" ref="C3529:C3555" si="552">A3529</f>
        <v>#</v>
      </c>
      <c r="D3529" s="40" t="str">
        <f>"   "&amp;B3529&amp;REPT(" ",$AH$70-LEN(B3529)-3)</f>
        <v xml:space="preserve">                                                            </v>
      </c>
      <c r="E3529" s="38" t="str">
        <f>SUM(E3530:E3555)&amp;" pts[/b]"</f>
        <v>0 pts[/b]</v>
      </c>
      <c r="F3529" s="21">
        <f>SUM(E3530:E3555)</f>
        <v>0</v>
      </c>
      <c r="K3529" s="18">
        <f>COUNTIF(E3530:E3555,"&gt;0")</f>
        <v>0</v>
      </c>
      <c r="L3529" s="21">
        <f>AM3529-K3529</f>
        <v>0</v>
      </c>
      <c r="M3529" s="22">
        <f>MAX(E3530:E3555)</f>
        <v>0</v>
      </c>
      <c r="N3529" s="22">
        <f>LARGE(E3530:E3555,2)</f>
        <v>0</v>
      </c>
      <c r="O3529" s="22">
        <f>LARGE(E3530:E3555,3)</f>
        <v>0</v>
      </c>
      <c r="P3529" s="18">
        <f>LARGE(E3530:E3555,4)</f>
        <v>0</v>
      </c>
      <c r="Q3529" s="22">
        <f>LARGE(E3530:E3555,5)</f>
        <v>0</v>
      </c>
      <c r="R3529" s="22">
        <f>LARGE(E3530:E3555,6)</f>
        <v>0</v>
      </c>
      <c r="S3529" s="22">
        <f>LARGE(E3530:E3555,7)</f>
        <v>0</v>
      </c>
      <c r="T3529" s="18">
        <f>LARGE(E3530:E3555,8)</f>
        <v>0</v>
      </c>
      <c r="U3529" s="18">
        <f>LARGE(E3530:E3555,9)</f>
        <v>0</v>
      </c>
      <c r="V3529" s="18">
        <f>LARGE(E3530:E3555,10)</f>
        <v>0</v>
      </c>
      <c r="W3529" s="18">
        <f>LARGE(E3530:E3555,11)</f>
        <v>0</v>
      </c>
      <c r="X3529" s="18">
        <f>LARGE(E3530:E3555,12)</f>
        <v>0</v>
      </c>
      <c r="Y3529" s="18">
        <f>LARGE(E3530:E3555,13)</f>
        <v>0</v>
      </c>
      <c r="Z3529" s="18">
        <f>LARGE(E3530:E3555,14)</f>
        <v>0</v>
      </c>
      <c r="AA3529" s="18">
        <f>LARGE(E3530:E3555,15)</f>
        <v>0</v>
      </c>
      <c r="AB3529" s="18">
        <f>LARGE(E3530:E3555,16)</f>
        <v>0</v>
      </c>
      <c r="AC3529" s="18">
        <f>LARGE(E3530:E3555,17)</f>
        <v>0</v>
      </c>
      <c r="AD3529" s="18">
        <f>LARGE(E3530:E3556,13)</f>
        <v>0</v>
      </c>
      <c r="AE3529" s="18">
        <f>LARGE(E3530:E3555,19)</f>
        <v>0</v>
      </c>
      <c r="AF3529" s="18">
        <f>LARGE(E3530:E3555,20)</f>
        <v>0</v>
      </c>
      <c r="AG3529" s="18">
        <f>LARGE(E3530:E3555,21)</f>
        <v>0</v>
      </c>
      <c r="AH3529" s="18">
        <f>LARGE(E3530:E3555,22)</f>
        <v>0</v>
      </c>
      <c r="AI3529" s="18">
        <f>LARGE(E3530:E3555,23)</f>
        <v>0</v>
      </c>
      <c r="AJ3529" s="18">
        <f>LARGE(E3530:E3555,24)</f>
        <v>0</v>
      </c>
      <c r="AK3529" s="18">
        <f>LARGE(E3530:E3555,25)</f>
        <v>0</v>
      </c>
      <c r="AL3529" s="18">
        <f>LARGE(E3530:E3555,26)</f>
        <v>0</v>
      </c>
      <c r="AM3529" s="50">
        <f>COUNTIF(B3530:B3555,"&lt;&gt;"&amp;AH74)</f>
        <v>0</v>
      </c>
    </row>
    <row r="3530" spans="1:39">
      <c r="A3530" s="42" t="s">
        <v>246</v>
      </c>
      <c r="B3530" s="40" t="str">
        <f t="shared" ref="B3530:B3555" si="553">$AH$74</f>
        <v>No pick yet</v>
      </c>
      <c r="C3530" s="40" t="str">
        <f t="shared" si="552"/>
        <v>01-&gt;</v>
      </c>
      <c r="D3530" s="40" t="str">
        <f t="shared" ref="D3530:D3555" si="554">B3530&amp;REPT(" ",$AH$70-LEN(B3530))</f>
        <v xml:space="preserve">No pick yet                                                 </v>
      </c>
      <c r="E3530" s="52">
        <f t="shared" ref="E3530:E3555" si="555">VLOOKUP(RIGHT(B3530,LEN(B3530)-$AH$66),$H$138:$I$420,2,0)</f>
        <v>0</v>
      </c>
      <c r="F3530" s="18"/>
      <c r="M3530" s="18"/>
      <c r="N3530" s="18"/>
      <c r="O3530" s="18"/>
      <c r="P3530" s="18"/>
      <c r="Q3530" s="22"/>
      <c r="R3530" s="21"/>
      <c r="S3530" s="21"/>
      <c r="T3530" s="21"/>
      <c r="AA3530"/>
      <c r="AH3530" t="str">
        <f t="shared" ref="AH3530:AH3555" si="556">RIGHT(B3530,LEN(B3530)-$AH$66)</f>
        <v>k yet</v>
      </c>
    </row>
    <row r="3531" spans="1:39">
      <c r="A3531" s="42" t="s">
        <v>247</v>
      </c>
      <c r="B3531" s="40" t="str">
        <f t="shared" si="553"/>
        <v>No pick yet</v>
      </c>
      <c r="C3531" s="40" t="str">
        <f t="shared" si="552"/>
        <v>02-&gt;</v>
      </c>
      <c r="D3531" s="40" t="str">
        <f t="shared" si="554"/>
        <v xml:space="preserve">No pick yet                                                 </v>
      </c>
      <c r="E3531" s="52">
        <f t="shared" si="555"/>
        <v>0</v>
      </c>
      <c r="F3531" s="18"/>
      <c r="K3531" s="22"/>
      <c r="N3531" s="22"/>
      <c r="O3531" s="22"/>
      <c r="P3531" s="22"/>
      <c r="Q3531" s="22"/>
      <c r="R3531" s="22"/>
      <c r="S3531" s="22"/>
      <c r="Z3531" s="53"/>
      <c r="AA3531"/>
      <c r="AH3531" t="str">
        <f t="shared" si="556"/>
        <v>k yet</v>
      </c>
    </row>
    <row r="3532" spans="1:39">
      <c r="A3532" s="42" t="s">
        <v>248</v>
      </c>
      <c r="B3532" s="40" t="str">
        <f t="shared" si="553"/>
        <v>No pick yet</v>
      </c>
      <c r="C3532" s="40" t="str">
        <f t="shared" si="552"/>
        <v>03-&gt;</v>
      </c>
      <c r="D3532" s="40" t="str">
        <f t="shared" si="554"/>
        <v xml:space="preserve">No pick yet                                                 </v>
      </c>
      <c r="E3532" s="52">
        <f t="shared" si="555"/>
        <v>0</v>
      </c>
      <c r="F3532" s="18"/>
      <c r="L3532" s="21"/>
      <c r="N3532" s="22"/>
      <c r="O3532" s="22"/>
      <c r="P3532" s="18"/>
      <c r="Q3532" s="22"/>
      <c r="R3532" s="22"/>
      <c r="S3532" s="22"/>
      <c r="Z3532" s="53"/>
      <c r="AA3532"/>
      <c r="AH3532" t="str">
        <f t="shared" si="556"/>
        <v>k yet</v>
      </c>
    </row>
    <row r="3533" spans="1:39">
      <c r="A3533" s="42" t="s">
        <v>249</v>
      </c>
      <c r="B3533" s="40" t="str">
        <f t="shared" si="553"/>
        <v>No pick yet</v>
      </c>
      <c r="C3533" s="40" t="str">
        <f t="shared" si="552"/>
        <v>04-&gt;</v>
      </c>
      <c r="D3533" s="40" t="str">
        <f t="shared" si="554"/>
        <v xml:space="preserve">No pick yet                                                 </v>
      </c>
      <c r="E3533" s="52">
        <f t="shared" si="555"/>
        <v>0</v>
      </c>
      <c r="F3533" s="18"/>
      <c r="M3533" s="18"/>
      <c r="N3533" s="18"/>
      <c r="O3533" s="18"/>
      <c r="P3533" s="18"/>
      <c r="Q3533" s="22"/>
      <c r="R3533" s="21"/>
      <c r="S3533" s="21"/>
      <c r="T3533" s="21"/>
      <c r="AA3533"/>
      <c r="AH3533" t="str">
        <f t="shared" si="556"/>
        <v>k yet</v>
      </c>
    </row>
    <row r="3534" spans="1:39">
      <c r="A3534" s="42" t="s">
        <v>250</v>
      </c>
      <c r="B3534" s="40" t="str">
        <f t="shared" si="553"/>
        <v>No pick yet</v>
      </c>
      <c r="C3534" s="40" t="str">
        <f t="shared" si="552"/>
        <v>05-&gt;</v>
      </c>
      <c r="D3534" s="40" t="str">
        <f t="shared" si="554"/>
        <v xml:space="preserve">No pick yet                                                 </v>
      </c>
      <c r="E3534" s="52">
        <f t="shared" si="555"/>
        <v>0</v>
      </c>
      <c r="F3534" s="18"/>
      <c r="M3534" s="18"/>
      <c r="N3534" s="18"/>
      <c r="O3534" s="18"/>
      <c r="P3534" s="18"/>
      <c r="Q3534" s="22"/>
      <c r="R3534" s="21"/>
      <c r="S3534" s="21"/>
      <c r="T3534" s="21"/>
      <c r="AA3534"/>
      <c r="AH3534" t="str">
        <f t="shared" si="556"/>
        <v>k yet</v>
      </c>
    </row>
    <row r="3535" spans="1:39">
      <c r="A3535" s="42" t="s">
        <v>251</v>
      </c>
      <c r="B3535" s="40" t="str">
        <f t="shared" si="553"/>
        <v>No pick yet</v>
      </c>
      <c r="C3535" s="40" t="str">
        <f t="shared" si="552"/>
        <v>06-&gt;</v>
      </c>
      <c r="D3535" s="40" t="str">
        <f t="shared" si="554"/>
        <v xml:space="preserve">No pick yet                                                 </v>
      </c>
      <c r="E3535" s="52">
        <f t="shared" si="555"/>
        <v>0</v>
      </c>
      <c r="F3535" s="18"/>
      <c r="M3535" s="18"/>
      <c r="N3535" s="18"/>
      <c r="O3535" s="18"/>
      <c r="P3535" s="18"/>
      <c r="Q3535" s="22"/>
      <c r="R3535" s="21"/>
      <c r="S3535" s="21"/>
      <c r="T3535" s="21"/>
      <c r="AA3535"/>
      <c r="AH3535" t="str">
        <f t="shared" si="556"/>
        <v>k yet</v>
      </c>
    </row>
    <row r="3536" spans="1:39">
      <c r="A3536" s="42" t="s">
        <v>252</v>
      </c>
      <c r="B3536" s="40" t="str">
        <f t="shared" si="553"/>
        <v>No pick yet</v>
      </c>
      <c r="C3536" s="40" t="str">
        <f t="shared" si="552"/>
        <v>07-&gt;</v>
      </c>
      <c r="D3536" s="40" t="str">
        <f t="shared" si="554"/>
        <v xml:space="preserve">No pick yet                                                 </v>
      </c>
      <c r="E3536" s="52">
        <f t="shared" si="555"/>
        <v>0</v>
      </c>
      <c r="F3536" s="18"/>
      <c r="M3536" s="18"/>
      <c r="N3536" s="18"/>
      <c r="O3536" s="18"/>
      <c r="P3536" s="18"/>
      <c r="Q3536" s="22"/>
      <c r="R3536" s="21"/>
      <c r="S3536" s="21"/>
      <c r="T3536" s="21"/>
      <c r="AA3536"/>
      <c r="AH3536" t="str">
        <f t="shared" si="556"/>
        <v>k yet</v>
      </c>
    </row>
    <row r="3537" spans="1:34">
      <c r="A3537" s="42" t="s">
        <v>253</v>
      </c>
      <c r="B3537" s="40" t="str">
        <f t="shared" si="553"/>
        <v>No pick yet</v>
      </c>
      <c r="C3537" s="40" t="str">
        <f t="shared" si="552"/>
        <v>08-&gt;</v>
      </c>
      <c r="D3537" s="40" t="str">
        <f t="shared" si="554"/>
        <v xml:space="preserve">No pick yet                                                 </v>
      </c>
      <c r="E3537" s="52">
        <f t="shared" si="555"/>
        <v>0</v>
      </c>
      <c r="F3537" s="18"/>
      <c r="M3537" s="18"/>
      <c r="N3537" s="18"/>
      <c r="O3537" s="18"/>
      <c r="P3537" s="18"/>
      <c r="Q3537" s="22"/>
      <c r="R3537" s="21"/>
      <c r="S3537" s="21"/>
      <c r="T3537" s="21"/>
      <c r="AA3537"/>
      <c r="AH3537" t="str">
        <f t="shared" si="556"/>
        <v>k yet</v>
      </c>
    </row>
    <row r="3538" spans="1:34">
      <c r="A3538" s="42" t="s">
        <v>254</v>
      </c>
      <c r="B3538" s="40" t="str">
        <f t="shared" si="553"/>
        <v>No pick yet</v>
      </c>
      <c r="C3538" s="40" t="str">
        <f t="shared" si="552"/>
        <v>09-&gt;</v>
      </c>
      <c r="D3538" s="40" t="str">
        <f t="shared" si="554"/>
        <v xml:space="preserve">No pick yet                                                 </v>
      </c>
      <c r="E3538" s="52">
        <f t="shared" si="555"/>
        <v>0</v>
      </c>
      <c r="F3538" s="18"/>
      <c r="M3538" s="18"/>
      <c r="N3538" s="18"/>
      <c r="O3538" s="18"/>
      <c r="P3538" s="18"/>
      <c r="Q3538" s="22"/>
      <c r="R3538" s="21"/>
      <c r="S3538" s="21"/>
      <c r="T3538" s="21"/>
      <c r="AA3538"/>
      <c r="AH3538" t="str">
        <f t="shared" si="556"/>
        <v>k yet</v>
      </c>
    </row>
    <row r="3539" spans="1:34">
      <c r="A3539" s="42" t="s">
        <v>255</v>
      </c>
      <c r="B3539" s="40" t="str">
        <f t="shared" si="553"/>
        <v>No pick yet</v>
      </c>
      <c r="C3539" s="40" t="str">
        <f t="shared" si="552"/>
        <v>10-&gt;</v>
      </c>
      <c r="D3539" s="40" t="str">
        <f t="shared" si="554"/>
        <v xml:space="preserve">No pick yet                                                 </v>
      </c>
      <c r="E3539" s="52">
        <f t="shared" si="555"/>
        <v>0</v>
      </c>
      <c r="F3539" s="22"/>
      <c r="M3539" s="18"/>
      <c r="N3539" s="18"/>
      <c r="O3539" s="18"/>
      <c r="P3539" s="18"/>
      <c r="Q3539" s="22"/>
      <c r="R3539" s="21"/>
      <c r="S3539" s="21"/>
      <c r="T3539" s="21"/>
      <c r="AA3539"/>
      <c r="AH3539" t="str">
        <f t="shared" si="556"/>
        <v>k yet</v>
      </c>
    </row>
    <row r="3540" spans="1:34">
      <c r="A3540" s="42" t="s">
        <v>256</v>
      </c>
      <c r="B3540" s="40" t="str">
        <f t="shared" si="553"/>
        <v>No pick yet</v>
      </c>
      <c r="C3540" s="40" t="str">
        <f t="shared" si="552"/>
        <v>11-&gt;</v>
      </c>
      <c r="D3540" s="40" t="str">
        <f t="shared" si="554"/>
        <v xml:space="preserve">No pick yet                                                 </v>
      </c>
      <c r="E3540" s="52">
        <f t="shared" si="555"/>
        <v>0</v>
      </c>
      <c r="M3540" s="18"/>
      <c r="N3540" s="18"/>
      <c r="O3540" s="18"/>
      <c r="P3540" s="18"/>
      <c r="Q3540" s="22"/>
      <c r="R3540" s="21"/>
      <c r="S3540" s="21"/>
      <c r="T3540" s="21"/>
      <c r="AA3540"/>
      <c r="AH3540" t="str">
        <f t="shared" si="556"/>
        <v>k yet</v>
      </c>
    </row>
    <row r="3541" spans="1:34">
      <c r="A3541" s="42" t="s">
        <v>257</v>
      </c>
      <c r="B3541" s="40" t="str">
        <f t="shared" si="553"/>
        <v>No pick yet</v>
      </c>
      <c r="C3541" s="40" t="str">
        <f t="shared" si="552"/>
        <v>12-&gt;</v>
      </c>
      <c r="D3541" s="40" t="str">
        <f t="shared" si="554"/>
        <v xml:space="preserve">No pick yet                                                 </v>
      </c>
      <c r="E3541" s="52">
        <f t="shared" si="555"/>
        <v>0</v>
      </c>
      <c r="M3541" s="18"/>
      <c r="N3541" s="18"/>
      <c r="O3541" s="18"/>
      <c r="P3541" s="18"/>
      <c r="Q3541" s="22"/>
      <c r="R3541" s="21"/>
      <c r="S3541" s="21"/>
      <c r="T3541" s="21"/>
      <c r="AA3541"/>
      <c r="AH3541" t="str">
        <f t="shared" si="556"/>
        <v>k yet</v>
      </c>
    </row>
    <row r="3542" spans="1:34">
      <c r="A3542" s="42" t="s">
        <v>258</v>
      </c>
      <c r="B3542" s="40" t="str">
        <f t="shared" si="553"/>
        <v>No pick yet</v>
      </c>
      <c r="C3542" s="40" t="str">
        <f t="shared" si="552"/>
        <v>13-&gt;</v>
      </c>
      <c r="D3542" s="40" t="str">
        <f t="shared" si="554"/>
        <v xml:space="preserve">No pick yet                                                 </v>
      </c>
      <c r="E3542" s="52">
        <f t="shared" si="555"/>
        <v>0</v>
      </c>
      <c r="M3542" s="18"/>
      <c r="N3542" s="18"/>
      <c r="O3542" s="18"/>
      <c r="P3542" s="18"/>
      <c r="Q3542" s="22"/>
      <c r="R3542" s="21"/>
      <c r="S3542" s="21"/>
      <c r="T3542" s="21"/>
      <c r="AA3542"/>
      <c r="AH3542" t="str">
        <f t="shared" si="556"/>
        <v>k yet</v>
      </c>
    </row>
    <row r="3543" spans="1:34">
      <c r="A3543" s="42" t="s">
        <v>259</v>
      </c>
      <c r="B3543" s="40" t="str">
        <f t="shared" si="553"/>
        <v>No pick yet</v>
      </c>
      <c r="C3543" s="40" t="str">
        <f t="shared" si="552"/>
        <v>14-&gt;</v>
      </c>
      <c r="D3543" s="40" t="str">
        <f t="shared" si="554"/>
        <v xml:space="preserve">No pick yet                                                 </v>
      </c>
      <c r="E3543" s="52">
        <f t="shared" si="555"/>
        <v>0</v>
      </c>
      <c r="M3543" s="18"/>
      <c r="N3543" s="18"/>
      <c r="O3543" s="18"/>
      <c r="P3543" s="18"/>
      <c r="Q3543" s="22"/>
      <c r="R3543" s="21"/>
      <c r="S3543" s="21"/>
      <c r="T3543" s="21"/>
      <c r="AA3543"/>
      <c r="AH3543" t="str">
        <f t="shared" si="556"/>
        <v>k yet</v>
      </c>
    </row>
    <row r="3544" spans="1:34">
      <c r="A3544" s="42" t="s">
        <v>260</v>
      </c>
      <c r="B3544" s="40" t="str">
        <f t="shared" si="553"/>
        <v>No pick yet</v>
      </c>
      <c r="C3544" s="40" t="str">
        <f t="shared" si="552"/>
        <v>15-&gt;</v>
      </c>
      <c r="D3544" s="40" t="str">
        <f t="shared" si="554"/>
        <v xml:space="preserve">No pick yet                                                 </v>
      </c>
      <c r="E3544" s="52">
        <f t="shared" si="555"/>
        <v>0</v>
      </c>
      <c r="M3544" s="18"/>
      <c r="N3544" s="18"/>
      <c r="O3544" s="18"/>
      <c r="P3544" s="18"/>
      <c r="Q3544" s="22"/>
      <c r="R3544" s="21"/>
      <c r="S3544" s="21"/>
      <c r="T3544" s="21"/>
      <c r="AA3544"/>
      <c r="AH3544" t="str">
        <f t="shared" si="556"/>
        <v>k yet</v>
      </c>
    </row>
    <row r="3545" spans="1:34">
      <c r="A3545" s="42" t="s">
        <v>261</v>
      </c>
      <c r="B3545" s="40" t="str">
        <f t="shared" si="553"/>
        <v>No pick yet</v>
      </c>
      <c r="C3545" s="40" t="str">
        <f t="shared" si="552"/>
        <v>16-&gt;</v>
      </c>
      <c r="D3545" s="40" t="str">
        <f t="shared" si="554"/>
        <v xml:space="preserve">No pick yet                                                 </v>
      </c>
      <c r="E3545" s="52">
        <f t="shared" si="555"/>
        <v>0</v>
      </c>
      <c r="M3545" s="18"/>
      <c r="N3545" s="18"/>
      <c r="O3545" s="18"/>
      <c r="P3545" s="18"/>
      <c r="Q3545" s="22"/>
      <c r="R3545" s="21"/>
      <c r="S3545" s="21"/>
      <c r="T3545" s="21"/>
      <c r="AA3545"/>
      <c r="AH3545" t="str">
        <f t="shared" si="556"/>
        <v>k yet</v>
      </c>
    </row>
    <row r="3546" spans="1:34">
      <c r="A3546" s="42" t="s">
        <v>262</v>
      </c>
      <c r="B3546" s="40" t="str">
        <f t="shared" si="553"/>
        <v>No pick yet</v>
      </c>
      <c r="C3546" s="40" t="str">
        <f t="shared" si="552"/>
        <v>17-&gt;</v>
      </c>
      <c r="D3546" s="40" t="str">
        <f t="shared" si="554"/>
        <v xml:space="preserve">No pick yet                                                 </v>
      </c>
      <c r="E3546" s="52">
        <f t="shared" si="555"/>
        <v>0</v>
      </c>
      <c r="K3546" s="22"/>
      <c r="N3546" s="22"/>
      <c r="O3546" s="22"/>
      <c r="P3546" s="22"/>
      <c r="Q3546" s="22"/>
      <c r="R3546" s="22"/>
      <c r="S3546" s="22"/>
      <c r="Z3546" s="53"/>
      <c r="AA3546"/>
      <c r="AH3546" t="str">
        <f t="shared" si="556"/>
        <v>k yet</v>
      </c>
    </row>
    <row r="3547" spans="1:34">
      <c r="A3547" s="42" t="s">
        <v>263</v>
      </c>
      <c r="B3547" s="40" t="str">
        <f t="shared" si="553"/>
        <v>No pick yet</v>
      </c>
      <c r="C3547" s="40" t="str">
        <f t="shared" si="552"/>
        <v>18-&gt;</v>
      </c>
      <c r="D3547" s="40" t="str">
        <f t="shared" si="554"/>
        <v xml:space="preserve">No pick yet                                                 </v>
      </c>
      <c r="E3547" s="52">
        <f t="shared" si="555"/>
        <v>0</v>
      </c>
      <c r="F3547" s="18"/>
      <c r="L3547" s="21"/>
      <c r="N3547" s="22"/>
      <c r="O3547" s="22"/>
      <c r="P3547" s="18"/>
      <c r="Q3547" s="22"/>
      <c r="R3547" s="22"/>
      <c r="S3547" s="22"/>
      <c r="Z3547" s="53"/>
      <c r="AA3547"/>
      <c r="AH3547" t="str">
        <f t="shared" si="556"/>
        <v>k yet</v>
      </c>
    </row>
    <row r="3548" spans="1:34">
      <c r="A3548" s="42" t="s">
        <v>264</v>
      </c>
      <c r="B3548" s="40" t="str">
        <f t="shared" si="553"/>
        <v>No pick yet</v>
      </c>
      <c r="C3548" s="40" t="str">
        <f t="shared" si="552"/>
        <v>19-&gt;</v>
      </c>
      <c r="D3548" s="40" t="str">
        <f t="shared" si="554"/>
        <v xml:space="preserve">No pick yet                                                 </v>
      </c>
      <c r="E3548" s="52">
        <f t="shared" si="555"/>
        <v>0</v>
      </c>
      <c r="F3548" s="18"/>
      <c r="M3548" s="18"/>
      <c r="N3548" s="18"/>
      <c r="O3548" s="18"/>
      <c r="P3548" s="18"/>
      <c r="Q3548" s="22"/>
      <c r="R3548" s="21"/>
      <c r="S3548" s="21"/>
      <c r="T3548" s="21"/>
      <c r="AA3548"/>
      <c r="AH3548" t="str">
        <f t="shared" si="556"/>
        <v>k yet</v>
      </c>
    </row>
    <row r="3549" spans="1:34">
      <c r="A3549" s="42" t="s">
        <v>265</v>
      </c>
      <c r="B3549" s="40" t="str">
        <f t="shared" si="553"/>
        <v>No pick yet</v>
      </c>
      <c r="C3549" s="40" t="str">
        <f t="shared" si="552"/>
        <v>20-&gt;</v>
      </c>
      <c r="D3549" s="40" t="str">
        <f t="shared" si="554"/>
        <v xml:space="preserve">No pick yet                                                 </v>
      </c>
      <c r="E3549" s="52">
        <f t="shared" si="555"/>
        <v>0</v>
      </c>
      <c r="F3549" s="18"/>
      <c r="M3549" s="18"/>
      <c r="N3549" s="18"/>
      <c r="O3549" s="18"/>
      <c r="P3549" s="18"/>
      <c r="Q3549" s="22"/>
      <c r="R3549" s="21"/>
      <c r="S3549" s="21"/>
      <c r="T3549" s="21"/>
      <c r="AA3549"/>
      <c r="AH3549" t="str">
        <f t="shared" si="556"/>
        <v>k yet</v>
      </c>
    </row>
    <row r="3550" spans="1:34">
      <c r="A3550" s="42" t="s">
        <v>266</v>
      </c>
      <c r="B3550" s="40" t="str">
        <f t="shared" si="553"/>
        <v>No pick yet</v>
      </c>
      <c r="C3550" s="40" t="str">
        <f t="shared" si="552"/>
        <v>21-&gt;</v>
      </c>
      <c r="D3550" s="40" t="str">
        <f t="shared" si="554"/>
        <v xml:space="preserve">No pick yet                                                 </v>
      </c>
      <c r="E3550" s="52">
        <f t="shared" si="555"/>
        <v>0</v>
      </c>
      <c r="F3550" s="18"/>
      <c r="M3550" s="18"/>
      <c r="N3550" s="18"/>
      <c r="O3550" s="18"/>
      <c r="P3550" s="18"/>
      <c r="Q3550" s="22"/>
      <c r="R3550" s="21"/>
      <c r="S3550" s="21"/>
      <c r="T3550" s="21"/>
      <c r="AA3550"/>
      <c r="AH3550" t="str">
        <f t="shared" si="556"/>
        <v>k yet</v>
      </c>
    </row>
    <row r="3551" spans="1:34">
      <c r="A3551" s="42" t="s">
        <v>267</v>
      </c>
      <c r="B3551" s="40" t="str">
        <f t="shared" si="553"/>
        <v>No pick yet</v>
      </c>
      <c r="C3551" s="40" t="str">
        <f t="shared" si="552"/>
        <v>22-&gt;</v>
      </c>
      <c r="D3551" s="40" t="str">
        <f t="shared" si="554"/>
        <v xml:space="preserve">No pick yet                                                 </v>
      </c>
      <c r="E3551" s="52">
        <f t="shared" si="555"/>
        <v>0</v>
      </c>
      <c r="F3551" s="18"/>
      <c r="M3551" s="18"/>
      <c r="N3551" s="18"/>
      <c r="O3551" s="18"/>
      <c r="P3551" s="18"/>
      <c r="Q3551" s="22"/>
      <c r="R3551" s="21"/>
      <c r="S3551" s="21"/>
      <c r="T3551" s="21"/>
      <c r="AA3551"/>
      <c r="AH3551" t="str">
        <f t="shared" si="556"/>
        <v>k yet</v>
      </c>
    </row>
    <row r="3552" spans="1:34">
      <c r="A3552" s="42" t="s">
        <v>268</v>
      </c>
      <c r="B3552" s="40" t="str">
        <f t="shared" si="553"/>
        <v>No pick yet</v>
      </c>
      <c r="C3552" s="40" t="str">
        <f t="shared" si="552"/>
        <v>23-&gt;</v>
      </c>
      <c r="D3552" s="40" t="str">
        <f t="shared" si="554"/>
        <v xml:space="preserve">No pick yet                                                 </v>
      </c>
      <c r="E3552" s="52">
        <f t="shared" si="555"/>
        <v>0</v>
      </c>
      <c r="F3552" s="18"/>
      <c r="M3552" s="18"/>
      <c r="N3552" s="18"/>
      <c r="O3552" s="18"/>
      <c r="P3552" s="18"/>
      <c r="Q3552" s="22"/>
      <c r="R3552" s="21"/>
      <c r="S3552" s="21"/>
      <c r="T3552" s="21"/>
      <c r="AA3552"/>
      <c r="AH3552" t="str">
        <f t="shared" si="556"/>
        <v>k yet</v>
      </c>
    </row>
    <row r="3553" spans="1:39">
      <c r="A3553" s="42" t="s">
        <v>269</v>
      </c>
      <c r="B3553" s="40" t="str">
        <f t="shared" si="553"/>
        <v>No pick yet</v>
      </c>
      <c r="C3553" s="40" t="str">
        <f t="shared" si="552"/>
        <v>24-&gt;</v>
      </c>
      <c r="D3553" s="40" t="str">
        <f t="shared" si="554"/>
        <v xml:space="preserve">No pick yet                                                 </v>
      </c>
      <c r="E3553" s="52">
        <f t="shared" si="555"/>
        <v>0</v>
      </c>
      <c r="F3553" s="18"/>
      <c r="M3553" s="18"/>
      <c r="N3553" s="18"/>
      <c r="O3553" s="18"/>
      <c r="P3553" s="18"/>
      <c r="Q3553" s="22"/>
      <c r="R3553" s="21"/>
      <c r="S3553" s="21"/>
      <c r="T3553" s="21"/>
      <c r="AA3553"/>
      <c r="AH3553" t="str">
        <f t="shared" si="556"/>
        <v>k yet</v>
      </c>
    </row>
    <row r="3554" spans="1:39">
      <c r="A3554" s="42" t="s">
        <v>270</v>
      </c>
      <c r="B3554" s="40" t="str">
        <f t="shared" si="553"/>
        <v>No pick yet</v>
      </c>
      <c r="C3554" s="40" t="str">
        <f t="shared" si="552"/>
        <v>25-&gt;</v>
      </c>
      <c r="D3554" s="40" t="str">
        <f t="shared" si="554"/>
        <v xml:space="preserve">No pick yet                                                 </v>
      </c>
      <c r="E3554" s="52">
        <f t="shared" si="555"/>
        <v>0</v>
      </c>
      <c r="F3554" s="18"/>
      <c r="M3554" s="18"/>
      <c r="N3554" s="18"/>
      <c r="O3554" s="18"/>
      <c r="P3554" s="18"/>
      <c r="Q3554" s="22"/>
      <c r="R3554" s="21"/>
      <c r="S3554" s="21"/>
      <c r="T3554" s="21"/>
      <c r="AA3554"/>
      <c r="AH3554" t="str">
        <f t="shared" si="556"/>
        <v>k yet</v>
      </c>
    </row>
    <row r="3555" spans="1:39">
      <c r="A3555" s="42" t="s">
        <v>271</v>
      </c>
      <c r="B3555" s="40" t="str">
        <f t="shared" si="553"/>
        <v>No pick yet</v>
      </c>
      <c r="C3555" s="40" t="str">
        <f t="shared" si="552"/>
        <v>26-&gt;</v>
      </c>
      <c r="D3555" s="40" t="str">
        <f t="shared" si="554"/>
        <v xml:space="preserve">No pick yet                                                 </v>
      </c>
      <c r="E3555" s="52">
        <f t="shared" si="555"/>
        <v>0</v>
      </c>
      <c r="F3555" s="18"/>
      <c r="M3555" s="18"/>
      <c r="N3555" s="18"/>
      <c r="O3555" s="18"/>
      <c r="P3555" s="18"/>
      <c r="Q3555" s="22"/>
      <c r="R3555" s="21"/>
      <c r="S3555" s="21"/>
      <c r="T3555" s="21"/>
      <c r="AA3555"/>
      <c r="AH3555" t="str">
        <f t="shared" si="556"/>
        <v>k yet</v>
      </c>
    </row>
    <row r="3556" spans="1:39">
      <c r="A3556" s="38"/>
      <c r="B3556" s="40"/>
      <c r="C3556" s="40"/>
      <c r="D3556" s="49"/>
      <c r="E3556" s="41" t="s">
        <v>69</v>
      </c>
      <c r="F3556" s="18"/>
      <c r="K3556" s="22" t="s">
        <v>73</v>
      </c>
      <c r="L3556" s="18" t="s">
        <v>74</v>
      </c>
      <c r="M3556" s="22" t="s">
        <v>78</v>
      </c>
      <c r="N3556" s="22" t="s">
        <v>79</v>
      </c>
      <c r="O3556" s="22" t="s">
        <v>80</v>
      </c>
      <c r="P3556" s="22" t="s">
        <v>81</v>
      </c>
      <c r="Q3556" s="22" t="s">
        <v>82</v>
      </c>
      <c r="R3556" s="22" t="s">
        <v>83</v>
      </c>
      <c r="S3556" s="22" t="s">
        <v>84</v>
      </c>
      <c r="T3556" s="18" t="s">
        <v>85</v>
      </c>
      <c r="U3556" s="18" t="s">
        <v>86</v>
      </c>
      <c r="V3556" s="18" t="s">
        <v>87</v>
      </c>
      <c r="W3556" s="18" t="s">
        <v>88</v>
      </c>
      <c r="X3556" s="18" t="s">
        <v>89</v>
      </c>
      <c r="Y3556" s="18" t="s">
        <v>90</v>
      </c>
      <c r="Z3556" s="18" t="s">
        <v>91</v>
      </c>
      <c r="AA3556" s="18" t="s">
        <v>92</v>
      </c>
      <c r="AB3556" s="18" t="s">
        <v>93</v>
      </c>
      <c r="AC3556" s="18" t="s">
        <v>94</v>
      </c>
      <c r="AD3556" s="18" t="s">
        <v>235</v>
      </c>
      <c r="AE3556" s="18" t="s">
        <v>236</v>
      </c>
      <c r="AF3556" s="18" t="s">
        <v>237</v>
      </c>
      <c r="AG3556" s="18" t="s">
        <v>238</v>
      </c>
      <c r="AH3556" s="18" t="s">
        <v>239</v>
      </c>
      <c r="AI3556" s="18" t="s">
        <v>240</v>
      </c>
      <c r="AJ3556" s="18" t="s">
        <v>241</v>
      </c>
      <c r="AK3556" s="18" t="s">
        <v>242</v>
      </c>
      <c r="AL3556" s="18" t="s">
        <v>243</v>
      </c>
      <c r="AM3556" s="50" t="s">
        <v>244</v>
      </c>
    </row>
    <row r="3557" spans="1:39">
      <c r="A3557" s="40" t="s">
        <v>245</v>
      </c>
      <c r="B3557" s="51" t="str">
        <f>D126</f>
        <v/>
      </c>
      <c r="C3557" s="40" t="str">
        <f t="shared" ref="C3557:C3583" si="557">A3557</f>
        <v>#</v>
      </c>
      <c r="D3557" s="40" t="str">
        <f>"   "&amp;B3557&amp;REPT(" ",$AH$70-LEN(B3557)-3)</f>
        <v xml:space="preserve">                                                            </v>
      </c>
      <c r="E3557" s="38" t="str">
        <f>SUM(E3558:E3583)&amp;" pts[/b]"</f>
        <v>0 pts[/b]</v>
      </c>
      <c r="F3557" s="21">
        <f>SUM(E3558:E3583)</f>
        <v>0</v>
      </c>
      <c r="K3557" s="18">
        <f>COUNTIF(E3558:E3583,"&gt;0")</f>
        <v>0</v>
      </c>
      <c r="L3557" s="21">
        <f>AM3557-K3557</f>
        <v>0</v>
      </c>
      <c r="M3557" s="22">
        <f>MAX(E3558:E3583)</f>
        <v>0</v>
      </c>
      <c r="N3557" s="22">
        <f>LARGE(E3558:E3583,2)</f>
        <v>0</v>
      </c>
      <c r="O3557" s="22">
        <f>LARGE(E3558:E3583,3)</f>
        <v>0</v>
      </c>
      <c r="P3557" s="18">
        <f>LARGE(E3558:E3583,4)</f>
        <v>0</v>
      </c>
      <c r="Q3557" s="22">
        <f>LARGE(E3558:E3583,5)</f>
        <v>0</v>
      </c>
      <c r="R3557" s="22">
        <f>LARGE(E3558:E3583,6)</f>
        <v>0</v>
      </c>
      <c r="S3557" s="22">
        <f>LARGE(E3558:E3583,7)</f>
        <v>0</v>
      </c>
      <c r="T3557" s="18">
        <f>LARGE(E3558:E3583,8)</f>
        <v>0</v>
      </c>
      <c r="U3557" s="18">
        <f>LARGE(E3558:E3583,9)</f>
        <v>0</v>
      </c>
      <c r="V3557" s="18">
        <f>LARGE(E3558:E3583,10)</f>
        <v>0</v>
      </c>
      <c r="W3557" s="18">
        <f>LARGE(E3558:E3583,11)</f>
        <v>0</v>
      </c>
      <c r="X3557" s="18">
        <f>LARGE(E3558:E3583,12)</f>
        <v>0</v>
      </c>
      <c r="Y3557" s="18">
        <f>LARGE(E3558:E3583,13)</f>
        <v>0</v>
      </c>
      <c r="Z3557" s="18">
        <f>LARGE(E3558:E3583,14)</f>
        <v>0</v>
      </c>
      <c r="AA3557" s="18">
        <f>LARGE(E3558:E3583,15)</f>
        <v>0</v>
      </c>
      <c r="AB3557" s="18">
        <f>LARGE(E3558:E3583,16)</f>
        <v>0</v>
      </c>
      <c r="AC3557" s="18">
        <f>LARGE(E3558:E3583,17)</f>
        <v>0</v>
      </c>
      <c r="AD3557" s="18">
        <f>LARGE(E3558:E3584,13)</f>
        <v>0</v>
      </c>
      <c r="AE3557" s="18">
        <f>LARGE(E3558:E3583,19)</f>
        <v>0</v>
      </c>
      <c r="AF3557" s="18">
        <f>LARGE(E3558:E3583,20)</f>
        <v>0</v>
      </c>
      <c r="AG3557" s="18">
        <f>LARGE(E3558:E3583,21)</f>
        <v>0</v>
      </c>
      <c r="AH3557" s="18">
        <f>LARGE(E3558:E3583,22)</f>
        <v>0</v>
      </c>
      <c r="AI3557" s="18">
        <f>LARGE(E3558:E3583,23)</f>
        <v>0</v>
      </c>
      <c r="AJ3557" s="18">
        <f>LARGE(E3558:E3583,24)</f>
        <v>0</v>
      </c>
      <c r="AK3557" s="18">
        <f>LARGE(E3558:E3583,25)</f>
        <v>0</v>
      </c>
      <c r="AL3557" s="18">
        <f>LARGE(E3558:E3583,26)</f>
        <v>0</v>
      </c>
      <c r="AM3557" s="50">
        <f>COUNTIF(B3558:B3583,"&lt;&gt;"&amp;AH74)</f>
        <v>0</v>
      </c>
    </row>
    <row r="3558" spans="1:39">
      <c r="A3558" s="42" t="s">
        <v>246</v>
      </c>
      <c r="B3558" s="40" t="str">
        <f t="shared" ref="B3558:B3583" si="558">$AH$74</f>
        <v>No pick yet</v>
      </c>
      <c r="C3558" s="40" t="str">
        <f t="shared" si="557"/>
        <v>01-&gt;</v>
      </c>
      <c r="D3558" s="40" t="str">
        <f t="shared" ref="D3558:D3583" si="559">B3558&amp;REPT(" ",$AH$70-LEN(B3558))</f>
        <v xml:space="preserve">No pick yet                                                 </v>
      </c>
      <c r="E3558" s="52">
        <f t="shared" ref="E3558:E3583" si="560">VLOOKUP(RIGHT(B3558,LEN(B3558)-$AH$66),$H$138:$I$420,2,0)</f>
        <v>0</v>
      </c>
      <c r="F3558" s="18"/>
      <c r="M3558" s="18"/>
      <c r="N3558" s="18"/>
      <c r="O3558" s="18"/>
      <c r="P3558" s="18"/>
      <c r="Q3558" s="22"/>
      <c r="R3558" s="21"/>
      <c r="S3558" s="21"/>
      <c r="T3558" s="21"/>
      <c r="AA3558"/>
      <c r="AH3558" t="str">
        <f t="shared" ref="AH3558:AH3583" si="561">RIGHT(B3558,LEN(B3558)-$AH$66)</f>
        <v>k yet</v>
      </c>
    </row>
    <row r="3559" spans="1:39">
      <c r="A3559" s="42" t="s">
        <v>247</v>
      </c>
      <c r="B3559" s="40" t="str">
        <f t="shared" si="558"/>
        <v>No pick yet</v>
      </c>
      <c r="C3559" s="40" t="str">
        <f t="shared" si="557"/>
        <v>02-&gt;</v>
      </c>
      <c r="D3559" s="40" t="str">
        <f t="shared" si="559"/>
        <v xml:space="preserve">No pick yet                                                 </v>
      </c>
      <c r="E3559" s="52">
        <f t="shared" si="560"/>
        <v>0</v>
      </c>
      <c r="F3559" s="18"/>
      <c r="K3559" s="22"/>
      <c r="N3559" s="22"/>
      <c r="O3559" s="22"/>
      <c r="P3559" s="22"/>
      <c r="Q3559" s="22"/>
      <c r="R3559" s="22"/>
      <c r="S3559" s="22"/>
      <c r="Z3559" s="53"/>
      <c r="AA3559"/>
      <c r="AH3559" t="str">
        <f t="shared" si="561"/>
        <v>k yet</v>
      </c>
    </row>
    <row r="3560" spans="1:39">
      <c r="A3560" s="42" t="s">
        <v>248</v>
      </c>
      <c r="B3560" s="40" t="str">
        <f t="shared" si="558"/>
        <v>No pick yet</v>
      </c>
      <c r="C3560" s="40" t="str">
        <f t="shared" si="557"/>
        <v>03-&gt;</v>
      </c>
      <c r="D3560" s="40" t="str">
        <f t="shared" si="559"/>
        <v xml:space="preserve">No pick yet                                                 </v>
      </c>
      <c r="E3560" s="52">
        <f t="shared" si="560"/>
        <v>0</v>
      </c>
      <c r="F3560" s="18"/>
      <c r="L3560" s="21"/>
      <c r="N3560" s="22"/>
      <c r="O3560" s="22"/>
      <c r="P3560" s="18"/>
      <c r="Q3560" s="22"/>
      <c r="R3560" s="22"/>
      <c r="S3560" s="22"/>
      <c r="Z3560" s="53"/>
      <c r="AA3560"/>
      <c r="AH3560" t="str">
        <f t="shared" si="561"/>
        <v>k yet</v>
      </c>
    </row>
    <row r="3561" spans="1:39">
      <c r="A3561" s="42" t="s">
        <v>249</v>
      </c>
      <c r="B3561" s="40" t="str">
        <f t="shared" si="558"/>
        <v>No pick yet</v>
      </c>
      <c r="C3561" s="40" t="str">
        <f t="shared" si="557"/>
        <v>04-&gt;</v>
      </c>
      <c r="D3561" s="40" t="str">
        <f t="shared" si="559"/>
        <v xml:space="preserve">No pick yet                                                 </v>
      </c>
      <c r="E3561" s="52">
        <f t="shared" si="560"/>
        <v>0</v>
      </c>
      <c r="F3561" s="18"/>
      <c r="M3561" s="18"/>
      <c r="N3561" s="18"/>
      <c r="O3561" s="18"/>
      <c r="P3561" s="18"/>
      <c r="Q3561" s="22"/>
      <c r="R3561" s="21"/>
      <c r="S3561" s="21"/>
      <c r="T3561" s="21"/>
      <c r="AA3561"/>
      <c r="AH3561" t="str">
        <f t="shared" si="561"/>
        <v>k yet</v>
      </c>
    </row>
    <row r="3562" spans="1:39">
      <c r="A3562" s="42" t="s">
        <v>250</v>
      </c>
      <c r="B3562" s="40" t="str">
        <f t="shared" si="558"/>
        <v>No pick yet</v>
      </c>
      <c r="C3562" s="40" t="str">
        <f t="shared" si="557"/>
        <v>05-&gt;</v>
      </c>
      <c r="D3562" s="40" t="str">
        <f t="shared" si="559"/>
        <v xml:space="preserve">No pick yet                                                 </v>
      </c>
      <c r="E3562" s="52">
        <f t="shared" si="560"/>
        <v>0</v>
      </c>
      <c r="F3562" s="18"/>
      <c r="M3562" s="18"/>
      <c r="N3562" s="18"/>
      <c r="O3562" s="18"/>
      <c r="P3562" s="18"/>
      <c r="Q3562" s="22"/>
      <c r="R3562" s="21"/>
      <c r="S3562" s="21"/>
      <c r="T3562" s="21"/>
      <c r="AA3562"/>
      <c r="AH3562" t="str">
        <f t="shared" si="561"/>
        <v>k yet</v>
      </c>
    </row>
    <row r="3563" spans="1:39">
      <c r="A3563" s="42" t="s">
        <v>251</v>
      </c>
      <c r="B3563" s="40" t="str">
        <f t="shared" si="558"/>
        <v>No pick yet</v>
      </c>
      <c r="C3563" s="40" t="str">
        <f t="shared" si="557"/>
        <v>06-&gt;</v>
      </c>
      <c r="D3563" s="40" t="str">
        <f t="shared" si="559"/>
        <v xml:space="preserve">No pick yet                                                 </v>
      </c>
      <c r="E3563" s="52">
        <f t="shared" si="560"/>
        <v>0</v>
      </c>
      <c r="F3563" s="18"/>
      <c r="M3563" s="18"/>
      <c r="N3563" s="18"/>
      <c r="O3563" s="18"/>
      <c r="P3563" s="18"/>
      <c r="Q3563" s="22"/>
      <c r="R3563" s="21"/>
      <c r="S3563" s="21"/>
      <c r="T3563" s="21"/>
      <c r="AA3563"/>
      <c r="AH3563" t="str">
        <f t="shared" si="561"/>
        <v>k yet</v>
      </c>
    </row>
    <row r="3564" spans="1:39">
      <c r="A3564" s="42" t="s">
        <v>252</v>
      </c>
      <c r="B3564" s="40" t="str">
        <f t="shared" si="558"/>
        <v>No pick yet</v>
      </c>
      <c r="C3564" s="40" t="str">
        <f t="shared" si="557"/>
        <v>07-&gt;</v>
      </c>
      <c r="D3564" s="40" t="str">
        <f t="shared" si="559"/>
        <v xml:space="preserve">No pick yet                                                 </v>
      </c>
      <c r="E3564" s="52">
        <f t="shared" si="560"/>
        <v>0</v>
      </c>
      <c r="F3564" s="18"/>
      <c r="M3564" s="18"/>
      <c r="N3564" s="18"/>
      <c r="O3564" s="18"/>
      <c r="P3564" s="18"/>
      <c r="Q3564" s="22"/>
      <c r="R3564" s="21"/>
      <c r="S3564" s="21"/>
      <c r="T3564" s="21"/>
      <c r="AA3564"/>
      <c r="AH3564" t="str">
        <f t="shared" si="561"/>
        <v>k yet</v>
      </c>
    </row>
    <row r="3565" spans="1:39">
      <c r="A3565" s="42" t="s">
        <v>253</v>
      </c>
      <c r="B3565" s="40" t="str">
        <f t="shared" si="558"/>
        <v>No pick yet</v>
      </c>
      <c r="C3565" s="40" t="str">
        <f t="shared" si="557"/>
        <v>08-&gt;</v>
      </c>
      <c r="D3565" s="40" t="str">
        <f t="shared" si="559"/>
        <v xml:space="preserve">No pick yet                                                 </v>
      </c>
      <c r="E3565" s="52">
        <f t="shared" si="560"/>
        <v>0</v>
      </c>
      <c r="F3565" s="18"/>
      <c r="M3565" s="18"/>
      <c r="N3565" s="18"/>
      <c r="O3565" s="18"/>
      <c r="P3565" s="18"/>
      <c r="Q3565" s="22"/>
      <c r="R3565" s="21"/>
      <c r="S3565" s="21"/>
      <c r="T3565" s="21"/>
      <c r="AA3565"/>
      <c r="AH3565" t="str">
        <f t="shared" si="561"/>
        <v>k yet</v>
      </c>
    </row>
    <row r="3566" spans="1:39">
      <c r="A3566" s="42" t="s">
        <v>254</v>
      </c>
      <c r="B3566" s="40" t="str">
        <f t="shared" si="558"/>
        <v>No pick yet</v>
      </c>
      <c r="C3566" s="40" t="str">
        <f t="shared" si="557"/>
        <v>09-&gt;</v>
      </c>
      <c r="D3566" s="40" t="str">
        <f t="shared" si="559"/>
        <v xml:space="preserve">No pick yet                                                 </v>
      </c>
      <c r="E3566" s="52">
        <f t="shared" si="560"/>
        <v>0</v>
      </c>
      <c r="F3566" s="18"/>
      <c r="M3566" s="18"/>
      <c r="N3566" s="18"/>
      <c r="O3566" s="18"/>
      <c r="P3566" s="18"/>
      <c r="Q3566" s="22"/>
      <c r="R3566" s="21"/>
      <c r="S3566" s="21"/>
      <c r="T3566" s="21"/>
      <c r="AA3566"/>
      <c r="AH3566" t="str">
        <f t="shared" si="561"/>
        <v>k yet</v>
      </c>
    </row>
    <row r="3567" spans="1:39">
      <c r="A3567" s="42" t="s">
        <v>255</v>
      </c>
      <c r="B3567" s="40" t="str">
        <f t="shared" si="558"/>
        <v>No pick yet</v>
      </c>
      <c r="C3567" s="40" t="str">
        <f t="shared" si="557"/>
        <v>10-&gt;</v>
      </c>
      <c r="D3567" s="40" t="str">
        <f t="shared" si="559"/>
        <v xml:space="preserve">No pick yet                                                 </v>
      </c>
      <c r="E3567" s="52">
        <f t="shared" si="560"/>
        <v>0</v>
      </c>
      <c r="F3567" s="22"/>
      <c r="M3567" s="18"/>
      <c r="N3567" s="18"/>
      <c r="O3567" s="18"/>
      <c r="P3567" s="18"/>
      <c r="Q3567" s="22"/>
      <c r="R3567" s="21"/>
      <c r="S3567" s="21"/>
      <c r="T3567" s="21"/>
      <c r="AA3567"/>
      <c r="AH3567" t="str">
        <f t="shared" si="561"/>
        <v>k yet</v>
      </c>
    </row>
    <row r="3568" spans="1:39">
      <c r="A3568" s="42" t="s">
        <v>256</v>
      </c>
      <c r="B3568" s="40" t="str">
        <f t="shared" si="558"/>
        <v>No pick yet</v>
      </c>
      <c r="C3568" s="40" t="str">
        <f t="shared" si="557"/>
        <v>11-&gt;</v>
      </c>
      <c r="D3568" s="40" t="str">
        <f t="shared" si="559"/>
        <v xml:space="preserve">No pick yet                                                 </v>
      </c>
      <c r="E3568" s="52">
        <f t="shared" si="560"/>
        <v>0</v>
      </c>
      <c r="M3568" s="18"/>
      <c r="N3568" s="18"/>
      <c r="O3568" s="18"/>
      <c r="P3568" s="18"/>
      <c r="Q3568" s="22"/>
      <c r="R3568" s="21"/>
      <c r="S3568" s="21"/>
      <c r="T3568" s="21"/>
      <c r="AA3568"/>
      <c r="AH3568" t="str">
        <f t="shared" si="561"/>
        <v>k yet</v>
      </c>
    </row>
    <row r="3569" spans="1:39">
      <c r="A3569" s="42" t="s">
        <v>257</v>
      </c>
      <c r="B3569" s="40" t="str">
        <f t="shared" si="558"/>
        <v>No pick yet</v>
      </c>
      <c r="C3569" s="40" t="str">
        <f t="shared" si="557"/>
        <v>12-&gt;</v>
      </c>
      <c r="D3569" s="40" t="str">
        <f t="shared" si="559"/>
        <v xml:space="preserve">No pick yet                                                 </v>
      </c>
      <c r="E3569" s="52">
        <f t="shared" si="560"/>
        <v>0</v>
      </c>
      <c r="M3569" s="18"/>
      <c r="N3569" s="18"/>
      <c r="O3569" s="18"/>
      <c r="P3569" s="18"/>
      <c r="Q3569" s="22"/>
      <c r="R3569" s="21"/>
      <c r="S3569" s="21"/>
      <c r="T3569" s="21"/>
      <c r="AA3569"/>
      <c r="AH3569" t="str">
        <f t="shared" si="561"/>
        <v>k yet</v>
      </c>
    </row>
    <row r="3570" spans="1:39">
      <c r="A3570" s="42" t="s">
        <v>258</v>
      </c>
      <c r="B3570" s="40" t="str">
        <f t="shared" si="558"/>
        <v>No pick yet</v>
      </c>
      <c r="C3570" s="40" t="str">
        <f t="shared" si="557"/>
        <v>13-&gt;</v>
      </c>
      <c r="D3570" s="40" t="str">
        <f t="shared" si="559"/>
        <v xml:space="preserve">No pick yet                                                 </v>
      </c>
      <c r="E3570" s="52">
        <f t="shared" si="560"/>
        <v>0</v>
      </c>
      <c r="M3570" s="18"/>
      <c r="N3570" s="18"/>
      <c r="O3570" s="18"/>
      <c r="P3570" s="18"/>
      <c r="Q3570" s="22"/>
      <c r="R3570" s="21"/>
      <c r="S3570" s="21"/>
      <c r="T3570" s="21"/>
      <c r="AA3570"/>
      <c r="AH3570" t="str">
        <f t="shared" si="561"/>
        <v>k yet</v>
      </c>
    </row>
    <row r="3571" spans="1:39">
      <c r="A3571" s="42" t="s">
        <v>259</v>
      </c>
      <c r="B3571" s="40" t="str">
        <f t="shared" si="558"/>
        <v>No pick yet</v>
      </c>
      <c r="C3571" s="40" t="str">
        <f t="shared" si="557"/>
        <v>14-&gt;</v>
      </c>
      <c r="D3571" s="40" t="str">
        <f t="shared" si="559"/>
        <v xml:space="preserve">No pick yet                                                 </v>
      </c>
      <c r="E3571" s="52">
        <f t="shared" si="560"/>
        <v>0</v>
      </c>
      <c r="M3571" s="18"/>
      <c r="N3571" s="18"/>
      <c r="O3571" s="18"/>
      <c r="P3571" s="18"/>
      <c r="Q3571" s="22"/>
      <c r="R3571" s="21"/>
      <c r="S3571" s="21"/>
      <c r="T3571" s="21"/>
      <c r="AA3571"/>
      <c r="AH3571" t="str">
        <f t="shared" si="561"/>
        <v>k yet</v>
      </c>
    </row>
    <row r="3572" spans="1:39">
      <c r="A3572" s="42" t="s">
        <v>260</v>
      </c>
      <c r="B3572" s="40" t="str">
        <f t="shared" si="558"/>
        <v>No pick yet</v>
      </c>
      <c r="C3572" s="40" t="str">
        <f t="shared" si="557"/>
        <v>15-&gt;</v>
      </c>
      <c r="D3572" s="40" t="str">
        <f t="shared" si="559"/>
        <v xml:space="preserve">No pick yet                                                 </v>
      </c>
      <c r="E3572" s="52">
        <f t="shared" si="560"/>
        <v>0</v>
      </c>
      <c r="M3572" s="18"/>
      <c r="N3572" s="18"/>
      <c r="O3572" s="18"/>
      <c r="P3572" s="18"/>
      <c r="Q3572" s="22"/>
      <c r="R3572" s="21"/>
      <c r="S3572" s="21"/>
      <c r="T3572" s="21"/>
      <c r="AA3572"/>
      <c r="AH3572" t="str">
        <f t="shared" si="561"/>
        <v>k yet</v>
      </c>
    </row>
    <row r="3573" spans="1:39">
      <c r="A3573" s="42" t="s">
        <v>261</v>
      </c>
      <c r="B3573" s="40" t="str">
        <f t="shared" si="558"/>
        <v>No pick yet</v>
      </c>
      <c r="C3573" s="40" t="str">
        <f t="shared" si="557"/>
        <v>16-&gt;</v>
      </c>
      <c r="D3573" s="40" t="str">
        <f t="shared" si="559"/>
        <v xml:space="preserve">No pick yet                                                 </v>
      </c>
      <c r="E3573" s="52">
        <f t="shared" si="560"/>
        <v>0</v>
      </c>
      <c r="M3573" s="18"/>
      <c r="N3573" s="18"/>
      <c r="O3573" s="18"/>
      <c r="P3573" s="18"/>
      <c r="Q3573" s="22"/>
      <c r="R3573" s="21"/>
      <c r="S3573" s="21"/>
      <c r="T3573" s="21"/>
      <c r="AA3573"/>
      <c r="AH3573" t="str">
        <f t="shared" si="561"/>
        <v>k yet</v>
      </c>
    </row>
    <row r="3574" spans="1:39">
      <c r="A3574" s="42" t="s">
        <v>262</v>
      </c>
      <c r="B3574" s="40" t="str">
        <f t="shared" si="558"/>
        <v>No pick yet</v>
      </c>
      <c r="C3574" s="40" t="str">
        <f t="shared" si="557"/>
        <v>17-&gt;</v>
      </c>
      <c r="D3574" s="40" t="str">
        <f t="shared" si="559"/>
        <v xml:space="preserve">No pick yet                                                 </v>
      </c>
      <c r="E3574" s="52">
        <f t="shared" si="560"/>
        <v>0</v>
      </c>
      <c r="K3574" s="22"/>
      <c r="N3574" s="22"/>
      <c r="O3574" s="22"/>
      <c r="P3574" s="22"/>
      <c r="Q3574" s="22"/>
      <c r="R3574" s="22"/>
      <c r="S3574" s="22"/>
      <c r="Z3574" s="53"/>
      <c r="AA3574"/>
      <c r="AH3574" t="str">
        <f t="shared" si="561"/>
        <v>k yet</v>
      </c>
    </row>
    <row r="3575" spans="1:39">
      <c r="A3575" s="42" t="s">
        <v>263</v>
      </c>
      <c r="B3575" s="40" t="str">
        <f t="shared" si="558"/>
        <v>No pick yet</v>
      </c>
      <c r="C3575" s="40" t="str">
        <f t="shared" si="557"/>
        <v>18-&gt;</v>
      </c>
      <c r="D3575" s="40" t="str">
        <f t="shared" si="559"/>
        <v xml:space="preserve">No pick yet                                                 </v>
      </c>
      <c r="E3575" s="52">
        <f t="shared" si="560"/>
        <v>0</v>
      </c>
      <c r="F3575" s="18"/>
      <c r="L3575" s="21"/>
      <c r="N3575" s="22"/>
      <c r="O3575" s="22"/>
      <c r="P3575" s="18"/>
      <c r="Q3575" s="22"/>
      <c r="R3575" s="22"/>
      <c r="S3575" s="22"/>
      <c r="Z3575" s="53"/>
      <c r="AA3575"/>
      <c r="AH3575" t="str">
        <f t="shared" si="561"/>
        <v>k yet</v>
      </c>
    </row>
    <row r="3576" spans="1:39">
      <c r="A3576" s="42" t="s">
        <v>264</v>
      </c>
      <c r="B3576" s="40" t="str">
        <f t="shared" si="558"/>
        <v>No pick yet</v>
      </c>
      <c r="C3576" s="40" t="str">
        <f t="shared" si="557"/>
        <v>19-&gt;</v>
      </c>
      <c r="D3576" s="40" t="str">
        <f t="shared" si="559"/>
        <v xml:space="preserve">No pick yet                                                 </v>
      </c>
      <c r="E3576" s="52">
        <f t="shared" si="560"/>
        <v>0</v>
      </c>
      <c r="F3576" s="18"/>
      <c r="M3576" s="18"/>
      <c r="N3576" s="18"/>
      <c r="O3576" s="18"/>
      <c r="P3576" s="18"/>
      <c r="Q3576" s="22"/>
      <c r="R3576" s="21"/>
      <c r="S3576" s="21"/>
      <c r="T3576" s="21"/>
      <c r="AA3576"/>
      <c r="AH3576" t="str">
        <f t="shared" si="561"/>
        <v>k yet</v>
      </c>
    </row>
    <row r="3577" spans="1:39">
      <c r="A3577" s="42" t="s">
        <v>265</v>
      </c>
      <c r="B3577" s="40" t="str">
        <f t="shared" si="558"/>
        <v>No pick yet</v>
      </c>
      <c r="C3577" s="40" t="str">
        <f t="shared" si="557"/>
        <v>20-&gt;</v>
      </c>
      <c r="D3577" s="40" t="str">
        <f t="shared" si="559"/>
        <v xml:space="preserve">No pick yet                                                 </v>
      </c>
      <c r="E3577" s="52">
        <f t="shared" si="560"/>
        <v>0</v>
      </c>
      <c r="F3577" s="18"/>
      <c r="M3577" s="18"/>
      <c r="N3577" s="18"/>
      <c r="O3577" s="18"/>
      <c r="P3577" s="18"/>
      <c r="Q3577" s="22"/>
      <c r="R3577" s="21"/>
      <c r="S3577" s="21"/>
      <c r="T3577" s="21"/>
      <c r="AA3577"/>
      <c r="AH3577" t="str">
        <f t="shared" si="561"/>
        <v>k yet</v>
      </c>
    </row>
    <row r="3578" spans="1:39">
      <c r="A3578" s="42" t="s">
        <v>266</v>
      </c>
      <c r="B3578" s="40" t="str">
        <f t="shared" si="558"/>
        <v>No pick yet</v>
      </c>
      <c r="C3578" s="40" t="str">
        <f t="shared" si="557"/>
        <v>21-&gt;</v>
      </c>
      <c r="D3578" s="40" t="str">
        <f t="shared" si="559"/>
        <v xml:space="preserve">No pick yet                                                 </v>
      </c>
      <c r="E3578" s="52">
        <f t="shared" si="560"/>
        <v>0</v>
      </c>
      <c r="F3578" s="18"/>
      <c r="M3578" s="18"/>
      <c r="N3578" s="18"/>
      <c r="O3578" s="18"/>
      <c r="P3578" s="18"/>
      <c r="Q3578" s="22"/>
      <c r="R3578" s="21"/>
      <c r="S3578" s="21"/>
      <c r="T3578" s="21"/>
      <c r="AA3578"/>
      <c r="AH3578" t="str">
        <f t="shared" si="561"/>
        <v>k yet</v>
      </c>
    </row>
    <row r="3579" spans="1:39">
      <c r="A3579" s="42" t="s">
        <v>267</v>
      </c>
      <c r="B3579" s="40" t="str">
        <f t="shared" si="558"/>
        <v>No pick yet</v>
      </c>
      <c r="C3579" s="40" t="str">
        <f t="shared" si="557"/>
        <v>22-&gt;</v>
      </c>
      <c r="D3579" s="40" t="str">
        <f t="shared" si="559"/>
        <v xml:space="preserve">No pick yet                                                 </v>
      </c>
      <c r="E3579" s="52">
        <f t="shared" si="560"/>
        <v>0</v>
      </c>
      <c r="F3579" s="18"/>
      <c r="M3579" s="18"/>
      <c r="N3579" s="18"/>
      <c r="O3579" s="18"/>
      <c r="P3579" s="18"/>
      <c r="Q3579" s="22"/>
      <c r="R3579" s="21"/>
      <c r="S3579" s="21"/>
      <c r="T3579" s="21"/>
      <c r="AA3579"/>
      <c r="AH3579" t="str">
        <f t="shared" si="561"/>
        <v>k yet</v>
      </c>
    </row>
    <row r="3580" spans="1:39">
      <c r="A3580" s="42" t="s">
        <v>268</v>
      </c>
      <c r="B3580" s="40" t="str">
        <f t="shared" si="558"/>
        <v>No pick yet</v>
      </c>
      <c r="C3580" s="40" t="str">
        <f t="shared" si="557"/>
        <v>23-&gt;</v>
      </c>
      <c r="D3580" s="40" t="str">
        <f t="shared" si="559"/>
        <v xml:space="preserve">No pick yet                                                 </v>
      </c>
      <c r="E3580" s="52">
        <f t="shared" si="560"/>
        <v>0</v>
      </c>
      <c r="F3580" s="18"/>
      <c r="M3580" s="18"/>
      <c r="N3580" s="18"/>
      <c r="O3580" s="18"/>
      <c r="P3580" s="18"/>
      <c r="Q3580" s="22"/>
      <c r="R3580" s="21"/>
      <c r="S3580" s="21"/>
      <c r="T3580" s="21"/>
      <c r="AA3580"/>
      <c r="AH3580" t="str">
        <f t="shared" si="561"/>
        <v>k yet</v>
      </c>
    </row>
    <row r="3581" spans="1:39">
      <c r="A3581" s="42" t="s">
        <v>269</v>
      </c>
      <c r="B3581" s="40" t="str">
        <f t="shared" si="558"/>
        <v>No pick yet</v>
      </c>
      <c r="C3581" s="40" t="str">
        <f t="shared" si="557"/>
        <v>24-&gt;</v>
      </c>
      <c r="D3581" s="40" t="str">
        <f t="shared" si="559"/>
        <v xml:space="preserve">No pick yet                                                 </v>
      </c>
      <c r="E3581" s="52">
        <f t="shared" si="560"/>
        <v>0</v>
      </c>
      <c r="F3581" s="18"/>
      <c r="M3581" s="18"/>
      <c r="N3581" s="18"/>
      <c r="O3581" s="18"/>
      <c r="P3581" s="18"/>
      <c r="Q3581" s="22"/>
      <c r="R3581" s="21"/>
      <c r="S3581" s="21"/>
      <c r="T3581" s="21"/>
      <c r="AA3581"/>
      <c r="AH3581" t="str">
        <f t="shared" si="561"/>
        <v>k yet</v>
      </c>
    </row>
    <row r="3582" spans="1:39">
      <c r="A3582" s="42" t="s">
        <v>270</v>
      </c>
      <c r="B3582" s="40" t="str">
        <f t="shared" si="558"/>
        <v>No pick yet</v>
      </c>
      <c r="C3582" s="40" t="str">
        <f t="shared" si="557"/>
        <v>25-&gt;</v>
      </c>
      <c r="D3582" s="40" t="str">
        <f t="shared" si="559"/>
        <v xml:space="preserve">No pick yet                                                 </v>
      </c>
      <c r="E3582" s="52">
        <f t="shared" si="560"/>
        <v>0</v>
      </c>
      <c r="F3582" s="18"/>
      <c r="M3582" s="18"/>
      <c r="N3582" s="18"/>
      <c r="O3582" s="18"/>
      <c r="P3582" s="18"/>
      <c r="Q3582" s="22"/>
      <c r="R3582" s="21"/>
      <c r="S3582" s="21"/>
      <c r="T3582" s="21"/>
      <c r="AA3582"/>
      <c r="AH3582" t="str">
        <f t="shared" si="561"/>
        <v>k yet</v>
      </c>
    </row>
    <row r="3583" spans="1:39">
      <c r="A3583" s="42" t="s">
        <v>271</v>
      </c>
      <c r="B3583" s="40" t="str">
        <f t="shared" si="558"/>
        <v>No pick yet</v>
      </c>
      <c r="C3583" s="40" t="str">
        <f t="shared" si="557"/>
        <v>26-&gt;</v>
      </c>
      <c r="D3583" s="40" t="str">
        <f t="shared" si="559"/>
        <v xml:space="preserve">No pick yet                                                 </v>
      </c>
      <c r="E3583" s="52">
        <f t="shared" si="560"/>
        <v>0</v>
      </c>
      <c r="F3583" s="18"/>
      <c r="M3583" s="18"/>
      <c r="N3583" s="18"/>
      <c r="O3583" s="18"/>
      <c r="P3583" s="18"/>
      <c r="Q3583" s="22"/>
      <c r="R3583" s="21"/>
      <c r="S3583" s="21"/>
      <c r="T3583" s="21"/>
      <c r="AA3583"/>
      <c r="AH3583" t="str">
        <f t="shared" si="561"/>
        <v>k yet</v>
      </c>
    </row>
    <row r="3584" spans="1:39">
      <c r="A3584" s="38"/>
      <c r="B3584" s="40"/>
      <c r="C3584" s="40"/>
      <c r="D3584" s="49"/>
      <c r="E3584" s="41" t="s">
        <v>69</v>
      </c>
      <c r="F3584" s="18"/>
      <c r="K3584" s="22" t="s">
        <v>73</v>
      </c>
      <c r="L3584" s="18" t="s">
        <v>74</v>
      </c>
      <c r="M3584" s="22" t="s">
        <v>78</v>
      </c>
      <c r="N3584" s="22" t="s">
        <v>79</v>
      </c>
      <c r="O3584" s="22" t="s">
        <v>80</v>
      </c>
      <c r="P3584" s="22" t="s">
        <v>81</v>
      </c>
      <c r="Q3584" s="22" t="s">
        <v>82</v>
      </c>
      <c r="R3584" s="22" t="s">
        <v>83</v>
      </c>
      <c r="S3584" s="22" t="s">
        <v>84</v>
      </c>
      <c r="T3584" s="18" t="s">
        <v>85</v>
      </c>
      <c r="U3584" s="18" t="s">
        <v>86</v>
      </c>
      <c r="V3584" s="18" t="s">
        <v>87</v>
      </c>
      <c r="W3584" s="18" t="s">
        <v>88</v>
      </c>
      <c r="X3584" s="18" t="s">
        <v>89</v>
      </c>
      <c r="Y3584" s="18" t="s">
        <v>90</v>
      </c>
      <c r="Z3584" s="18" t="s">
        <v>91</v>
      </c>
      <c r="AA3584" s="18" t="s">
        <v>92</v>
      </c>
      <c r="AB3584" s="18" t="s">
        <v>93</v>
      </c>
      <c r="AC3584" s="18" t="s">
        <v>94</v>
      </c>
      <c r="AD3584" s="18" t="s">
        <v>235</v>
      </c>
      <c r="AE3584" s="18" t="s">
        <v>236</v>
      </c>
      <c r="AF3584" s="18" t="s">
        <v>237</v>
      </c>
      <c r="AG3584" s="18" t="s">
        <v>238</v>
      </c>
      <c r="AH3584" s="18" t="s">
        <v>239</v>
      </c>
      <c r="AI3584" s="18" t="s">
        <v>240</v>
      </c>
      <c r="AJ3584" s="18" t="s">
        <v>241</v>
      </c>
      <c r="AK3584" s="18" t="s">
        <v>242</v>
      </c>
      <c r="AL3584" s="18" t="s">
        <v>243</v>
      </c>
      <c r="AM3584" s="50" t="s">
        <v>244</v>
      </c>
    </row>
    <row r="3585" spans="1:39">
      <c r="A3585" s="40" t="s">
        <v>245</v>
      </c>
      <c r="B3585" s="51" t="str">
        <f>D127</f>
        <v/>
      </c>
      <c r="C3585" s="40" t="str">
        <f t="shared" ref="C3585:C3611" si="562">A3585</f>
        <v>#</v>
      </c>
      <c r="D3585" s="40" t="str">
        <f>"   "&amp;B3585&amp;REPT(" ",$AH$70-LEN(B3585)-3)</f>
        <v xml:space="preserve">                                                            </v>
      </c>
      <c r="E3585" s="38" t="str">
        <f>SUM(E3586:E3611)&amp;" pts[/b]"</f>
        <v>0 pts[/b]</v>
      </c>
      <c r="F3585" s="21">
        <f>SUM(E3586:E3611)</f>
        <v>0</v>
      </c>
      <c r="K3585" s="18">
        <f>COUNTIF(E3586:E3611,"&gt;0")</f>
        <v>0</v>
      </c>
      <c r="L3585" s="21">
        <f>AM3585-K3585</f>
        <v>0</v>
      </c>
      <c r="M3585" s="22">
        <f>MAX(E3586:E3611)</f>
        <v>0</v>
      </c>
      <c r="N3585" s="22">
        <f>LARGE(E3586:E3611,2)</f>
        <v>0</v>
      </c>
      <c r="O3585" s="22">
        <f>LARGE(E3586:E3611,3)</f>
        <v>0</v>
      </c>
      <c r="P3585" s="18">
        <f>LARGE(E3586:E3611,4)</f>
        <v>0</v>
      </c>
      <c r="Q3585" s="22">
        <f>LARGE(E3586:E3611,5)</f>
        <v>0</v>
      </c>
      <c r="R3585" s="22">
        <f>LARGE(E3586:E3611,6)</f>
        <v>0</v>
      </c>
      <c r="S3585" s="22">
        <f>LARGE(E3586:E3611,7)</f>
        <v>0</v>
      </c>
      <c r="T3585" s="18">
        <f>LARGE(E3586:E3611,8)</f>
        <v>0</v>
      </c>
      <c r="U3585" s="18">
        <f>LARGE(E3586:E3611,9)</f>
        <v>0</v>
      </c>
      <c r="V3585" s="18">
        <f>LARGE(E3586:E3611,10)</f>
        <v>0</v>
      </c>
      <c r="W3585" s="18">
        <f>LARGE(E3586:E3611,11)</f>
        <v>0</v>
      </c>
      <c r="X3585" s="18">
        <f>LARGE(E3586:E3611,12)</f>
        <v>0</v>
      </c>
      <c r="Y3585" s="18">
        <f>LARGE(E3586:E3611,13)</f>
        <v>0</v>
      </c>
      <c r="Z3585" s="18">
        <f>LARGE(E3586:E3611,14)</f>
        <v>0</v>
      </c>
      <c r="AA3585" s="18">
        <f>LARGE(E3586:E3611,15)</f>
        <v>0</v>
      </c>
      <c r="AB3585" s="18">
        <f>LARGE(E3586:E3611,16)</f>
        <v>0</v>
      </c>
      <c r="AC3585" s="18">
        <f>LARGE(E3586:E3611,17)</f>
        <v>0</v>
      </c>
      <c r="AD3585" s="18">
        <f>LARGE(E3586:E3612,13)</f>
        <v>0</v>
      </c>
      <c r="AE3585" s="18">
        <f>LARGE(E3586:E3611,19)</f>
        <v>0</v>
      </c>
      <c r="AF3585" s="18">
        <f>LARGE(E3586:E3611,20)</f>
        <v>0</v>
      </c>
      <c r="AG3585" s="18">
        <f>LARGE(E3586:E3611,21)</f>
        <v>0</v>
      </c>
      <c r="AH3585" s="18">
        <f>LARGE(E3586:E3611,22)</f>
        <v>0</v>
      </c>
      <c r="AI3585" s="18">
        <f>LARGE(E3586:E3611,23)</f>
        <v>0</v>
      </c>
      <c r="AJ3585" s="18">
        <f>LARGE(E3586:E3611,24)</f>
        <v>0</v>
      </c>
      <c r="AK3585" s="18">
        <f>LARGE(E3586:E3611,25)</f>
        <v>0</v>
      </c>
      <c r="AL3585" s="18">
        <f>LARGE(E3586:E3611,26)</f>
        <v>0</v>
      </c>
      <c r="AM3585" s="50">
        <f>COUNTIF(B3586:B3611,"&lt;&gt;"&amp;AH74)</f>
        <v>0</v>
      </c>
    </row>
    <row r="3586" spans="1:39">
      <c r="A3586" s="42" t="s">
        <v>246</v>
      </c>
      <c r="B3586" s="40" t="str">
        <f t="shared" ref="B3586:B3611" si="563">$AH$74</f>
        <v>No pick yet</v>
      </c>
      <c r="C3586" s="40" t="str">
        <f t="shared" si="562"/>
        <v>01-&gt;</v>
      </c>
      <c r="D3586" s="40" t="str">
        <f t="shared" ref="D3586:D3611" si="564">B3586&amp;REPT(" ",$AH$70-LEN(B3586))</f>
        <v xml:space="preserve">No pick yet                                                 </v>
      </c>
      <c r="E3586" s="52">
        <f t="shared" ref="E3586:E3611" si="565">VLOOKUP(RIGHT(B3586,LEN(B3586)-$AH$66),$H$138:$I$420,2,0)</f>
        <v>0</v>
      </c>
      <c r="F3586" s="18"/>
      <c r="M3586" s="18"/>
      <c r="N3586" s="18"/>
      <c r="O3586" s="18"/>
      <c r="P3586" s="18"/>
      <c r="Q3586" s="22"/>
      <c r="R3586" s="21"/>
      <c r="S3586" s="21"/>
      <c r="T3586" s="21"/>
      <c r="AA3586"/>
      <c r="AH3586" t="str">
        <f t="shared" ref="AH3586:AH3611" si="566">RIGHT(B3586,LEN(B3586)-$AH$66)</f>
        <v>k yet</v>
      </c>
    </row>
    <row r="3587" spans="1:39">
      <c r="A3587" s="42" t="s">
        <v>247</v>
      </c>
      <c r="B3587" s="40" t="str">
        <f t="shared" si="563"/>
        <v>No pick yet</v>
      </c>
      <c r="C3587" s="40" t="str">
        <f t="shared" si="562"/>
        <v>02-&gt;</v>
      </c>
      <c r="D3587" s="40" t="str">
        <f t="shared" si="564"/>
        <v xml:space="preserve">No pick yet                                                 </v>
      </c>
      <c r="E3587" s="52">
        <f t="shared" si="565"/>
        <v>0</v>
      </c>
      <c r="F3587" s="18"/>
      <c r="K3587" s="22"/>
      <c r="N3587" s="22"/>
      <c r="O3587" s="22"/>
      <c r="P3587" s="22"/>
      <c r="Q3587" s="22"/>
      <c r="R3587" s="22"/>
      <c r="S3587" s="22"/>
      <c r="Z3587" s="53"/>
      <c r="AA3587"/>
      <c r="AH3587" t="str">
        <f t="shared" si="566"/>
        <v>k yet</v>
      </c>
    </row>
    <row r="3588" spans="1:39">
      <c r="A3588" s="42" t="s">
        <v>248</v>
      </c>
      <c r="B3588" s="40" t="str">
        <f t="shared" si="563"/>
        <v>No pick yet</v>
      </c>
      <c r="C3588" s="40" t="str">
        <f t="shared" si="562"/>
        <v>03-&gt;</v>
      </c>
      <c r="D3588" s="40" t="str">
        <f t="shared" si="564"/>
        <v xml:space="preserve">No pick yet                                                 </v>
      </c>
      <c r="E3588" s="52">
        <f t="shared" si="565"/>
        <v>0</v>
      </c>
      <c r="F3588" s="18"/>
      <c r="L3588" s="21"/>
      <c r="N3588" s="22"/>
      <c r="O3588" s="22"/>
      <c r="P3588" s="18"/>
      <c r="Q3588" s="22"/>
      <c r="R3588" s="22"/>
      <c r="S3588" s="22"/>
      <c r="Z3588" s="53"/>
      <c r="AA3588"/>
      <c r="AH3588" t="str">
        <f t="shared" si="566"/>
        <v>k yet</v>
      </c>
    </row>
    <row r="3589" spans="1:39">
      <c r="A3589" s="42" t="s">
        <v>249</v>
      </c>
      <c r="B3589" s="40" t="str">
        <f t="shared" si="563"/>
        <v>No pick yet</v>
      </c>
      <c r="C3589" s="40" t="str">
        <f t="shared" si="562"/>
        <v>04-&gt;</v>
      </c>
      <c r="D3589" s="40" t="str">
        <f t="shared" si="564"/>
        <v xml:space="preserve">No pick yet                                                 </v>
      </c>
      <c r="E3589" s="52">
        <f t="shared" si="565"/>
        <v>0</v>
      </c>
      <c r="F3589" s="18"/>
      <c r="M3589" s="18"/>
      <c r="N3589" s="18"/>
      <c r="O3589" s="18"/>
      <c r="P3589" s="18"/>
      <c r="Q3589" s="22"/>
      <c r="R3589" s="21"/>
      <c r="S3589" s="21"/>
      <c r="T3589" s="21"/>
      <c r="AA3589"/>
      <c r="AH3589" t="str">
        <f t="shared" si="566"/>
        <v>k yet</v>
      </c>
    </row>
    <row r="3590" spans="1:39">
      <c r="A3590" s="42" t="s">
        <v>250</v>
      </c>
      <c r="B3590" s="40" t="str">
        <f t="shared" si="563"/>
        <v>No pick yet</v>
      </c>
      <c r="C3590" s="40" t="str">
        <f t="shared" si="562"/>
        <v>05-&gt;</v>
      </c>
      <c r="D3590" s="40" t="str">
        <f t="shared" si="564"/>
        <v xml:space="preserve">No pick yet                                                 </v>
      </c>
      <c r="E3590" s="52">
        <f t="shared" si="565"/>
        <v>0</v>
      </c>
      <c r="F3590" s="18"/>
      <c r="M3590" s="18"/>
      <c r="N3590" s="18"/>
      <c r="O3590" s="18"/>
      <c r="P3590" s="18"/>
      <c r="Q3590" s="22"/>
      <c r="R3590" s="21"/>
      <c r="S3590" s="21"/>
      <c r="T3590" s="21"/>
      <c r="AA3590"/>
      <c r="AH3590" t="str">
        <f t="shared" si="566"/>
        <v>k yet</v>
      </c>
    </row>
    <row r="3591" spans="1:39">
      <c r="A3591" s="42" t="s">
        <v>251</v>
      </c>
      <c r="B3591" s="40" t="str">
        <f t="shared" si="563"/>
        <v>No pick yet</v>
      </c>
      <c r="C3591" s="40" t="str">
        <f t="shared" si="562"/>
        <v>06-&gt;</v>
      </c>
      <c r="D3591" s="40" t="str">
        <f t="shared" si="564"/>
        <v xml:space="preserve">No pick yet                                                 </v>
      </c>
      <c r="E3591" s="52">
        <f t="shared" si="565"/>
        <v>0</v>
      </c>
      <c r="F3591" s="18"/>
      <c r="M3591" s="18"/>
      <c r="N3591" s="18"/>
      <c r="O3591" s="18"/>
      <c r="P3591" s="18"/>
      <c r="Q3591" s="22"/>
      <c r="R3591" s="21"/>
      <c r="S3591" s="21"/>
      <c r="T3591" s="21"/>
      <c r="AA3591"/>
      <c r="AH3591" t="str">
        <f t="shared" si="566"/>
        <v>k yet</v>
      </c>
    </row>
    <row r="3592" spans="1:39">
      <c r="A3592" s="42" t="s">
        <v>252</v>
      </c>
      <c r="B3592" s="40" t="str">
        <f t="shared" si="563"/>
        <v>No pick yet</v>
      </c>
      <c r="C3592" s="40" t="str">
        <f t="shared" si="562"/>
        <v>07-&gt;</v>
      </c>
      <c r="D3592" s="40" t="str">
        <f t="shared" si="564"/>
        <v xml:space="preserve">No pick yet                                                 </v>
      </c>
      <c r="E3592" s="52">
        <f t="shared" si="565"/>
        <v>0</v>
      </c>
      <c r="F3592" s="18"/>
      <c r="M3592" s="18"/>
      <c r="N3592" s="18"/>
      <c r="O3592" s="18"/>
      <c r="P3592" s="18"/>
      <c r="Q3592" s="22"/>
      <c r="R3592" s="21"/>
      <c r="S3592" s="21"/>
      <c r="T3592" s="21"/>
      <c r="AA3592"/>
      <c r="AH3592" t="str">
        <f t="shared" si="566"/>
        <v>k yet</v>
      </c>
    </row>
    <row r="3593" spans="1:39">
      <c r="A3593" s="42" t="s">
        <v>253</v>
      </c>
      <c r="B3593" s="40" t="str">
        <f t="shared" si="563"/>
        <v>No pick yet</v>
      </c>
      <c r="C3593" s="40" t="str">
        <f t="shared" si="562"/>
        <v>08-&gt;</v>
      </c>
      <c r="D3593" s="40" t="str">
        <f t="shared" si="564"/>
        <v xml:space="preserve">No pick yet                                                 </v>
      </c>
      <c r="E3593" s="52">
        <f t="shared" si="565"/>
        <v>0</v>
      </c>
      <c r="F3593" s="18"/>
      <c r="M3593" s="18"/>
      <c r="N3593" s="18"/>
      <c r="O3593" s="18"/>
      <c r="P3593" s="18"/>
      <c r="Q3593" s="22"/>
      <c r="R3593" s="21"/>
      <c r="S3593" s="21"/>
      <c r="T3593" s="21"/>
      <c r="AA3593"/>
      <c r="AH3593" t="str">
        <f t="shared" si="566"/>
        <v>k yet</v>
      </c>
    </row>
    <row r="3594" spans="1:39">
      <c r="A3594" s="42" t="s">
        <v>254</v>
      </c>
      <c r="B3594" s="40" t="str">
        <f t="shared" si="563"/>
        <v>No pick yet</v>
      </c>
      <c r="C3594" s="40" t="str">
        <f t="shared" si="562"/>
        <v>09-&gt;</v>
      </c>
      <c r="D3594" s="40" t="str">
        <f t="shared" si="564"/>
        <v xml:space="preserve">No pick yet                                                 </v>
      </c>
      <c r="E3594" s="52">
        <f t="shared" si="565"/>
        <v>0</v>
      </c>
      <c r="F3594" s="18"/>
      <c r="M3594" s="18"/>
      <c r="N3594" s="18"/>
      <c r="O3594" s="18"/>
      <c r="P3594" s="18"/>
      <c r="Q3594" s="22"/>
      <c r="R3594" s="21"/>
      <c r="S3594" s="21"/>
      <c r="T3594" s="21"/>
      <c r="AA3594"/>
      <c r="AH3594" t="str">
        <f t="shared" si="566"/>
        <v>k yet</v>
      </c>
    </row>
    <row r="3595" spans="1:39">
      <c r="A3595" s="42" t="s">
        <v>255</v>
      </c>
      <c r="B3595" s="40" t="str">
        <f t="shared" si="563"/>
        <v>No pick yet</v>
      </c>
      <c r="C3595" s="40" t="str">
        <f t="shared" si="562"/>
        <v>10-&gt;</v>
      </c>
      <c r="D3595" s="40" t="str">
        <f t="shared" si="564"/>
        <v xml:space="preserve">No pick yet                                                 </v>
      </c>
      <c r="E3595" s="52">
        <f t="shared" si="565"/>
        <v>0</v>
      </c>
      <c r="F3595" s="22"/>
      <c r="M3595" s="18"/>
      <c r="N3595" s="18"/>
      <c r="O3595" s="18"/>
      <c r="P3595" s="18"/>
      <c r="Q3595" s="22"/>
      <c r="R3595" s="21"/>
      <c r="S3595" s="21"/>
      <c r="T3595" s="21"/>
      <c r="AA3595"/>
      <c r="AH3595" t="str">
        <f t="shared" si="566"/>
        <v>k yet</v>
      </c>
    </row>
    <row r="3596" spans="1:39">
      <c r="A3596" s="42" t="s">
        <v>256</v>
      </c>
      <c r="B3596" s="40" t="str">
        <f t="shared" si="563"/>
        <v>No pick yet</v>
      </c>
      <c r="C3596" s="40" t="str">
        <f t="shared" si="562"/>
        <v>11-&gt;</v>
      </c>
      <c r="D3596" s="40" t="str">
        <f t="shared" si="564"/>
        <v xml:space="preserve">No pick yet                                                 </v>
      </c>
      <c r="E3596" s="52">
        <f t="shared" si="565"/>
        <v>0</v>
      </c>
      <c r="M3596" s="18"/>
      <c r="N3596" s="18"/>
      <c r="O3596" s="18"/>
      <c r="P3596" s="18"/>
      <c r="Q3596" s="22"/>
      <c r="R3596" s="21"/>
      <c r="S3596" s="21"/>
      <c r="T3596" s="21"/>
      <c r="AA3596"/>
      <c r="AH3596" t="str">
        <f t="shared" si="566"/>
        <v>k yet</v>
      </c>
    </row>
    <row r="3597" spans="1:39">
      <c r="A3597" s="42" t="s">
        <v>257</v>
      </c>
      <c r="B3597" s="40" t="str">
        <f t="shared" si="563"/>
        <v>No pick yet</v>
      </c>
      <c r="C3597" s="40" t="str">
        <f t="shared" si="562"/>
        <v>12-&gt;</v>
      </c>
      <c r="D3597" s="40" t="str">
        <f t="shared" si="564"/>
        <v xml:space="preserve">No pick yet                                                 </v>
      </c>
      <c r="E3597" s="52">
        <f t="shared" si="565"/>
        <v>0</v>
      </c>
      <c r="M3597" s="18"/>
      <c r="N3597" s="18"/>
      <c r="O3597" s="18"/>
      <c r="P3597" s="18"/>
      <c r="Q3597" s="22"/>
      <c r="R3597" s="21"/>
      <c r="S3597" s="21"/>
      <c r="T3597" s="21"/>
      <c r="AA3597"/>
      <c r="AH3597" t="str">
        <f t="shared" si="566"/>
        <v>k yet</v>
      </c>
    </row>
    <row r="3598" spans="1:39">
      <c r="A3598" s="42" t="s">
        <v>258</v>
      </c>
      <c r="B3598" s="40" t="str">
        <f t="shared" si="563"/>
        <v>No pick yet</v>
      </c>
      <c r="C3598" s="40" t="str">
        <f t="shared" si="562"/>
        <v>13-&gt;</v>
      </c>
      <c r="D3598" s="40" t="str">
        <f t="shared" si="564"/>
        <v xml:space="preserve">No pick yet                                                 </v>
      </c>
      <c r="E3598" s="52">
        <f t="shared" si="565"/>
        <v>0</v>
      </c>
      <c r="M3598" s="18"/>
      <c r="N3598" s="18"/>
      <c r="O3598" s="18"/>
      <c r="P3598" s="18"/>
      <c r="Q3598" s="22"/>
      <c r="R3598" s="21"/>
      <c r="S3598" s="21"/>
      <c r="T3598" s="21"/>
      <c r="AA3598"/>
      <c r="AH3598" t="str">
        <f t="shared" si="566"/>
        <v>k yet</v>
      </c>
    </row>
    <row r="3599" spans="1:39">
      <c r="A3599" s="42" t="s">
        <v>259</v>
      </c>
      <c r="B3599" s="40" t="str">
        <f t="shared" si="563"/>
        <v>No pick yet</v>
      </c>
      <c r="C3599" s="40" t="str">
        <f t="shared" si="562"/>
        <v>14-&gt;</v>
      </c>
      <c r="D3599" s="40" t="str">
        <f t="shared" si="564"/>
        <v xml:space="preserve">No pick yet                                                 </v>
      </c>
      <c r="E3599" s="52">
        <f t="shared" si="565"/>
        <v>0</v>
      </c>
      <c r="M3599" s="18"/>
      <c r="N3599" s="18"/>
      <c r="O3599" s="18"/>
      <c r="P3599" s="18"/>
      <c r="Q3599" s="22"/>
      <c r="R3599" s="21"/>
      <c r="S3599" s="21"/>
      <c r="T3599" s="21"/>
      <c r="AA3599"/>
      <c r="AH3599" t="str">
        <f t="shared" si="566"/>
        <v>k yet</v>
      </c>
    </row>
    <row r="3600" spans="1:39">
      <c r="A3600" s="42" t="s">
        <v>260</v>
      </c>
      <c r="B3600" s="40" t="str">
        <f t="shared" si="563"/>
        <v>No pick yet</v>
      </c>
      <c r="C3600" s="40" t="str">
        <f t="shared" si="562"/>
        <v>15-&gt;</v>
      </c>
      <c r="D3600" s="40" t="str">
        <f t="shared" si="564"/>
        <v xml:space="preserve">No pick yet                                                 </v>
      </c>
      <c r="E3600" s="52">
        <f t="shared" si="565"/>
        <v>0</v>
      </c>
      <c r="M3600" s="18"/>
      <c r="N3600" s="18"/>
      <c r="O3600" s="18"/>
      <c r="P3600" s="18"/>
      <c r="Q3600" s="22"/>
      <c r="R3600" s="21"/>
      <c r="S3600" s="21"/>
      <c r="T3600" s="21"/>
      <c r="AA3600"/>
      <c r="AH3600" t="str">
        <f t="shared" si="566"/>
        <v>k yet</v>
      </c>
    </row>
    <row r="3601" spans="1:39">
      <c r="A3601" s="42" t="s">
        <v>261</v>
      </c>
      <c r="B3601" s="40" t="str">
        <f t="shared" si="563"/>
        <v>No pick yet</v>
      </c>
      <c r="C3601" s="40" t="str">
        <f t="shared" si="562"/>
        <v>16-&gt;</v>
      </c>
      <c r="D3601" s="40" t="str">
        <f t="shared" si="564"/>
        <v xml:space="preserve">No pick yet                                                 </v>
      </c>
      <c r="E3601" s="52">
        <f t="shared" si="565"/>
        <v>0</v>
      </c>
      <c r="M3601" s="18"/>
      <c r="N3601" s="18"/>
      <c r="O3601" s="18"/>
      <c r="P3601" s="18"/>
      <c r="Q3601" s="22"/>
      <c r="R3601" s="21"/>
      <c r="S3601" s="21"/>
      <c r="T3601" s="21"/>
      <c r="AA3601"/>
      <c r="AH3601" t="str">
        <f t="shared" si="566"/>
        <v>k yet</v>
      </c>
    </row>
    <row r="3602" spans="1:39">
      <c r="A3602" s="42" t="s">
        <v>262</v>
      </c>
      <c r="B3602" s="40" t="str">
        <f t="shared" si="563"/>
        <v>No pick yet</v>
      </c>
      <c r="C3602" s="40" t="str">
        <f t="shared" si="562"/>
        <v>17-&gt;</v>
      </c>
      <c r="D3602" s="40" t="str">
        <f t="shared" si="564"/>
        <v xml:space="preserve">No pick yet                                                 </v>
      </c>
      <c r="E3602" s="52">
        <f t="shared" si="565"/>
        <v>0</v>
      </c>
      <c r="K3602" s="22"/>
      <c r="N3602" s="22"/>
      <c r="O3602" s="22"/>
      <c r="P3602" s="22"/>
      <c r="Q3602" s="22"/>
      <c r="R3602" s="22"/>
      <c r="S3602" s="22"/>
      <c r="Z3602" s="53"/>
      <c r="AA3602"/>
      <c r="AH3602" t="str">
        <f t="shared" si="566"/>
        <v>k yet</v>
      </c>
    </row>
    <row r="3603" spans="1:39">
      <c r="A3603" s="42" t="s">
        <v>263</v>
      </c>
      <c r="B3603" s="40" t="str">
        <f t="shared" si="563"/>
        <v>No pick yet</v>
      </c>
      <c r="C3603" s="40" t="str">
        <f t="shared" si="562"/>
        <v>18-&gt;</v>
      </c>
      <c r="D3603" s="40" t="str">
        <f t="shared" si="564"/>
        <v xml:space="preserve">No pick yet                                                 </v>
      </c>
      <c r="E3603" s="52">
        <f t="shared" si="565"/>
        <v>0</v>
      </c>
      <c r="F3603" s="18"/>
      <c r="L3603" s="21"/>
      <c r="N3603" s="22"/>
      <c r="O3603" s="22"/>
      <c r="P3603" s="18"/>
      <c r="Q3603" s="22"/>
      <c r="R3603" s="22"/>
      <c r="S3603" s="22"/>
      <c r="Z3603" s="53"/>
      <c r="AA3603"/>
      <c r="AH3603" t="str">
        <f t="shared" si="566"/>
        <v>k yet</v>
      </c>
    </row>
    <row r="3604" spans="1:39">
      <c r="A3604" s="42" t="s">
        <v>264</v>
      </c>
      <c r="B3604" s="40" t="str">
        <f t="shared" si="563"/>
        <v>No pick yet</v>
      </c>
      <c r="C3604" s="40" t="str">
        <f t="shared" si="562"/>
        <v>19-&gt;</v>
      </c>
      <c r="D3604" s="40" t="str">
        <f t="shared" si="564"/>
        <v xml:space="preserve">No pick yet                                                 </v>
      </c>
      <c r="E3604" s="52">
        <f t="shared" si="565"/>
        <v>0</v>
      </c>
      <c r="F3604" s="18"/>
      <c r="M3604" s="18"/>
      <c r="N3604" s="18"/>
      <c r="O3604" s="18"/>
      <c r="P3604" s="18"/>
      <c r="Q3604" s="22"/>
      <c r="R3604" s="21"/>
      <c r="S3604" s="21"/>
      <c r="T3604" s="21"/>
      <c r="AA3604"/>
      <c r="AH3604" t="str">
        <f t="shared" si="566"/>
        <v>k yet</v>
      </c>
    </row>
    <row r="3605" spans="1:39">
      <c r="A3605" s="42" t="s">
        <v>265</v>
      </c>
      <c r="B3605" s="40" t="str">
        <f t="shared" si="563"/>
        <v>No pick yet</v>
      </c>
      <c r="C3605" s="40" t="str">
        <f t="shared" si="562"/>
        <v>20-&gt;</v>
      </c>
      <c r="D3605" s="40" t="str">
        <f t="shared" si="564"/>
        <v xml:space="preserve">No pick yet                                                 </v>
      </c>
      <c r="E3605" s="52">
        <f t="shared" si="565"/>
        <v>0</v>
      </c>
      <c r="F3605" s="18"/>
      <c r="M3605" s="18"/>
      <c r="N3605" s="18"/>
      <c r="O3605" s="18"/>
      <c r="P3605" s="18"/>
      <c r="Q3605" s="22"/>
      <c r="R3605" s="21"/>
      <c r="S3605" s="21"/>
      <c r="T3605" s="21"/>
      <c r="AA3605"/>
      <c r="AH3605" t="str">
        <f t="shared" si="566"/>
        <v>k yet</v>
      </c>
    </row>
    <row r="3606" spans="1:39">
      <c r="A3606" s="42" t="s">
        <v>266</v>
      </c>
      <c r="B3606" s="40" t="str">
        <f t="shared" si="563"/>
        <v>No pick yet</v>
      </c>
      <c r="C3606" s="40" t="str">
        <f t="shared" si="562"/>
        <v>21-&gt;</v>
      </c>
      <c r="D3606" s="40" t="str">
        <f t="shared" si="564"/>
        <v xml:space="preserve">No pick yet                                                 </v>
      </c>
      <c r="E3606" s="52">
        <f t="shared" si="565"/>
        <v>0</v>
      </c>
      <c r="F3606" s="18"/>
      <c r="M3606" s="18"/>
      <c r="N3606" s="18"/>
      <c r="O3606" s="18"/>
      <c r="P3606" s="18"/>
      <c r="Q3606" s="22"/>
      <c r="R3606" s="21"/>
      <c r="S3606" s="21"/>
      <c r="T3606" s="21"/>
      <c r="AA3606"/>
      <c r="AH3606" t="str">
        <f t="shared" si="566"/>
        <v>k yet</v>
      </c>
    </row>
    <row r="3607" spans="1:39">
      <c r="A3607" s="42" t="s">
        <v>267</v>
      </c>
      <c r="B3607" s="40" t="str">
        <f t="shared" si="563"/>
        <v>No pick yet</v>
      </c>
      <c r="C3607" s="40" t="str">
        <f t="shared" si="562"/>
        <v>22-&gt;</v>
      </c>
      <c r="D3607" s="40" t="str">
        <f t="shared" si="564"/>
        <v xml:space="preserve">No pick yet                                                 </v>
      </c>
      <c r="E3607" s="52">
        <f t="shared" si="565"/>
        <v>0</v>
      </c>
      <c r="F3607" s="18"/>
      <c r="M3607" s="18"/>
      <c r="N3607" s="18"/>
      <c r="O3607" s="18"/>
      <c r="P3607" s="18"/>
      <c r="Q3607" s="22"/>
      <c r="R3607" s="21"/>
      <c r="S3607" s="21"/>
      <c r="T3607" s="21"/>
      <c r="AA3607"/>
      <c r="AH3607" t="str">
        <f t="shared" si="566"/>
        <v>k yet</v>
      </c>
    </row>
    <row r="3608" spans="1:39">
      <c r="A3608" s="42" t="s">
        <v>268</v>
      </c>
      <c r="B3608" s="40" t="str">
        <f t="shared" si="563"/>
        <v>No pick yet</v>
      </c>
      <c r="C3608" s="40" t="str">
        <f t="shared" si="562"/>
        <v>23-&gt;</v>
      </c>
      <c r="D3608" s="40" t="str">
        <f t="shared" si="564"/>
        <v xml:space="preserve">No pick yet                                                 </v>
      </c>
      <c r="E3608" s="52">
        <f t="shared" si="565"/>
        <v>0</v>
      </c>
      <c r="F3608" s="18"/>
      <c r="M3608" s="18"/>
      <c r="N3608" s="18"/>
      <c r="O3608" s="18"/>
      <c r="P3608" s="18"/>
      <c r="Q3608" s="22"/>
      <c r="R3608" s="21"/>
      <c r="S3608" s="21"/>
      <c r="T3608" s="21"/>
      <c r="AA3608"/>
      <c r="AH3608" t="str">
        <f t="shared" si="566"/>
        <v>k yet</v>
      </c>
    </row>
    <row r="3609" spans="1:39">
      <c r="A3609" s="42" t="s">
        <v>269</v>
      </c>
      <c r="B3609" s="40" t="str">
        <f t="shared" si="563"/>
        <v>No pick yet</v>
      </c>
      <c r="C3609" s="40" t="str">
        <f t="shared" si="562"/>
        <v>24-&gt;</v>
      </c>
      <c r="D3609" s="40" t="str">
        <f t="shared" si="564"/>
        <v xml:space="preserve">No pick yet                                                 </v>
      </c>
      <c r="E3609" s="52">
        <f t="shared" si="565"/>
        <v>0</v>
      </c>
      <c r="F3609" s="18"/>
      <c r="M3609" s="18"/>
      <c r="N3609" s="18"/>
      <c r="O3609" s="18"/>
      <c r="P3609" s="18"/>
      <c r="Q3609" s="22"/>
      <c r="R3609" s="21"/>
      <c r="S3609" s="21"/>
      <c r="T3609" s="21"/>
      <c r="AA3609"/>
      <c r="AH3609" t="str">
        <f t="shared" si="566"/>
        <v>k yet</v>
      </c>
    </row>
    <row r="3610" spans="1:39">
      <c r="A3610" s="42" t="s">
        <v>270</v>
      </c>
      <c r="B3610" s="40" t="str">
        <f t="shared" si="563"/>
        <v>No pick yet</v>
      </c>
      <c r="C3610" s="40" t="str">
        <f t="shared" si="562"/>
        <v>25-&gt;</v>
      </c>
      <c r="D3610" s="40" t="str">
        <f t="shared" si="564"/>
        <v xml:space="preserve">No pick yet                                                 </v>
      </c>
      <c r="E3610" s="52">
        <f t="shared" si="565"/>
        <v>0</v>
      </c>
      <c r="F3610" s="18"/>
      <c r="M3610" s="18"/>
      <c r="N3610" s="18"/>
      <c r="O3610" s="18"/>
      <c r="P3610" s="18"/>
      <c r="Q3610" s="22"/>
      <c r="R3610" s="21"/>
      <c r="S3610" s="21"/>
      <c r="T3610" s="21"/>
      <c r="AA3610"/>
      <c r="AH3610" t="str">
        <f t="shared" si="566"/>
        <v>k yet</v>
      </c>
    </row>
    <row r="3611" spans="1:39">
      <c r="A3611" s="42" t="s">
        <v>271</v>
      </c>
      <c r="B3611" s="40" t="str">
        <f t="shared" si="563"/>
        <v>No pick yet</v>
      </c>
      <c r="C3611" s="40" t="str">
        <f t="shared" si="562"/>
        <v>26-&gt;</v>
      </c>
      <c r="D3611" s="40" t="str">
        <f t="shared" si="564"/>
        <v xml:space="preserve">No pick yet                                                 </v>
      </c>
      <c r="E3611" s="52">
        <f t="shared" si="565"/>
        <v>0</v>
      </c>
      <c r="F3611" s="18"/>
      <c r="M3611" s="18"/>
      <c r="N3611" s="18"/>
      <c r="O3611" s="18"/>
      <c r="P3611" s="18"/>
      <c r="Q3611" s="22"/>
      <c r="R3611" s="21"/>
      <c r="S3611" s="21"/>
      <c r="T3611" s="21"/>
      <c r="AA3611"/>
      <c r="AH3611" t="str">
        <f t="shared" si="566"/>
        <v>k yet</v>
      </c>
    </row>
    <row r="3612" spans="1:39">
      <c r="A3612" s="38"/>
      <c r="B3612" s="40"/>
      <c r="C3612" s="40"/>
      <c r="D3612" s="49"/>
      <c r="E3612" s="41" t="s">
        <v>69</v>
      </c>
      <c r="F3612" s="18"/>
      <c r="K3612" s="22" t="s">
        <v>73</v>
      </c>
      <c r="L3612" s="18" t="s">
        <v>74</v>
      </c>
      <c r="M3612" s="22" t="s">
        <v>78</v>
      </c>
      <c r="N3612" s="22" t="s">
        <v>79</v>
      </c>
      <c r="O3612" s="22" t="s">
        <v>80</v>
      </c>
      <c r="P3612" s="22" t="s">
        <v>81</v>
      </c>
      <c r="Q3612" s="22" t="s">
        <v>82</v>
      </c>
      <c r="R3612" s="22" t="s">
        <v>83</v>
      </c>
      <c r="S3612" s="22" t="s">
        <v>84</v>
      </c>
      <c r="T3612" s="18" t="s">
        <v>85</v>
      </c>
      <c r="U3612" s="18" t="s">
        <v>86</v>
      </c>
      <c r="V3612" s="18" t="s">
        <v>87</v>
      </c>
      <c r="W3612" s="18" t="s">
        <v>88</v>
      </c>
      <c r="X3612" s="18" t="s">
        <v>89</v>
      </c>
      <c r="Y3612" s="18" t="s">
        <v>90</v>
      </c>
      <c r="Z3612" s="18" t="s">
        <v>91</v>
      </c>
      <c r="AA3612" s="18" t="s">
        <v>92</v>
      </c>
      <c r="AB3612" s="18" t="s">
        <v>93</v>
      </c>
      <c r="AC3612" s="18" t="s">
        <v>94</v>
      </c>
      <c r="AD3612" s="18" t="s">
        <v>235</v>
      </c>
      <c r="AE3612" s="18" t="s">
        <v>236</v>
      </c>
      <c r="AF3612" s="18" t="s">
        <v>237</v>
      </c>
      <c r="AG3612" s="18" t="s">
        <v>238</v>
      </c>
      <c r="AH3612" s="18" t="s">
        <v>239</v>
      </c>
      <c r="AI3612" s="18" t="s">
        <v>240</v>
      </c>
      <c r="AJ3612" s="18" t="s">
        <v>241</v>
      </c>
      <c r="AK3612" s="18" t="s">
        <v>242</v>
      </c>
      <c r="AL3612" s="18" t="s">
        <v>243</v>
      </c>
      <c r="AM3612" s="50" t="s">
        <v>244</v>
      </c>
    </row>
    <row r="3613" spans="1:39">
      <c r="A3613" s="40" t="s">
        <v>245</v>
      </c>
      <c r="B3613" s="51" t="str">
        <f>D128</f>
        <v/>
      </c>
      <c r="C3613" s="40" t="str">
        <f t="shared" ref="C3613:C3639" si="567">A3613</f>
        <v>#</v>
      </c>
      <c r="D3613" s="40" t="str">
        <f>"   "&amp;B3613&amp;REPT(" ",$AH$70-LEN(B3613)-3)</f>
        <v xml:space="preserve">                                                            </v>
      </c>
      <c r="E3613" s="38" t="str">
        <f>SUM(E3614:E3639)&amp;" pts[/b]"</f>
        <v>0 pts[/b]</v>
      </c>
      <c r="F3613" s="21">
        <f>SUM(E3614:E3639)</f>
        <v>0</v>
      </c>
      <c r="K3613" s="18">
        <f>COUNTIF(E3614:E3639,"&gt;0")</f>
        <v>0</v>
      </c>
      <c r="L3613" s="21">
        <f>AM3613-K3613</f>
        <v>0</v>
      </c>
      <c r="M3613" s="22">
        <f>MAX(E3614:E3639)</f>
        <v>0</v>
      </c>
      <c r="N3613" s="22">
        <f>LARGE(E3614:E3639,2)</f>
        <v>0</v>
      </c>
      <c r="O3613" s="22">
        <f>LARGE(E3614:E3639,3)</f>
        <v>0</v>
      </c>
      <c r="P3613" s="18">
        <f>LARGE(E3614:E3639,4)</f>
        <v>0</v>
      </c>
      <c r="Q3613" s="22">
        <f>LARGE(E3614:E3639,5)</f>
        <v>0</v>
      </c>
      <c r="R3613" s="22">
        <f>LARGE(E3614:E3639,6)</f>
        <v>0</v>
      </c>
      <c r="S3613" s="22">
        <f>LARGE(E3614:E3639,7)</f>
        <v>0</v>
      </c>
      <c r="T3613" s="18">
        <f>LARGE(E3614:E3639,8)</f>
        <v>0</v>
      </c>
      <c r="U3613" s="18">
        <f>LARGE(E3614:E3639,9)</f>
        <v>0</v>
      </c>
      <c r="V3613" s="18">
        <f>LARGE(E3614:E3639,10)</f>
        <v>0</v>
      </c>
      <c r="W3613" s="18">
        <f>LARGE(E3614:E3639,11)</f>
        <v>0</v>
      </c>
      <c r="X3613" s="18">
        <f>LARGE(E3614:E3639,12)</f>
        <v>0</v>
      </c>
      <c r="Y3613" s="18">
        <f>LARGE(E3614:E3639,13)</f>
        <v>0</v>
      </c>
      <c r="Z3613" s="18">
        <f>LARGE(E3614:E3639,14)</f>
        <v>0</v>
      </c>
      <c r="AA3613" s="18">
        <f>LARGE(E3614:E3639,15)</f>
        <v>0</v>
      </c>
      <c r="AB3613" s="18">
        <f>LARGE(E3614:E3639,16)</f>
        <v>0</v>
      </c>
      <c r="AC3613" s="18">
        <f>LARGE(E3614:E3639,17)</f>
        <v>0</v>
      </c>
      <c r="AD3613" s="18">
        <f>LARGE(E3614:E3640,13)</f>
        <v>0</v>
      </c>
      <c r="AE3613" s="18">
        <f>LARGE(E3614:E3639,19)</f>
        <v>0</v>
      </c>
      <c r="AF3613" s="18">
        <f>LARGE(E3614:E3639,20)</f>
        <v>0</v>
      </c>
      <c r="AG3613" s="18">
        <f>LARGE(E3614:E3639,21)</f>
        <v>0</v>
      </c>
      <c r="AH3613" s="18">
        <f>LARGE(E3614:E3639,22)</f>
        <v>0</v>
      </c>
      <c r="AI3613" s="18">
        <f>LARGE(E3614:E3639,23)</f>
        <v>0</v>
      </c>
      <c r="AJ3613" s="18">
        <f>LARGE(E3614:E3639,24)</f>
        <v>0</v>
      </c>
      <c r="AK3613" s="18">
        <f>LARGE(E3614:E3639,25)</f>
        <v>0</v>
      </c>
      <c r="AL3613" s="18">
        <f>LARGE(E3614:E3639,26)</f>
        <v>0</v>
      </c>
      <c r="AM3613" s="50">
        <f>COUNTIF(B3614:B3639,"&lt;&gt;"&amp;AH74)</f>
        <v>0</v>
      </c>
    </row>
    <row r="3614" spans="1:39">
      <c r="A3614" s="42" t="s">
        <v>246</v>
      </c>
      <c r="B3614" s="40" t="str">
        <f t="shared" ref="B3614:B3639" si="568">$AH$74</f>
        <v>No pick yet</v>
      </c>
      <c r="C3614" s="40" t="str">
        <f t="shared" si="567"/>
        <v>01-&gt;</v>
      </c>
      <c r="D3614" s="40" t="str">
        <f t="shared" ref="D3614:D3639" si="569">B3614&amp;REPT(" ",$AH$70-LEN(B3614))</f>
        <v xml:space="preserve">No pick yet                                                 </v>
      </c>
      <c r="E3614" s="52">
        <f t="shared" ref="E3614:E3639" si="570">VLOOKUP(RIGHT(B3614,LEN(B3614)-$AH$66),$H$138:$I$420,2,0)</f>
        <v>0</v>
      </c>
      <c r="F3614" s="18"/>
      <c r="M3614" s="18"/>
      <c r="N3614" s="18"/>
      <c r="O3614" s="18"/>
      <c r="P3614" s="18"/>
      <c r="Q3614" s="22"/>
      <c r="R3614" s="21"/>
      <c r="S3614" s="21"/>
      <c r="T3614" s="21"/>
      <c r="AA3614"/>
      <c r="AH3614" t="str">
        <f t="shared" ref="AH3614:AH3639" si="571">RIGHT(B3614,LEN(B3614)-$AH$66)</f>
        <v>k yet</v>
      </c>
    </row>
    <row r="3615" spans="1:39">
      <c r="A3615" s="42" t="s">
        <v>247</v>
      </c>
      <c r="B3615" s="40" t="str">
        <f t="shared" si="568"/>
        <v>No pick yet</v>
      </c>
      <c r="C3615" s="40" t="str">
        <f t="shared" si="567"/>
        <v>02-&gt;</v>
      </c>
      <c r="D3615" s="40" t="str">
        <f t="shared" si="569"/>
        <v xml:space="preserve">No pick yet                                                 </v>
      </c>
      <c r="E3615" s="52">
        <f t="shared" si="570"/>
        <v>0</v>
      </c>
      <c r="F3615" s="18"/>
      <c r="K3615" s="22"/>
      <c r="N3615" s="22"/>
      <c r="O3615" s="22"/>
      <c r="P3615" s="22"/>
      <c r="Q3615" s="22"/>
      <c r="R3615" s="22"/>
      <c r="S3615" s="22"/>
      <c r="Z3615" s="53"/>
      <c r="AA3615"/>
      <c r="AH3615" t="str">
        <f t="shared" si="571"/>
        <v>k yet</v>
      </c>
    </row>
    <row r="3616" spans="1:39">
      <c r="A3616" s="42" t="s">
        <v>248</v>
      </c>
      <c r="B3616" s="40" t="str">
        <f t="shared" si="568"/>
        <v>No pick yet</v>
      </c>
      <c r="C3616" s="40" t="str">
        <f t="shared" si="567"/>
        <v>03-&gt;</v>
      </c>
      <c r="D3616" s="40" t="str">
        <f t="shared" si="569"/>
        <v xml:space="preserve">No pick yet                                                 </v>
      </c>
      <c r="E3616" s="52">
        <f t="shared" si="570"/>
        <v>0</v>
      </c>
      <c r="F3616" s="18"/>
      <c r="L3616" s="21"/>
      <c r="N3616" s="22"/>
      <c r="O3616" s="22"/>
      <c r="P3616" s="18"/>
      <c r="Q3616" s="22"/>
      <c r="R3616" s="22"/>
      <c r="S3616" s="22"/>
      <c r="Z3616" s="53"/>
      <c r="AA3616"/>
      <c r="AH3616" t="str">
        <f t="shared" si="571"/>
        <v>k yet</v>
      </c>
    </row>
    <row r="3617" spans="1:34">
      <c r="A3617" s="42" t="s">
        <v>249</v>
      </c>
      <c r="B3617" s="40" t="str">
        <f t="shared" si="568"/>
        <v>No pick yet</v>
      </c>
      <c r="C3617" s="40" t="str">
        <f t="shared" si="567"/>
        <v>04-&gt;</v>
      </c>
      <c r="D3617" s="40" t="str">
        <f t="shared" si="569"/>
        <v xml:space="preserve">No pick yet                                                 </v>
      </c>
      <c r="E3617" s="52">
        <f t="shared" si="570"/>
        <v>0</v>
      </c>
      <c r="F3617" s="18"/>
      <c r="M3617" s="18"/>
      <c r="N3617" s="18"/>
      <c r="O3617" s="18"/>
      <c r="P3617" s="18"/>
      <c r="Q3617" s="22"/>
      <c r="R3617" s="21"/>
      <c r="S3617" s="21"/>
      <c r="T3617" s="21"/>
      <c r="AA3617"/>
      <c r="AH3617" t="str">
        <f t="shared" si="571"/>
        <v>k yet</v>
      </c>
    </row>
    <row r="3618" spans="1:34">
      <c r="A3618" s="42" t="s">
        <v>250</v>
      </c>
      <c r="B3618" s="40" t="str">
        <f t="shared" si="568"/>
        <v>No pick yet</v>
      </c>
      <c r="C3618" s="40" t="str">
        <f t="shared" si="567"/>
        <v>05-&gt;</v>
      </c>
      <c r="D3618" s="40" t="str">
        <f t="shared" si="569"/>
        <v xml:space="preserve">No pick yet                                                 </v>
      </c>
      <c r="E3618" s="52">
        <f t="shared" si="570"/>
        <v>0</v>
      </c>
      <c r="F3618" s="18"/>
      <c r="M3618" s="18"/>
      <c r="N3618" s="18"/>
      <c r="O3618" s="18"/>
      <c r="P3618" s="18"/>
      <c r="Q3618" s="22"/>
      <c r="R3618" s="21"/>
      <c r="S3618" s="21"/>
      <c r="T3618" s="21"/>
      <c r="AA3618"/>
      <c r="AH3618" t="str">
        <f t="shared" si="571"/>
        <v>k yet</v>
      </c>
    </row>
    <row r="3619" spans="1:34">
      <c r="A3619" s="42" t="s">
        <v>251</v>
      </c>
      <c r="B3619" s="40" t="str">
        <f t="shared" si="568"/>
        <v>No pick yet</v>
      </c>
      <c r="C3619" s="40" t="str">
        <f t="shared" si="567"/>
        <v>06-&gt;</v>
      </c>
      <c r="D3619" s="40" t="str">
        <f t="shared" si="569"/>
        <v xml:space="preserve">No pick yet                                                 </v>
      </c>
      <c r="E3619" s="52">
        <f t="shared" si="570"/>
        <v>0</v>
      </c>
      <c r="F3619" s="18"/>
      <c r="M3619" s="18"/>
      <c r="N3619" s="18"/>
      <c r="O3619" s="18"/>
      <c r="P3619" s="18"/>
      <c r="Q3619" s="22"/>
      <c r="R3619" s="21"/>
      <c r="S3619" s="21"/>
      <c r="T3619" s="21"/>
      <c r="AA3619"/>
      <c r="AH3619" t="str">
        <f t="shared" si="571"/>
        <v>k yet</v>
      </c>
    </row>
    <row r="3620" spans="1:34">
      <c r="A3620" s="42" t="s">
        <v>252</v>
      </c>
      <c r="B3620" s="40" t="str">
        <f t="shared" si="568"/>
        <v>No pick yet</v>
      </c>
      <c r="C3620" s="40" t="str">
        <f t="shared" si="567"/>
        <v>07-&gt;</v>
      </c>
      <c r="D3620" s="40" t="str">
        <f t="shared" si="569"/>
        <v xml:space="preserve">No pick yet                                                 </v>
      </c>
      <c r="E3620" s="52">
        <f t="shared" si="570"/>
        <v>0</v>
      </c>
      <c r="F3620" s="18"/>
      <c r="M3620" s="18"/>
      <c r="N3620" s="18"/>
      <c r="O3620" s="18"/>
      <c r="P3620" s="18"/>
      <c r="Q3620" s="22"/>
      <c r="R3620" s="21"/>
      <c r="S3620" s="21"/>
      <c r="T3620" s="21"/>
      <c r="AA3620"/>
      <c r="AH3620" t="str">
        <f t="shared" si="571"/>
        <v>k yet</v>
      </c>
    </row>
    <row r="3621" spans="1:34">
      <c r="A3621" s="42" t="s">
        <v>253</v>
      </c>
      <c r="B3621" s="40" t="str">
        <f t="shared" si="568"/>
        <v>No pick yet</v>
      </c>
      <c r="C3621" s="40" t="str">
        <f t="shared" si="567"/>
        <v>08-&gt;</v>
      </c>
      <c r="D3621" s="40" t="str">
        <f t="shared" si="569"/>
        <v xml:space="preserve">No pick yet                                                 </v>
      </c>
      <c r="E3621" s="52">
        <f t="shared" si="570"/>
        <v>0</v>
      </c>
      <c r="F3621" s="18"/>
      <c r="M3621" s="18"/>
      <c r="N3621" s="18"/>
      <c r="O3621" s="18"/>
      <c r="P3621" s="18"/>
      <c r="Q3621" s="22"/>
      <c r="R3621" s="21"/>
      <c r="S3621" s="21"/>
      <c r="T3621" s="21"/>
      <c r="AA3621"/>
      <c r="AH3621" t="str">
        <f t="shared" si="571"/>
        <v>k yet</v>
      </c>
    </row>
    <row r="3622" spans="1:34">
      <c r="A3622" s="42" t="s">
        <v>254</v>
      </c>
      <c r="B3622" s="40" t="str">
        <f t="shared" si="568"/>
        <v>No pick yet</v>
      </c>
      <c r="C3622" s="40" t="str">
        <f t="shared" si="567"/>
        <v>09-&gt;</v>
      </c>
      <c r="D3622" s="40" t="str">
        <f t="shared" si="569"/>
        <v xml:space="preserve">No pick yet                                                 </v>
      </c>
      <c r="E3622" s="52">
        <f t="shared" si="570"/>
        <v>0</v>
      </c>
      <c r="F3622" s="18"/>
      <c r="M3622" s="18"/>
      <c r="N3622" s="18"/>
      <c r="O3622" s="18"/>
      <c r="P3622" s="18"/>
      <c r="Q3622" s="22"/>
      <c r="R3622" s="21"/>
      <c r="S3622" s="21"/>
      <c r="T3622" s="21"/>
      <c r="AA3622"/>
      <c r="AH3622" t="str">
        <f t="shared" si="571"/>
        <v>k yet</v>
      </c>
    </row>
    <row r="3623" spans="1:34">
      <c r="A3623" s="42" t="s">
        <v>255</v>
      </c>
      <c r="B3623" s="40" t="str">
        <f t="shared" si="568"/>
        <v>No pick yet</v>
      </c>
      <c r="C3623" s="40" t="str">
        <f t="shared" si="567"/>
        <v>10-&gt;</v>
      </c>
      <c r="D3623" s="40" t="str">
        <f t="shared" si="569"/>
        <v xml:space="preserve">No pick yet                                                 </v>
      </c>
      <c r="E3623" s="52">
        <f t="shared" si="570"/>
        <v>0</v>
      </c>
      <c r="F3623" s="22"/>
      <c r="M3623" s="18"/>
      <c r="N3623" s="18"/>
      <c r="O3623" s="18"/>
      <c r="P3623" s="18"/>
      <c r="Q3623" s="22"/>
      <c r="R3623" s="21"/>
      <c r="S3623" s="21"/>
      <c r="T3623" s="21"/>
      <c r="AA3623"/>
      <c r="AH3623" t="str">
        <f t="shared" si="571"/>
        <v>k yet</v>
      </c>
    </row>
    <row r="3624" spans="1:34">
      <c r="A3624" s="42" t="s">
        <v>256</v>
      </c>
      <c r="B3624" s="40" t="str">
        <f t="shared" si="568"/>
        <v>No pick yet</v>
      </c>
      <c r="C3624" s="40" t="str">
        <f t="shared" si="567"/>
        <v>11-&gt;</v>
      </c>
      <c r="D3624" s="40" t="str">
        <f t="shared" si="569"/>
        <v xml:space="preserve">No pick yet                                                 </v>
      </c>
      <c r="E3624" s="52">
        <f t="shared" si="570"/>
        <v>0</v>
      </c>
      <c r="M3624" s="18"/>
      <c r="N3624" s="18"/>
      <c r="O3624" s="18"/>
      <c r="P3624" s="18"/>
      <c r="Q3624" s="22"/>
      <c r="R3624" s="21"/>
      <c r="S3624" s="21"/>
      <c r="T3624" s="21"/>
      <c r="AA3624"/>
      <c r="AH3624" t="str">
        <f t="shared" si="571"/>
        <v>k yet</v>
      </c>
    </row>
    <row r="3625" spans="1:34">
      <c r="A3625" s="42" t="s">
        <v>257</v>
      </c>
      <c r="B3625" s="40" t="str">
        <f t="shared" si="568"/>
        <v>No pick yet</v>
      </c>
      <c r="C3625" s="40" t="str">
        <f t="shared" si="567"/>
        <v>12-&gt;</v>
      </c>
      <c r="D3625" s="40" t="str">
        <f t="shared" si="569"/>
        <v xml:space="preserve">No pick yet                                                 </v>
      </c>
      <c r="E3625" s="52">
        <f t="shared" si="570"/>
        <v>0</v>
      </c>
      <c r="M3625" s="18"/>
      <c r="N3625" s="18"/>
      <c r="O3625" s="18"/>
      <c r="P3625" s="18"/>
      <c r="Q3625" s="22"/>
      <c r="R3625" s="21"/>
      <c r="S3625" s="21"/>
      <c r="T3625" s="21"/>
      <c r="AA3625"/>
      <c r="AH3625" t="str">
        <f t="shared" si="571"/>
        <v>k yet</v>
      </c>
    </row>
    <row r="3626" spans="1:34">
      <c r="A3626" s="42" t="s">
        <v>258</v>
      </c>
      <c r="B3626" s="40" t="str">
        <f t="shared" si="568"/>
        <v>No pick yet</v>
      </c>
      <c r="C3626" s="40" t="str">
        <f t="shared" si="567"/>
        <v>13-&gt;</v>
      </c>
      <c r="D3626" s="40" t="str">
        <f t="shared" si="569"/>
        <v xml:space="preserve">No pick yet                                                 </v>
      </c>
      <c r="E3626" s="52">
        <f t="shared" si="570"/>
        <v>0</v>
      </c>
      <c r="M3626" s="18"/>
      <c r="N3626" s="18"/>
      <c r="O3626" s="18"/>
      <c r="P3626" s="18"/>
      <c r="Q3626" s="22"/>
      <c r="R3626" s="21"/>
      <c r="S3626" s="21"/>
      <c r="T3626" s="21"/>
      <c r="AA3626"/>
      <c r="AH3626" t="str">
        <f t="shared" si="571"/>
        <v>k yet</v>
      </c>
    </row>
    <row r="3627" spans="1:34">
      <c r="A3627" s="42" t="s">
        <v>259</v>
      </c>
      <c r="B3627" s="40" t="str">
        <f t="shared" si="568"/>
        <v>No pick yet</v>
      </c>
      <c r="C3627" s="40" t="str">
        <f t="shared" si="567"/>
        <v>14-&gt;</v>
      </c>
      <c r="D3627" s="40" t="str">
        <f t="shared" si="569"/>
        <v xml:space="preserve">No pick yet                                                 </v>
      </c>
      <c r="E3627" s="52">
        <f t="shared" si="570"/>
        <v>0</v>
      </c>
      <c r="M3627" s="18"/>
      <c r="N3627" s="18"/>
      <c r="O3627" s="18"/>
      <c r="P3627" s="18"/>
      <c r="Q3627" s="22"/>
      <c r="R3627" s="21"/>
      <c r="S3627" s="21"/>
      <c r="T3627" s="21"/>
      <c r="AA3627"/>
      <c r="AH3627" t="str">
        <f t="shared" si="571"/>
        <v>k yet</v>
      </c>
    </row>
    <row r="3628" spans="1:34">
      <c r="A3628" s="42" t="s">
        <v>260</v>
      </c>
      <c r="B3628" s="40" t="str">
        <f t="shared" si="568"/>
        <v>No pick yet</v>
      </c>
      <c r="C3628" s="40" t="str">
        <f t="shared" si="567"/>
        <v>15-&gt;</v>
      </c>
      <c r="D3628" s="40" t="str">
        <f t="shared" si="569"/>
        <v xml:space="preserve">No pick yet                                                 </v>
      </c>
      <c r="E3628" s="52">
        <f t="shared" si="570"/>
        <v>0</v>
      </c>
      <c r="M3628" s="18"/>
      <c r="N3628" s="18"/>
      <c r="O3628" s="18"/>
      <c r="P3628" s="18"/>
      <c r="Q3628" s="22"/>
      <c r="R3628" s="21"/>
      <c r="S3628" s="21"/>
      <c r="T3628" s="21"/>
      <c r="AA3628"/>
      <c r="AH3628" t="str">
        <f t="shared" si="571"/>
        <v>k yet</v>
      </c>
    </row>
    <row r="3629" spans="1:34">
      <c r="A3629" s="42" t="s">
        <v>261</v>
      </c>
      <c r="B3629" s="40" t="str">
        <f t="shared" si="568"/>
        <v>No pick yet</v>
      </c>
      <c r="C3629" s="40" t="str">
        <f t="shared" si="567"/>
        <v>16-&gt;</v>
      </c>
      <c r="D3629" s="40" t="str">
        <f t="shared" si="569"/>
        <v xml:space="preserve">No pick yet                                                 </v>
      </c>
      <c r="E3629" s="52">
        <f t="shared" si="570"/>
        <v>0</v>
      </c>
      <c r="M3629" s="18"/>
      <c r="N3629" s="18"/>
      <c r="O3629" s="18"/>
      <c r="P3629" s="18"/>
      <c r="Q3629" s="22"/>
      <c r="R3629" s="21"/>
      <c r="S3629" s="21"/>
      <c r="T3629" s="21"/>
      <c r="AA3629"/>
      <c r="AH3629" t="str">
        <f t="shared" si="571"/>
        <v>k yet</v>
      </c>
    </row>
    <row r="3630" spans="1:34">
      <c r="A3630" s="42" t="s">
        <v>262</v>
      </c>
      <c r="B3630" s="40" t="str">
        <f t="shared" si="568"/>
        <v>No pick yet</v>
      </c>
      <c r="C3630" s="40" t="str">
        <f t="shared" si="567"/>
        <v>17-&gt;</v>
      </c>
      <c r="D3630" s="40" t="str">
        <f t="shared" si="569"/>
        <v xml:space="preserve">No pick yet                                                 </v>
      </c>
      <c r="E3630" s="52">
        <f t="shared" si="570"/>
        <v>0</v>
      </c>
      <c r="K3630" s="22"/>
      <c r="N3630" s="22"/>
      <c r="O3630" s="22"/>
      <c r="P3630" s="22"/>
      <c r="Q3630" s="22"/>
      <c r="R3630" s="22"/>
      <c r="S3630" s="22"/>
      <c r="Z3630" s="53"/>
      <c r="AA3630"/>
      <c r="AH3630" t="str">
        <f t="shared" si="571"/>
        <v>k yet</v>
      </c>
    </row>
    <row r="3631" spans="1:34">
      <c r="A3631" s="42" t="s">
        <v>263</v>
      </c>
      <c r="B3631" s="40" t="str">
        <f t="shared" si="568"/>
        <v>No pick yet</v>
      </c>
      <c r="C3631" s="40" t="str">
        <f t="shared" si="567"/>
        <v>18-&gt;</v>
      </c>
      <c r="D3631" s="40" t="str">
        <f t="shared" si="569"/>
        <v xml:space="preserve">No pick yet                                                 </v>
      </c>
      <c r="E3631" s="52">
        <f t="shared" si="570"/>
        <v>0</v>
      </c>
      <c r="F3631" s="18"/>
      <c r="L3631" s="21"/>
      <c r="N3631" s="22"/>
      <c r="O3631" s="22"/>
      <c r="P3631" s="18"/>
      <c r="Q3631" s="22"/>
      <c r="R3631" s="22"/>
      <c r="S3631" s="22"/>
      <c r="Z3631" s="53"/>
      <c r="AA3631"/>
      <c r="AH3631" t="str">
        <f t="shared" si="571"/>
        <v>k yet</v>
      </c>
    </row>
    <row r="3632" spans="1:34">
      <c r="A3632" s="42" t="s">
        <v>264</v>
      </c>
      <c r="B3632" s="40" t="str">
        <f t="shared" si="568"/>
        <v>No pick yet</v>
      </c>
      <c r="C3632" s="40" t="str">
        <f t="shared" si="567"/>
        <v>19-&gt;</v>
      </c>
      <c r="D3632" s="40" t="str">
        <f t="shared" si="569"/>
        <v xml:space="preserve">No pick yet                                                 </v>
      </c>
      <c r="E3632" s="52">
        <f t="shared" si="570"/>
        <v>0</v>
      </c>
      <c r="F3632" s="18"/>
      <c r="M3632" s="18"/>
      <c r="N3632" s="18"/>
      <c r="O3632" s="18"/>
      <c r="P3632" s="18"/>
      <c r="Q3632" s="22"/>
      <c r="R3632" s="21"/>
      <c r="S3632" s="21"/>
      <c r="T3632" s="21"/>
      <c r="AA3632"/>
      <c r="AH3632" t="str">
        <f t="shared" si="571"/>
        <v>k yet</v>
      </c>
    </row>
    <row r="3633" spans="1:39">
      <c r="A3633" s="42" t="s">
        <v>265</v>
      </c>
      <c r="B3633" s="40" t="str">
        <f t="shared" si="568"/>
        <v>No pick yet</v>
      </c>
      <c r="C3633" s="40" t="str">
        <f t="shared" si="567"/>
        <v>20-&gt;</v>
      </c>
      <c r="D3633" s="40" t="str">
        <f t="shared" si="569"/>
        <v xml:space="preserve">No pick yet                                                 </v>
      </c>
      <c r="E3633" s="52">
        <f t="shared" si="570"/>
        <v>0</v>
      </c>
      <c r="F3633" s="18"/>
      <c r="M3633" s="18"/>
      <c r="N3633" s="18"/>
      <c r="O3633" s="18"/>
      <c r="P3633" s="18"/>
      <c r="Q3633" s="22"/>
      <c r="R3633" s="21"/>
      <c r="S3633" s="21"/>
      <c r="T3633" s="21"/>
      <c r="AA3633"/>
      <c r="AH3633" t="str">
        <f t="shared" si="571"/>
        <v>k yet</v>
      </c>
    </row>
    <row r="3634" spans="1:39">
      <c r="A3634" s="42" t="s">
        <v>266</v>
      </c>
      <c r="B3634" s="40" t="str">
        <f t="shared" si="568"/>
        <v>No pick yet</v>
      </c>
      <c r="C3634" s="40" t="str">
        <f t="shared" si="567"/>
        <v>21-&gt;</v>
      </c>
      <c r="D3634" s="40" t="str">
        <f t="shared" si="569"/>
        <v xml:space="preserve">No pick yet                                                 </v>
      </c>
      <c r="E3634" s="52">
        <f t="shared" si="570"/>
        <v>0</v>
      </c>
      <c r="F3634" s="18"/>
      <c r="M3634" s="18"/>
      <c r="N3634" s="18"/>
      <c r="O3634" s="18"/>
      <c r="P3634" s="18"/>
      <c r="Q3634" s="22"/>
      <c r="R3634" s="21"/>
      <c r="S3634" s="21"/>
      <c r="T3634" s="21"/>
      <c r="AA3634"/>
      <c r="AH3634" t="str">
        <f t="shared" si="571"/>
        <v>k yet</v>
      </c>
    </row>
    <row r="3635" spans="1:39">
      <c r="A3635" s="42" t="s">
        <v>267</v>
      </c>
      <c r="B3635" s="40" t="str">
        <f t="shared" si="568"/>
        <v>No pick yet</v>
      </c>
      <c r="C3635" s="40" t="str">
        <f t="shared" si="567"/>
        <v>22-&gt;</v>
      </c>
      <c r="D3635" s="40" t="str">
        <f t="shared" si="569"/>
        <v xml:space="preserve">No pick yet                                                 </v>
      </c>
      <c r="E3635" s="52">
        <f t="shared" si="570"/>
        <v>0</v>
      </c>
      <c r="F3635" s="18"/>
      <c r="M3635" s="18"/>
      <c r="N3635" s="18"/>
      <c r="O3635" s="18"/>
      <c r="P3635" s="18"/>
      <c r="Q3635" s="22"/>
      <c r="R3635" s="21"/>
      <c r="S3635" s="21"/>
      <c r="T3635" s="21"/>
      <c r="AA3635"/>
      <c r="AH3635" t="str">
        <f t="shared" si="571"/>
        <v>k yet</v>
      </c>
    </row>
    <row r="3636" spans="1:39">
      <c r="A3636" s="42" t="s">
        <v>268</v>
      </c>
      <c r="B3636" s="40" t="str">
        <f t="shared" si="568"/>
        <v>No pick yet</v>
      </c>
      <c r="C3636" s="40" t="str">
        <f t="shared" si="567"/>
        <v>23-&gt;</v>
      </c>
      <c r="D3636" s="40" t="str">
        <f t="shared" si="569"/>
        <v xml:space="preserve">No pick yet                                                 </v>
      </c>
      <c r="E3636" s="52">
        <f t="shared" si="570"/>
        <v>0</v>
      </c>
      <c r="F3636" s="18"/>
      <c r="M3636" s="18"/>
      <c r="N3636" s="18"/>
      <c r="O3636" s="18"/>
      <c r="P3636" s="18"/>
      <c r="Q3636" s="22"/>
      <c r="R3636" s="21"/>
      <c r="S3636" s="21"/>
      <c r="T3636" s="21"/>
      <c r="AA3636"/>
      <c r="AH3636" t="str">
        <f t="shared" si="571"/>
        <v>k yet</v>
      </c>
    </row>
    <row r="3637" spans="1:39">
      <c r="A3637" s="42" t="s">
        <v>269</v>
      </c>
      <c r="B3637" s="40" t="str">
        <f t="shared" si="568"/>
        <v>No pick yet</v>
      </c>
      <c r="C3637" s="40" t="str">
        <f t="shared" si="567"/>
        <v>24-&gt;</v>
      </c>
      <c r="D3637" s="40" t="str">
        <f t="shared" si="569"/>
        <v xml:space="preserve">No pick yet                                                 </v>
      </c>
      <c r="E3637" s="52">
        <f t="shared" si="570"/>
        <v>0</v>
      </c>
      <c r="F3637" s="18"/>
      <c r="M3637" s="18"/>
      <c r="N3637" s="18"/>
      <c r="O3637" s="18"/>
      <c r="P3637" s="18"/>
      <c r="Q3637" s="22"/>
      <c r="R3637" s="21"/>
      <c r="S3637" s="21"/>
      <c r="T3637" s="21"/>
      <c r="AA3637"/>
      <c r="AH3637" t="str">
        <f t="shared" si="571"/>
        <v>k yet</v>
      </c>
    </row>
    <row r="3638" spans="1:39">
      <c r="A3638" s="42" t="s">
        <v>270</v>
      </c>
      <c r="B3638" s="40" t="str">
        <f t="shared" si="568"/>
        <v>No pick yet</v>
      </c>
      <c r="C3638" s="40" t="str">
        <f t="shared" si="567"/>
        <v>25-&gt;</v>
      </c>
      <c r="D3638" s="40" t="str">
        <f t="shared" si="569"/>
        <v xml:space="preserve">No pick yet                                                 </v>
      </c>
      <c r="E3638" s="52">
        <f t="shared" si="570"/>
        <v>0</v>
      </c>
      <c r="F3638" s="18"/>
      <c r="M3638" s="18"/>
      <c r="N3638" s="18"/>
      <c r="O3638" s="18"/>
      <c r="P3638" s="18"/>
      <c r="Q3638" s="22"/>
      <c r="R3638" s="21"/>
      <c r="S3638" s="21"/>
      <c r="T3638" s="21"/>
      <c r="AA3638"/>
      <c r="AH3638" t="str">
        <f t="shared" si="571"/>
        <v>k yet</v>
      </c>
    </row>
    <row r="3639" spans="1:39">
      <c r="A3639" s="42" t="s">
        <v>271</v>
      </c>
      <c r="B3639" s="40" t="str">
        <f t="shared" si="568"/>
        <v>No pick yet</v>
      </c>
      <c r="C3639" s="40" t="str">
        <f t="shared" si="567"/>
        <v>26-&gt;</v>
      </c>
      <c r="D3639" s="40" t="str">
        <f t="shared" si="569"/>
        <v xml:space="preserve">No pick yet                                                 </v>
      </c>
      <c r="E3639" s="52">
        <f t="shared" si="570"/>
        <v>0</v>
      </c>
      <c r="F3639" s="18"/>
      <c r="M3639" s="18"/>
      <c r="N3639" s="18"/>
      <c r="O3639" s="18"/>
      <c r="P3639" s="18"/>
      <c r="Q3639" s="22"/>
      <c r="R3639" s="21"/>
      <c r="S3639" s="21"/>
      <c r="T3639" s="21"/>
      <c r="AA3639"/>
      <c r="AH3639" t="str">
        <f t="shared" si="571"/>
        <v>k yet</v>
      </c>
    </row>
    <row r="3640" spans="1:39">
      <c r="A3640" s="38"/>
      <c r="B3640" s="40"/>
      <c r="C3640" s="40"/>
      <c r="D3640" s="49"/>
      <c r="E3640" s="41" t="s">
        <v>69</v>
      </c>
      <c r="F3640" s="18"/>
      <c r="K3640" s="22" t="s">
        <v>73</v>
      </c>
      <c r="L3640" s="18" t="s">
        <v>74</v>
      </c>
      <c r="M3640" s="22" t="s">
        <v>78</v>
      </c>
      <c r="N3640" s="22" t="s">
        <v>79</v>
      </c>
      <c r="O3640" s="22" t="s">
        <v>80</v>
      </c>
      <c r="P3640" s="22" t="s">
        <v>81</v>
      </c>
      <c r="Q3640" s="22" t="s">
        <v>82</v>
      </c>
      <c r="R3640" s="22" t="s">
        <v>83</v>
      </c>
      <c r="S3640" s="22" t="s">
        <v>84</v>
      </c>
      <c r="T3640" s="18" t="s">
        <v>85</v>
      </c>
      <c r="U3640" s="18" t="s">
        <v>86</v>
      </c>
      <c r="V3640" s="18" t="s">
        <v>87</v>
      </c>
      <c r="W3640" s="18" t="s">
        <v>88</v>
      </c>
      <c r="X3640" s="18" t="s">
        <v>89</v>
      </c>
      <c r="Y3640" s="18" t="s">
        <v>90</v>
      </c>
      <c r="Z3640" s="18" t="s">
        <v>91</v>
      </c>
      <c r="AA3640" s="18" t="s">
        <v>92</v>
      </c>
      <c r="AB3640" s="18" t="s">
        <v>93</v>
      </c>
      <c r="AC3640" s="18" t="s">
        <v>94</v>
      </c>
      <c r="AD3640" s="18" t="s">
        <v>235</v>
      </c>
      <c r="AE3640" s="18" t="s">
        <v>236</v>
      </c>
      <c r="AF3640" s="18" t="s">
        <v>237</v>
      </c>
      <c r="AG3640" s="18" t="s">
        <v>238</v>
      </c>
      <c r="AH3640" s="18" t="s">
        <v>239</v>
      </c>
      <c r="AI3640" s="18" t="s">
        <v>240</v>
      </c>
      <c r="AJ3640" s="18" t="s">
        <v>241</v>
      </c>
      <c r="AK3640" s="18" t="s">
        <v>242</v>
      </c>
      <c r="AL3640" s="18" t="s">
        <v>243</v>
      </c>
      <c r="AM3640" s="50" t="s">
        <v>244</v>
      </c>
    </row>
    <row r="3641" spans="1:39">
      <c r="A3641" s="40" t="s">
        <v>245</v>
      </c>
      <c r="B3641" s="51" t="str">
        <f>D129</f>
        <v/>
      </c>
      <c r="C3641" s="40" t="str">
        <f t="shared" ref="C3641:C3667" si="572">A3641</f>
        <v>#</v>
      </c>
      <c r="D3641" s="40" t="str">
        <f>"   "&amp;B3641&amp;REPT(" ",$AH$70-LEN(B3641)-3)</f>
        <v xml:space="preserve">                                                            </v>
      </c>
      <c r="E3641" s="38" t="str">
        <f>SUM(E3642:E3667)&amp;" pts[/b]"</f>
        <v>0 pts[/b]</v>
      </c>
      <c r="F3641" s="21">
        <f>SUM(E3642:E3667)</f>
        <v>0</v>
      </c>
      <c r="K3641" s="18">
        <f>COUNTIF(E3642:E3667,"&gt;0")</f>
        <v>0</v>
      </c>
      <c r="L3641" s="21">
        <f>AM3641-K3641</f>
        <v>0</v>
      </c>
      <c r="M3641" s="22">
        <f>MAX(E3642:E3667)</f>
        <v>0</v>
      </c>
      <c r="N3641" s="22">
        <f>LARGE(E3642:E3667,2)</f>
        <v>0</v>
      </c>
      <c r="O3641" s="22">
        <f>LARGE(E3642:E3667,3)</f>
        <v>0</v>
      </c>
      <c r="P3641" s="18">
        <f>LARGE(E3642:E3667,4)</f>
        <v>0</v>
      </c>
      <c r="Q3641" s="22">
        <f>LARGE(E3642:E3667,5)</f>
        <v>0</v>
      </c>
      <c r="R3641" s="22">
        <f>LARGE(E3642:E3667,6)</f>
        <v>0</v>
      </c>
      <c r="S3641" s="22">
        <f>LARGE(E3642:E3667,7)</f>
        <v>0</v>
      </c>
      <c r="T3641" s="18">
        <f>LARGE(E3642:E3667,8)</f>
        <v>0</v>
      </c>
      <c r="U3641" s="18">
        <f>LARGE(E3642:E3667,9)</f>
        <v>0</v>
      </c>
      <c r="V3641" s="18">
        <f>LARGE(E3642:E3667,10)</f>
        <v>0</v>
      </c>
      <c r="W3641" s="18">
        <f>LARGE(E3642:E3667,11)</f>
        <v>0</v>
      </c>
      <c r="X3641" s="18">
        <f>LARGE(E3642:E3667,12)</f>
        <v>0</v>
      </c>
      <c r="Y3641" s="18">
        <f>LARGE(E3642:E3667,13)</f>
        <v>0</v>
      </c>
      <c r="Z3641" s="18">
        <f>LARGE(E3642:E3667,14)</f>
        <v>0</v>
      </c>
      <c r="AA3641" s="18">
        <f>LARGE(E3642:E3667,15)</f>
        <v>0</v>
      </c>
      <c r="AB3641" s="18">
        <f>LARGE(E3642:E3667,16)</f>
        <v>0</v>
      </c>
      <c r="AC3641" s="18">
        <f>LARGE(E3642:E3667,17)</f>
        <v>0</v>
      </c>
      <c r="AD3641" s="18">
        <f>LARGE(E3642:E3668,13)</f>
        <v>0</v>
      </c>
      <c r="AE3641" s="18">
        <f>LARGE(E3642:E3667,19)</f>
        <v>0</v>
      </c>
      <c r="AF3641" s="18">
        <f>LARGE(E3642:E3667,20)</f>
        <v>0</v>
      </c>
      <c r="AG3641" s="18">
        <f>LARGE(E3642:E3667,21)</f>
        <v>0</v>
      </c>
      <c r="AH3641" s="18">
        <f>LARGE(E3642:E3667,22)</f>
        <v>0</v>
      </c>
      <c r="AI3641" s="18">
        <f>LARGE(E3642:E3667,23)</f>
        <v>0</v>
      </c>
      <c r="AJ3641" s="18">
        <f>LARGE(E3642:E3667,24)</f>
        <v>0</v>
      </c>
      <c r="AK3641" s="18">
        <f>LARGE(E3642:E3667,25)</f>
        <v>0</v>
      </c>
      <c r="AL3641" s="18">
        <f>LARGE(E3642:E3667,26)</f>
        <v>0</v>
      </c>
      <c r="AM3641" s="50">
        <f>COUNTIF(B3642:B3667,"&lt;&gt;"&amp;AH74)</f>
        <v>0</v>
      </c>
    </row>
    <row r="3642" spans="1:39">
      <c r="A3642" s="42" t="s">
        <v>246</v>
      </c>
      <c r="B3642" s="40" t="str">
        <f t="shared" ref="B3642:B3667" si="573">$AH$74</f>
        <v>No pick yet</v>
      </c>
      <c r="C3642" s="40" t="str">
        <f t="shared" si="572"/>
        <v>01-&gt;</v>
      </c>
      <c r="D3642" s="40" t="str">
        <f t="shared" ref="D3642:D3667" si="574">B3642&amp;REPT(" ",$AH$70-LEN(B3642))</f>
        <v xml:space="preserve">No pick yet                                                 </v>
      </c>
      <c r="E3642" s="52">
        <f t="shared" ref="E3642:E3667" si="575">VLOOKUP(RIGHT(B3642,LEN(B3642)-$AH$66),$H$138:$I$420,2,0)</f>
        <v>0</v>
      </c>
      <c r="F3642" s="18"/>
      <c r="M3642" s="18"/>
      <c r="N3642" s="18"/>
      <c r="O3642" s="18"/>
      <c r="P3642" s="18"/>
      <c r="Q3642" s="22"/>
      <c r="R3642" s="21"/>
      <c r="S3642" s="21"/>
      <c r="T3642" s="21"/>
      <c r="AA3642"/>
      <c r="AH3642" t="str">
        <f t="shared" ref="AH3642:AH3667" si="576">RIGHT(B3642,LEN(B3642)-$AH$66)</f>
        <v>k yet</v>
      </c>
    </row>
    <row r="3643" spans="1:39">
      <c r="A3643" s="42" t="s">
        <v>247</v>
      </c>
      <c r="B3643" s="40" t="str">
        <f t="shared" si="573"/>
        <v>No pick yet</v>
      </c>
      <c r="C3643" s="40" t="str">
        <f t="shared" si="572"/>
        <v>02-&gt;</v>
      </c>
      <c r="D3643" s="40" t="str">
        <f t="shared" si="574"/>
        <v xml:space="preserve">No pick yet                                                 </v>
      </c>
      <c r="E3643" s="52">
        <f t="shared" si="575"/>
        <v>0</v>
      </c>
      <c r="F3643" s="18"/>
      <c r="K3643" s="22"/>
      <c r="N3643" s="22"/>
      <c r="O3643" s="22"/>
      <c r="P3643" s="22"/>
      <c r="Q3643" s="22"/>
      <c r="R3643" s="22"/>
      <c r="S3643" s="22"/>
      <c r="Z3643" s="53"/>
      <c r="AA3643"/>
      <c r="AH3643" t="str">
        <f t="shared" si="576"/>
        <v>k yet</v>
      </c>
    </row>
    <row r="3644" spans="1:39">
      <c r="A3644" s="42" t="s">
        <v>248</v>
      </c>
      <c r="B3644" s="40" t="str">
        <f t="shared" si="573"/>
        <v>No pick yet</v>
      </c>
      <c r="C3644" s="40" t="str">
        <f t="shared" si="572"/>
        <v>03-&gt;</v>
      </c>
      <c r="D3644" s="40" t="str">
        <f t="shared" si="574"/>
        <v xml:space="preserve">No pick yet                                                 </v>
      </c>
      <c r="E3644" s="52">
        <f t="shared" si="575"/>
        <v>0</v>
      </c>
      <c r="F3644" s="18"/>
      <c r="L3644" s="21"/>
      <c r="N3644" s="22"/>
      <c r="O3644" s="22"/>
      <c r="P3644" s="18"/>
      <c r="Q3644" s="22"/>
      <c r="R3644" s="22"/>
      <c r="S3644" s="22"/>
      <c r="Z3644" s="53"/>
      <c r="AA3644"/>
      <c r="AH3644" t="str">
        <f t="shared" si="576"/>
        <v>k yet</v>
      </c>
    </row>
    <row r="3645" spans="1:39">
      <c r="A3645" s="42" t="s">
        <v>249</v>
      </c>
      <c r="B3645" s="40" t="str">
        <f t="shared" si="573"/>
        <v>No pick yet</v>
      </c>
      <c r="C3645" s="40" t="str">
        <f t="shared" si="572"/>
        <v>04-&gt;</v>
      </c>
      <c r="D3645" s="40" t="str">
        <f t="shared" si="574"/>
        <v xml:space="preserve">No pick yet                                                 </v>
      </c>
      <c r="E3645" s="52">
        <f t="shared" si="575"/>
        <v>0</v>
      </c>
      <c r="F3645" s="18"/>
      <c r="M3645" s="18"/>
      <c r="N3645" s="18"/>
      <c r="O3645" s="18"/>
      <c r="P3645" s="18"/>
      <c r="Q3645" s="22"/>
      <c r="R3645" s="21"/>
      <c r="S3645" s="21"/>
      <c r="T3645" s="21"/>
      <c r="AA3645"/>
      <c r="AH3645" t="str">
        <f t="shared" si="576"/>
        <v>k yet</v>
      </c>
    </row>
    <row r="3646" spans="1:39">
      <c r="A3646" s="42" t="s">
        <v>250</v>
      </c>
      <c r="B3646" s="40" t="str">
        <f t="shared" si="573"/>
        <v>No pick yet</v>
      </c>
      <c r="C3646" s="40" t="str">
        <f t="shared" si="572"/>
        <v>05-&gt;</v>
      </c>
      <c r="D3646" s="40" t="str">
        <f t="shared" si="574"/>
        <v xml:space="preserve">No pick yet                                                 </v>
      </c>
      <c r="E3646" s="52">
        <f t="shared" si="575"/>
        <v>0</v>
      </c>
      <c r="F3646" s="18"/>
      <c r="M3646" s="18"/>
      <c r="N3646" s="18"/>
      <c r="O3646" s="18"/>
      <c r="P3646" s="18"/>
      <c r="Q3646" s="22"/>
      <c r="R3646" s="21"/>
      <c r="S3646" s="21"/>
      <c r="T3646" s="21"/>
      <c r="AA3646"/>
      <c r="AH3646" t="str">
        <f t="shared" si="576"/>
        <v>k yet</v>
      </c>
    </row>
    <row r="3647" spans="1:39">
      <c r="A3647" s="42" t="s">
        <v>251</v>
      </c>
      <c r="B3647" s="40" t="str">
        <f t="shared" si="573"/>
        <v>No pick yet</v>
      </c>
      <c r="C3647" s="40" t="str">
        <f t="shared" si="572"/>
        <v>06-&gt;</v>
      </c>
      <c r="D3647" s="40" t="str">
        <f t="shared" si="574"/>
        <v xml:space="preserve">No pick yet                                                 </v>
      </c>
      <c r="E3647" s="52">
        <f t="shared" si="575"/>
        <v>0</v>
      </c>
      <c r="F3647" s="18"/>
      <c r="M3647" s="18"/>
      <c r="N3647" s="18"/>
      <c r="O3647" s="18"/>
      <c r="P3647" s="18"/>
      <c r="Q3647" s="22"/>
      <c r="R3647" s="21"/>
      <c r="S3647" s="21"/>
      <c r="T3647" s="21"/>
      <c r="AA3647"/>
      <c r="AH3647" t="str">
        <f t="shared" si="576"/>
        <v>k yet</v>
      </c>
    </row>
    <row r="3648" spans="1:39">
      <c r="A3648" s="42" t="s">
        <v>252</v>
      </c>
      <c r="B3648" s="40" t="str">
        <f t="shared" si="573"/>
        <v>No pick yet</v>
      </c>
      <c r="C3648" s="40" t="str">
        <f t="shared" si="572"/>
        <v>07-&gt;</v>
      </c>
      <c r="D3648" s="40" t="str">
        <f t="shared" si="574"/>
        <v xml:space="preserve">No pick yet                                                 </v>
      </c>
      <c r="E3648" s="52">
        <f t="shared" si="575"/>
        <v>0</v>
      </c>
      <c r="F3648" s="18"/>
      <c r="M3648" s="18"/>
      <c r="N3648" s="18"/>
      <c r="O3648" s="18"/>
      <c r="P3648" s="18"/>
      <c r="Q3648" s="22"/>
      <c r="R3648" s="21"/>
      <c r="S3648" s="21"/>
      <c r="T3648" s="21"/>
      <c r="AA3648"/>
      <c r="AH3648" t="str">
        <f t="shared" si="576"/>
        <v>k yet</v>
      </c>
    </row>
    <row r="3649" spans="1:34">
      <c r="A3649" s="42" t="s">
        <v>253</v>
      </c>
      <c r="B3649" s="40" t="str">
        <f t="shared" si="573"/>
        <v>No pick yet</v>
      </c>
      <c r="C3649" s="40" t="str">
        <f t="shared" si="572"/>
        <v>08-&gt;</v>
      </c>
      <c r="D3649" s="40" t="str">
        <f t="shared" si="574"/>
        <v xml:space="preserve">No pick yet                                                 </v>
      </c>
      <c r="E3649" s="52">
        <f t="shared" si="575"/>
        <v>0</v>
      </c>
      <c r="F3649" s="18"/>
      <c r="M3649" s="18"/>
      <c r="N3649" s="18"/>
      <c r="O3649" s="18"/>
      <c r="P3649" s="18"/>
      <c r="Q3649" s="22"/>
      <c r="R3649" s="21"/>
      <c r="S3649" s="21"/>
      <c r="T3649" s="21"/>
      <c r="AA3649"/>
      <c r="AH3649" t="str">
        <f t="shared" si="576"/>
        <v>k yet</v>
      </c>
    </row>
    <row r="3650" spans="1:34">
      <c r="A3650" s="42" t="s">
        <v>254</v>
      </c>
      <c r="B3650" s="40" t="str">
        <f t="shared" si="573"/>
        <v>No pick yet</v>
      </c>
      <c r="C3650" s="40" t="str">
        <f t="shared" si="572"/>
        <v>09-&gt;</v>
      </c>
      <c r="D3650" s="40" t="str">
        <f t="shared" si="574"/>
        <v xml:space="preserve">No pick yet                                                 </v>
      </c>
      <c r="E3650" s="52">
        <f t="shared" si="575"/>
        <v>0</v>
      </c>
      <c r="F3650" s="18"/>
      <c r="M3650" s="18"/>
      <c r="N3650" s="18"/>
      <c r="O3650" s="18"/>
      <c r="P3650" s="18"/>
      <c r="Q3650" s="22"/>
      <c r="R3650" s="21"/>
      <c r="S3650" s="21"/>
      <c r="T3650" s="21"/>
      <c r="AA3650"/>
      <c r="AH3650" t="str">
        <f t="shared" si="576"/>
        <v>k yet</v>
      </c>
    </row>
    <row r="3651" spans="1:34">
      <c r="A3651" s="42" t="s">
        <v>255</v>
      </c>
      <c r="B3651" s="40" t="str">
        <f t="shared" si="573"/>
        <v>No pick yet</v>
      </c>
      <c r="C3651" s="40" t="str">
        <f t="shared" si="572"/>
        <v>10-&gt;</v>
      </c>
      <c r="D3651" s="40" t="str">
        <f t="shared" si="574"/>
        <v xml:space="preserve">No pick yet                                                 </v>
      </c>
      <c r="E3651" s="52">
        <f t="shared" si="575"/>
        <v>0</v>
      </c>
      <c r="F3651" s="22"/>
      <c r="M3651" s="18"/>
      <c r="N3651" s="18"/>
      <c r="O3651" s="18"/>
      <c r="P3651" s="18"/>
      <c r="Q3651" s="22"/>
      <c r="R3651" s="21"/>
      <c r="S3651" s="21"/>
      <c r="T3651" s="21"/>
      <c r="AA3651"/>
      <c r="AH3651" t="str">
        <f t="shared" si="576"/>
        <v>k yet</v>
      </c>
    </row>
    <row r="3652" spans="1:34">
      <c r="A3652" s="42" t="s">
        <v>256</v>
      </c>
      <c r="B3652" s="40" t="str">
        <f t="shared" si="573"/>
        <v>No pick yet</v>
      </c>
      <c r="C3652" s="40" t="str">
        <f t="shared" si="572"/>
        <v>11-&gt;</v>
      </c>
      <c r="D3652" s="40" t="str">
        <f t="shared" si="574"/>
        <v xml:space="preserve">No pick yet                                                 </v>
      </c>
      <c r="E3652" s="52">
        <f t="shared" si="575"/>
        <v>0</v>
      </c>
      <c r="M3652" s="18"/>
      <c r="N3652" s="18"/>
      <c r="O3652" s="18"/>
      <c r="P3652" s="18"/>
      <c r="Q3652" s="22"/>
      <c r="R3652" s="21"/>
      <c r="S3652" s="21"/>
      <c r="T3652" s="21"/>
      <c r="AA3652"/>
      <c r="AH3652" t="str">
        <f t="shared" si="576"/>
        <v>k yet</v>
      </c>
    </row>
    <row r="3653" spans="1:34">
      <c r="A3653" s="42" t="s">
        <v>257</v>
      </c>
      <c r="B3653" s="40" t="str">
        <f t="shared" si="573"/>
        <v>No pick yet</v>
      </c>
      <c r="C3653" s="40" t="str">
        <f t="shared" si="572"/>
        <v>12-&gt;</v>
      </c>
      <c r="D3653" s="40" t="str">
        <f t="shared" si="574"/>
        <v xml:space="preserve">No pick yet                                                 </v>
      </c>
      <c r="E3653" s="52">
        <f t="shared" si="575"/>
        <v>0</v>
      </c>
      <c r="M3653" s="18"/>
      <c r="N3653" s="18"/>
      <c r="O3653" s="18"/>
      <c r="P3653" s="18"/>
      <c r="Q3653" s="22"/>
      <c r="R3653" s="21"/>
      <c r="S3653" s="21"/>
      <c r="T3653" s="21"/>
      <c r="AA3653"/>
      <c r="AH3653" t="str">
        <f t="shared" si="576"/>
        <v>k yet</v>
      </c>
    </row>
    <row r="3654" spans="1:34">
      <c r="A3654" s="42" t="s">
        <v>258</v>
      </c>
      <c r="B3654" s="40" t="str">
        <f t="shared" si="573"/>
        <v>No pick yet</v>
      </c>
      <c r="C3654" s="40" t="str">
        <f t="shared" si="572"/>
        <v>13-&gt;</v>
      </c>
      <c r="D3654" s="40" t="str">
        <f t="shared" si="574"/>
        <v xml:space="preserve">No pick yet                                                 </v>
      </c>
      <c r="E3654" s="52">
        <f t="shared" si="575"/>
        <v>0</v>
      </c>
      <c r="M3654" s="18"/>
      <c r="N3654" s="18"/>
      <c r="O3654" s="18"/>
      <c r="P3654" s="18"/>
      <c r="Q3654" s="22"/>
      <c r="R3654" s="21"/>
      <c r="S3654" s="21"/>
      <c r="T3654" s="21"/>
      <c r="AA3654"/>
      <c r="AH3654" t="str">
        <f t="shared" si="576"/>
        <v>k yet</v>
      </c>
    </row>
    <row r="3655" spans="1:34">
      <c r="A3655" s="42" t="s">
        <v>259</v>
      </c>
      <c r="B3655" s="40" t="str">
        <f t="shared" si="573"/>
        <v>No pick yet</v>
      </c>
      <c r="C3655" s="40" t="str">
        <f t="shared" si="572"/>
        <v>14-&gt;</v>
      </c>
      <c r="D3655" s="40" t="str">
        <f t="shared" si="574"/>
        <v xml:space="preserve">No pick yet                                                 </v>
      </c>
      <c r="E3655" s="52">
        <f t="shared" si="575"/>
        <v>0</v>
      </c>
      <c r="M3655" s="18"/>
      <c r="N3655" s="18"/>
      <c r="O3655" s="18"/>
      <c r="P3655" s="18"/>
      <c r="Q3655" s="22"/>
      <c r="R3655" s="21"/>
      <c r="S3655" s="21"/>
      <c r="T3655" s="21"/>
      <c r="AA3655"/>
      <c r="AH3655" t="str">
        <f t="shared" si="576"/>
        <v>k yet</v>
      </c>
    </row>
    <row r="3656" spans="1:34">
      <c r="A3656" s="42" t="s">
        <v>260</v>
      </c>
      <c r="B3656" s="40" t="str">
        <f t="shared" si="573"/>
        <v>No pick yet</v>
      </c>
      <c r="C3656" s="40" t="str">
        <f t="shared" si="572"/>
        <v>15-&gt;</v>
      </c>
      <c r="D3656" s="40" t="str">
        <f t="shared" si="574"/>
        <v xml:space="preserve">No pick yet                                                 </v>
      </c>
      <c r="E3656" s="52">
        <f t="shared" si="575"/>
        <v>0</v>
      </c>
      <c r="M3656" s="18"/>
      <c r="N3656" s="18"/>
      <c r="O3656" s="18"/>
      <c r="P3656" s="18"/>
      <c r="Q3656" s="22"/>
      <c r="R3656" s="21"/>
      <c r="S3656" s="21"/>
      <c r="T3656" s="21"/>
      <c r="AA3656"/>
      <c r="AH3656" t="str">
        <f t="shared" si="576"/>
        <v>k yet</v>
      </c>
    </row>
    <row r="3657" spans="1:34">
      <c r="A3657" s="42" t="s">
        <v>261</v>
      </c>
      <c r="B3657" s="40" t="str">
        <f t="shared" si="573"/>
        <v>No pick yet</v>
      </c>
      <c r="C3657" s="40" t="str">
        <f t="shared" si="572"/>
        <v>16-&gt;</v>
      </c>
      <c r="D3657" s="40" t="str">
        <f t="shared" si="574"/>
        <v xml:space="preserve">No pick yet                                                 </v>
      </c>
      <c r="E3657" s="52">
        <f t="shared" si="575"/>
        <v>0</v>
      </c>
      <c r="M3657" s="18"/>
      <c r="N3657" s="18"/>
      <c r="O3657" s="18"/>
      <c r="P3657" s="18"/>
      <c r="Q3657" s="22"/>
      <c r="R3657" s="21"/>
      <c r="S3657" s="21"/>
      <c r="T3657" s="21"/>
      <c r="AA3657"/>
      <c r="AH3657" t="str">
        <f t="shared" si="576"/>
        <v>k yet</v>
      </c>
    </row>
    <row r="3658" spans="1:34">
      <c r="A3658" s="42" t="s">
        <v>262</v>
      </c>
      <c r="B3658" s="40" t="str">
        <f t="shared" si="573"/>
        <v>No pick yet</v>
      </c>
      <c r="C3658" s="40" t="str">
        <f t="shared" si="572"/>
        <v>17-&gt;</v>
      </c>
      <c r="D3658" s="40" t="str">
        <f t="shared" si="574"/>
        <v xml:space="preserve">No pick yet                                                 </v>
      </c>
      <c r="E3658" s="52">
        <f t="shared" si="575"/>
        <v>0</v>
      </c>
      <c r="K3658" s="22"/>
      <c r="N3658" s="22"/>
      <c r="O3658" s="22"/>
      <c r="P3658" s="22"/>
      <c r="Q3658" s="22"/>
      <c r="R3658" s="22"/>
      <c r="S3658" s="22"/>
      <c r="Z3658" s="53"/>
      <c r="AA3658"/>
      <c r="AH3658" t="str">
        <f t="shared" si="576"/>
        <v>k yet</v>
      </c>
    </row>
    <row r="3659" spans="1:34">
      <c r="A3659" s="42" t="s">
        <v>263</v>
      </c>
      <c r="B3659" s="40" t="str">
        <f t="shared" si="573"/>
        <v>No pick yet</v>
      </c>
      <c r="C3659" s="40" t="str">
        <f t="shared" si="572"/>
        <v>18-&gt;</v>
      </c>
      <c r="D3659" s="40" t="str">
        <f t="shared" si="574"/>
        <v xml:space="preserve">No pick yet                                                 </v>
      </c>
      <c r="E3659" s="52">
        <f t="shared" si="575"/>
        <v>0</v>
      </c>
      <c r="F3659" s="18"/>
      <c r="L3659" s="21"/>
      <c r="N3659" s="22"/>
      <c r="O3659" s="22"/>
      <c r="P3659" s="18"/>
      <c r="Q3659" s="22"/>
      <c r="R3659" s="22"/>
      <c r="S3659" s="22"/>
      <c r="Z3659" s="53"/>
      <c r="AA3659"/>
      <c r="AH3659" t="str">
        <f t="shared" si="576"/>
        <v>k yet</v>
      </c>
    </row>
    <row r="3660" spans="1:34">
      <c r="A3660" s="42" t="s">
        <v>264</v>
      </c>
      <c r="B3660" s="40" t="str">
        <f t="shared" si="573"/>
        <v>No pick yet</v>
      </c>
      <c r="C3660" s="40" t="str">
        <f t="shared" si="572"/>
        <v>19-&gt;</v>
      </c>
      <c r="D3660" s="40" t="str">
        <f t="shared" si="574"/>
        <v xml:space="preserve">No pick yet                                                 </v>
      </c>
      <c r="E3660" s="52">
        <f t="shared" si="575"/>
        <v>0</v>
      </c>
      <c r="F3660" s="18"/>
      <c r="M3660" s="18"/>
      <c r="N3660" s="18"/>
      <c r="O3660" s="18"/>
      <c r="P3660" s="18"/>
      <c r="Q3660" s="22"/>
      <c r="R3660" s="21"/>
      <c r="S3660" s="21"/>
      <c r="T3660" s="21"/>
      <c r="AA3660"/>
      <c r="AH3660" t="str">
        <f t="shared" si="576"/>
        <v>k yet</v>
      </c>
    </row>
    <row r="3661" spans="1:34">
      <c r="A3661" s="42" t="s">
        <v>265</v>
      </c>
      <c r="B3661" s="40" t="str">
        <f t="shared" si="573"/>
        <v>No pick yet</v>
      </c>
      <c r="C3661" s="40" t="str">
        <f t="shared" si="572"/>
        <v>20-&gt;</v>
      </c>
      <c r="D3661" s="40" t="str">
        <f t="shared" si="574"/>
        <v xml:space="preserve">No pick yet                                                 </v>
      </c>
      <c r="E3661" s="52">
        <f t="shared" si="575"/>
        <v>0</v>
      </c>
      <c r="F3661" s="18"/>
      <c r="M3661" s="18"/>
      <c r="N3661" s="18"/>
      <c r="O3661" s="18"/>
      <c r="P3661" s="18"/>
      <c r="Q3661" s="22"/>
      <c r="R3661" s="21"/>
      <c r="S3661" s="21"/>
      <c r="T3661" s="21"/>
      <c r="AA3661"/>
      <c r="AH3661" t="str">
        <f t="shared" si="576"/>
        <v>k yet</v>
      </c>
    </row>
    <row r="3662" spans="1:34">
      <c r="A3662" s="42" t="s">
        <v>266</v>
      </c>
      <c r="B3662" s="40" t="str">
        <f t="shared" si="573"/>
        <v>No pick yet</v>
      </c>
      <c r="C3662" s="40" t="str">
        <f t="shared" si="572"/>
        <v>21-&gt;</v>
      </c>
      <c r="D3662" s="40" t="str">
        <f t="shared" si="574"/>
        <v xml:space="preserve">No pick yet                                                 </v>
      </c>
      <c r="E3662" s="52">
        <f t="shared" si="575"/>
        <v>0</v>
      </c>
      <c r="F3662" s="18"/>
      <c r="M3662" s="18"/>
      <c r="N3662" s="18"/>
      <c r="O3662" s="18"/>
      <c r="P3662" s="18"/>
      <c r="Q3662" s="22"/>
      <c r="R3662" s="21"/>
      <c r="S3662" s="21"/>
      <c r="T3662" s="21"/>
      <c r="AA3662"/>
      <c r="AH3662" t="str">
        <f t="shared" si="576"/>
        <v>k yet</v>
      </c>
    </row>
    <row r="3663" spans="1:34">
      <c r="A3663" s="42" t="s">
        <v>267</v>
      </c>
      <c r="B3663" s="40" t="str">
        <f t="shared" si="573"/>
        <v>No pick yet</v>
      </c>
      <c r="C3663" s="40" t="str">
        <f t="shared" si="572"/>
        <v>22-&gt;</v>
      </c>
      <c r="D3663" s="40" t="str">
        <f t="shared" si="574"/>
        <v xml:space="preserve">No pick yet                                                 </v>
      </c>
      <c r="E3663" s="52">
        <f t="shared" si="575"/>
        <v>0</v>
      </c>
      <c r="F3663" s="18"/>
      <c r="M3663" s="18"/>
      <c r="N3663" s="18"/>
      <c r="O3663" s="18"/>
      <c r="P3663" s="18"/>
      <c r="Q3663" s="22"/>
      <c r="R3663" s="21"/>
      <c r="S3663" s="21"/>
      <c r="T3663" s="21"/>
      <c r="AA3663"/>
      <c r="AH3663" t="str">
        <f t="shared" si="576"/>
        <v>k yet</v>
      </c>
    </row>
    <row r="3664" spans="1:34">
      <c r="A3664" s="42" t="s">
        <v>268</v>
      </c>
      <c r="B3664" s="40" t="str">
        <f t="shared" si="573"/>
        <v>No pick yet</v>
      </c>
      <c r="C3664" s="40" t="str">
        <f t="shared" si="572"/>
        <v>23-&gt;</v>
      </c>
      <c r="D3664" s="40" t="str">
        <f t="shared" si="574"/>
        <v xml:space="preserve">No pick yet                                                 </v>
      </c>
      <c r="E3664" s="52">
        <f t="shared" si="575"/>
        <v>0</v>
      </c>
      <c r="F3664" s="18"/>
      <c r="M3664" s="18"/>
      <c r="N3664" s="18"/>
      <c r="O3664" s="18"/>
      <c r="P3664" s="18"/>
      <c r="Q3664" s="22"/>
      <c r="R3664" s="21"/>
      <c r="S3664" s="21"/>
      <c r="T3664" s="21"/>
      <c r="AA3664"/>
      <c r="AH3664" t="str">
        <f t="shared" si="576"/>
        <v>k yet</v>
      </c>
    </row>
    <row r="3665" spans="1:39">
      <c r="A3665" s="42" t="s">
        <v>269</v>
      </c>
      <c r="B3665" s="40" t="str">
        <f t="shared" si="573"/>
        <v>No pick yet</v>
      </c>
      <c r="C3665" s="40" t="str">
        <f t="shared" si="572"/>
        <v>24-&gt;</v>
      </c>
      <c r="D3665" s="40" t="str">
        <f t="shared" si="574"/>
        <v xml:space="preserve">No pick yet                                                 </v>
      </c>
      <c r="E3665" s="52">
        <f t="shared" si="575"/>
        <v>0</v>
      </c>
      <c r="F3665" s="18"/>
      <c r="M3665" s="18"/>
      <c r="N3665" s="18"/>
      <c r="O3665" s="18"/>
      <c r="P3665" s="18"/>
      <c r="Q3665" s="22"/>
      <c r="R3665" s="21"/>
      <c r="S3665" s="21"/>
      <c r="T3665" s="21"/>
      <c r="AA3665"/>
      <c r="AH3665" t="str">
        <f t="shared" si="576"/>
        <v>k yet</v>
      </c>
    </row>
    <row r="3666" spans="1:39">
      <c r="A3666" s="42" t="s">
        <v>270</v>
      </c>
      <c r="B3666" s="40" t="str">
        <f t="shared" si="573"/>
        <v>No pick yet</v>
      </c>
      <c r="C3666" s="40" t="str">
        <f t="shared" si="572"/>
        <v>25-&gt;</v>
      </c>
      <c r="D3666" s="40" t="str">
        <f t="shared" si="574"/>
        <v xml:space="preserve">No pick yet                                                 </v>
      </c>
      <c r="E3666" s="52">
        <f t="shared" si="575"/>
        <v>0</v>
      </c>
      <c r="F3666" s="18"/>
      <c r="M3666" s="18"/>
      <c r="N3666" s="18"/>
      <c r="O3666" s="18"/>
      <c r="P3666" s="18"/>
      <c r="Q3666" s="22"/>
      <c r="R3666" s="21"/>
      <c r="S3666" s="21"/>
      <c r="T3666" s="21"/>
      <c r="AA3666"/>
      <c r="AH3666" t="str">
        <f t="shared" si="576"/>
        <v>k yet</v>
      </c>
    </row>
    <row r="3667" spans="1:39">
      <c r="A3667" s="42" t="s">
        <v>271</v>
      </c>
      <c r="B3667" s="40" t="str">
        <f t="shared" si="573"/>
        <v>No pick yet</v>
      </c>
      <c r="C3667" s="40" t="str">
        <f t="shared" si="572"/>
        <v>26-&gt;</v>
      </c>
      <c r="D3667" s="40" t="str">
        <f t="shared" si="574"/>
        <v xml:space="preserve">No pick yet                                                 </v>
      </c>
      <c r="E3667" s="52">
        <f t="shared" si="575"/>
        <v>0</v>
      </c>
      <c r="F3667" s="18"/>
      <c r="M3667" s="18"/>
      <c r="N3667" s="18"/>
      <c r="O3667" s="18"/>
      <c r="P3667" s="18"/>
      <c r="Q3667" s="22"/>
      <c r="R3667" s="21"/>
      <c r="S3667" s="21"/>
      <c r="T3667" s="21"/>
      <c r="AA3667"/>
      <c r="AH3667" t="str">
        <f t="shared" si="576"/>
        <v>k yet</v>
      </c>
    </row>
    <row r="3668" spans="1:39">
      <c r="A3668" s="38"/>
      <c r="B3668" s="40"/>
      <c r="C3668" s="40"/>
      <c r="D3668" s="49"/>
      <c r="E3668" s="41" t="s">
        <v>69</v>
      </c>
      <c r="F3668" s="18"/>
      <c r="K3668" s="22" t="s">
        <v>73</v>
      </c>
      <c r="L3668" s="18" t="s">
        <v>74</v>
      </c>
      <c r="M3668" s="22" t="s">
        <v>78</v>
      </c>
      <c r="N3668" s="22" t="s">
        <v>79</v>
      </c>
      <c r="O3668" s="22" t="s">
        <v>80</v>
      </c>
      <c r="P3668" s="22" t="s">
        <v>81</v>
      </c>
      <c r="Q3668" s="22" t="s">
        <v>82</v>
      </c>
      <c r="R3668" s="22" t="s">
        <v>83</v>
      </c>
      <c r="S3668" s="22" t="s">
        <v>84</v>
      </c>
      <c r="T3668" s="18" t="s">
        <v>85</v>
      </c>
      <c r="U3668" s="18" t="s">
        <v>86</v>
      </c>
      <c r="V3668" s="18" t="s">
        <v>87</v>
      </c>
      <c r="W3668" s="18" t="s">
        <v>88</v>
      </c>
      <c r="X3668" s="18" t="s">
        <v>89</v>
      </c>
      <c r="Y3668" s="18" t="s">
        <v>90</v>
      </c>
      <c r="Z3668" s="18" t="s">
        <v>91</v>
      </c>
      <c r="AA3668" s="18" t="s">
        <v>92</v>
      </c>
      <c r="AB3668" s="18" t="s">
        <v>93</v>
      </c>
      <c r="AC3668" s="18" t="s">
        <v>94</v>
      </c>
      <c r="AD3668" s="18" t="s">
        <v>235</v>
      </c>
      <c r="AE3668" s="18" t="s">
        <v>236</v>
      </c>
      <c r="AF3668" s="18" t="s">
        <v>237</v>
      </c>
      <c r="AG3668" s="18" t="s">
        <v>238</v>
      </c>
      <c r="AH3668" s="18" t="s">
        <v>239</v>
      </c>
      <c r="AI3668" s="18" t="s">
        <v>240</v>
      </c>
      <c r="AJ3668" s="18" t="s">
        <v>241</v>
      </c>
      <c r="AK3668" s="18" t="s">
        <v>242</v>
      </c>
      <c r="AL3668" s="18" t="s">
        <v>243</v>
      </c>
      <c r="AM3668" s="50" t="s">
        <v>244</v>
      </c>
    </row>
    <row r="3669" spans="1:39">
      <c r="A3669" s="40" t="s">
        <v>245</v>
      </c>
      <c r="B3669" s="51" t="str">
        <f>D130</f>
        <v/>
      </c>
      <c r="C3669" s="40" t="str">
        <f t="shared" ref="C3669:C3695" si="577">A3669</f>
        <v>#</v>
      </c>
      <c r="D3669" s="40" t="str">
        <f>"   "&amp;B3669&amp;REPT(" ",$AH$70-LEN(B3669)-3)</f>
        <v xml:space="preserve">                                                            </v>
      </c>
      <c r="E3669" s="38" t="str">
        <f>SUM(E3670:E3695)&amp;" pts[/b]"</f>
        <v>0 pts[/b]</v>
      </c>
      <c r="F3669" s="21">
        <f>SUM(E3670:E3695)</f>
        <v>0</v>
      </c>
      <c r="K3669" s="18">
        <f>COUNTIF(E3670:E3695,"&gt;0")</f>
        <v>0</v>
      </c>
      <c r="L3669" s="21">
        <f>AM3669-K3669</f>
        <v>0</v>
      </c>
      <c r="M3669" s="22">
        <f>MAX(E3670:E3695)</f>
        <v>0</v>
      </c>
      <c r="N3669" s="22">
        <f>LARGE(E3670:E3695,2)</f>
        <v>0</v>
      </c>
      <c r="O3669" s="22">
        <f>LARGE(E3670:E3695,3)</f>
        <v>0</v>
      </c>
      <c r="P3669" s="18">
        <f>LARGE(E3670:E3695,4)</f>
        <v>0</v>
      </c>
      <c r="Q3669" s="22">
        <f>LARGE(E3670:E3695,5)</f>
        <v>0</v>
      </c>
      <c r="R3669" s="22">
        <f>LARGE(E3670:E3695,6)</f>
        <v>0</v>
      </c>
      <c r="S3669" s="22">
        <f>LARGE(E3670:E3695,7)</f>
        <v>0</v>
      </c>
      <c r="T3669" s="18">
        <f>LARGE(E3670:E3695,8)</f>
        <v>0</v>
      </c>
      <c r="U3669" s="18">
        <f>LARGE(E3670:E3695,9)</f>
        <v>0</v>
      </c>
      <c r="V3669" s="18">
        <f>LARGE(E3670:E3695,10)</f>
        <v>0</v>
      </c>
      <c r="W3669" s="18">
        <f>LARGE(E3670:E3695,11)</f>
        <v>0</v>
      </c>
      <c r="X3669" s="18">
        <f>LARGE(E3670:E3695,12)</f>
        <v>0</v>
      </c>
      <c r="Y3669" s="18">
        <f>LARGE(E3670:E3695,13)</f>
        <v>0</v>
      </c>
      <c r="Z3669" s="18">
        <f>LARGE(E3670:E3695,14)</f>
        <v>0</v>
      </c>
      <c r="AA3669" s="18">
        <f>LARGE(E3670:E3695,15)</f>
        <v>0</v>
      </c>
      <c r="AB3669" s="18">
        <f>LARGE(E3670:E3695,16)</f>
        <v>0</v>
      </c>
      <c r="AC3669" s="18">
        <f>LARGE(E3670:E3695,17)</f>
        <v>0</v>
      </c>
      <c r="AD3669" s="18">
        <f>LARGE(E3670:E3696,13)</f>
        <v>0</v>
      </c>
      <c r="AE3669" s="18">
        <f>LARGE(E3670:E3695,19)</f>
        <v>0</v>
      </c>
      <c r="AF3669" s="18">
        <f>LARGE(E3670:E3695,20)</f>
        <v>0</v>
      </c>
      <c r="AG3669" s="18">
        <f>LARGE(E3670:E3695,21)</f>
        <v>0</v>
      </c>
      <c r="AH3669" s="18">
        <f>LARGE(E3670:E3695,22)</f>
        <v>0</v>
      </c>
      <c r="AI3669" s="18">
        <f>LARGE(E3670:E3695,23)</f>
        <v>0</v>
      </c>
      <c r="AJ3669" s="18">
        <f>LARGE(E3670:E3695,24)</f>
        <v>0</v>
      </c>
      <c r="AK3669" s="18">
        <f>LARGE(E3670:E3695,25)</f>
        <v>0</v>
      </c>
      <c r="AL3669" s="18">
        <f>LARGE(E3670:E3695,26)</f>
        <v>0</v>
      </c>
      <c r="AM3669" s="50">
        <f>COUNTIF(B3670:B3695,"&lt;&gt;"&amp;AH74)</f>
        <v>0</v>
      </c>
    </row>
    <row r="3670" spans="1:39">
      <c r="A3670" s="42" t="s">
        <v>246</v>
      </c>
      <c r="B3670" s="40" t="str">
        <f t="shared" ref="B3670:B3695" si="578">$AH$74</f>
        <v>No pick yet</v>
      </c>
      <c r="C3670" s="40" t="str">
        <f t="shared" si="577"/>
        <v>01-&gt;</v>
      </c>
      <c r="D3670" s="40" t="str">
        <f t="shared" ref="D3670:D3695" si="579">B3670&amp;REPT(" ",$AH$70-LEN(B3670))</f>
        <v xml:space="preserve">No pick yet                                                 </v>
      </c>
      <c r="E3670" s="52">
        <f t="shared" ref="E3670:E3695" si="580">VLOOKUP(RIGHT(B3670,LEN(B3670)-$AH$66),$H$138:$I$420,2,0)</f>
        <v>0</v>
      </c>
      <c r="F3670" s="18"/>
      <c r="M3670" s="18"/>
      <c r="N3670" s="18"/>
      <c r="O3670" s="18"/>
      <c r="P3670" s="18"/>
      <c r="Q3670" s="22"/>
      <c r="R3670" s="21"/>
      <c r="S3670" s="21"/>
      <c r="T3670" s="21"/>
      <c r="AA3670"/>
      <c r="AH3670" t="str">
        <f t="shared" ref="AH3670:AH3695" si="581">RIGHT(B3670,LEN(B3670)-$AH$66)</f>
        <v>k yet</v>
      </c>
    </row>
    <row r="3671" spans="1:39">
      <c r="A3671" s="42" t="s">
        <v>247</v>
      </c>
      <c r="B3671" s="40" t="str">
        <f t="shared" si="578"/>
        <v>No pick yet</v>
      </c>
      <c r="C3671" s="40" t="str">
        <f t="shared" si="577"/>
        <v>02-&gt;</v>
      </c>
      <c r="D3671" s="40" t="str">
        <f t="shared" si="579"/>
        <v xml:space="preserve">No pick yet                                                 </v>
      </c>
      <c r="E3671" s="52">
        <f t="shared" si="580"/>
        <v>0</v>
      </c>
      <c r="F3671" s="18"/>
      <c r="K3671" s="22"/>
      <c r="N3671" s="22"/>
      <c r="O3671" s="22"/>
      <c r="P3671" s="22"/>
      <c r="Q3671" s="22"/>
      <c r="R3671" s="22"/>
      <c r="S3671" s="22"/>
      <c r="Z3671" s="53"/>
      <c r="AA3671"/>
      <c r="AH3671" t="str">
        <f t="shared" si="581"/>
        <v>k yet</v>
      </c>
    </row>
    <row r="3672" spans="1:39">
      <c r="A3672" s="42" t="s">
        <v>248</v>
      </c>
      <c r="B3672" s="40" t="str">
        <f t="shared" si="578"/>
        <v>No pick yet</v>
      </c>
      <c r="C3672" s="40" t="str">
        <f t="shared" si="577"/>
        <v>03-&gt;</v>
      </c>
      <c r="D3672" s="40" t="str">
        <f t="shared" si="579"/>
        <v xml:space="preserve">No pick yet                                                 </v>
      </c>
      <c r="E3672" s="52">
        <f t="shared" si="580"/>
        <v>0</v>
      </c>
      <c r="F3672" s="18"/>
      <c r="L3672" s="21"/>
      <c r="N3672" s="22"/>
      <c r="O3672" s="22"/>
      <c r="P3672" s="18"/>
      <c r="Q3672" s="22"/>
      <c r="R3672" s="22"/>
      <c r="S3672" s="22"/>
      <c r="Z3672" s="53"/>
      <c r="AA3672"/>
      <c r="AH3672" t="str">
        <f t="shared" si="581"/>
        <v>k yet</v>
      </c>
    </row>
    <row r="3673" spans="1:39">
      <c r="A3673" s="42" t="s">
        <v>249</v>
      </c>
      <c r="B3673" s="40" t="str">
        <f t="shared" si="578"/>
        <v>No pick yet</v>
      </c>
      <c r="C3673" s="40" t="str">
        <f t="shared" si="577"/>
        <v>04-&gt;</v>
      </c>
      <c r="D3673" s="40" t="str">
        <f t="shared" si="579"/>
        <v xml:space="preserve">No pick yet                                                 </v>
      </c>
      <c r="E3673" s="52">
        <f t="shared" si="580"/>
        <v>0</v>
      </c>
      <c r="F3673" s="18"/>
      <c r="M3673" s="18"/>
      <c r="N3673" s="18"/>
      <c r="O3673" s="18"/>
      <c r="P3673" s="18"/>
      <c r="Q3673" s="22"/>
      <c r="R3673" s="21"/>
      <c r="S3673" s="21"/>
      <c r="T3673" s="21"/>
      <c r="AA3673"/>
      <c r="AH3673" t="str">
        <f t="shared" si="581"/>
        <v>k yet</v>
      </c>
    </row>
    <row r="3674" spans="1:39">
      <c r="A3674" s="42" t="s">
        <v>250</v>
      </c>
      <c r="B3674" s="40" t="str">
        <f t="shared" si="578"/>
        <v>No pick yet</v>
      </c>
      <c r="C3674" s="40" t="str">
        <f t="shared" si="577"/>
        <v>05-&gt;</v>
      </c>
      <c r="D3674" s="40" t="str">
        <f t="shared" si="579"/>
        <v xml:space="preserve">No pick yet                                                 </v>
      </c>
      <c r="E3674" s="52">
        <f t="shared" si="580"/>
        <v>0</v>
      </c>
      <c r="F3674" s="18"/>
      <c r="M3674" s="18"/>
      <c r="N3674" s="18"/>
      <c r="O3674" s="18"/>
      <c r="P3674" s="18"/>
      <c r="Q3674" s="22"/>
      <c r="R3674" s="21"/>
      <c r="S3674" s="21"/>
      <c r="T3674" s="21"/>
      <c r="AA3674"/>
      <c r="AH3674" t="str">
        <f t="shared" si="581"/>
        <v>k yet</v>
      </c>
    </row>
    <row r="3675" spans="1:39">
      <c r="A3675" s="42" t="s">
        <v>251</v>
      </c>
      <c r="B3675" s="40" t="str">
        <f t="shared" si="578"/>
        <v>No pick yet</v>
      </c>
      <c r="C3675" s="40" t="str">
        <f t="shared" si="577"/>
        <v>06-&gt;</v>
      </c>
      <c r="D3675" s="40" t="str">
        <f t="shared" si="579"/>
        <v xml:space="preserve">No pick yet                                                 </v>
      </c>
      <c r="E3675" s="52">
        <f t="shared" si="580"/>
        <v>0</v>
      </c>
      <c r="F3675" s="18"/>
      <c r="M3675" s="18"/>
      <c r="N3675" s="18"/>
      <c r="O3675" s="18"/>
      <c r="P3675" s="18"/>
      <c r="Q3675" s="22"/>
      <c r="R3675" s="21"/>
      <c r="S3675" s="21"/>
      <c r="T3675" s="21"/>
      <c r="AA3675"/>
      <c r="AH3675" t="str">
        <f t="shared" si="581"/>
        <v>k yet</v>
      </c>
    </row>
    <row r="3676" spans="1:39">
      <c r="A3676" s="42" t="s">
        <v>252</v>
      </c>
      <c r="B3676" s="40" t="str">
        <f t="shared" si="578"/>
        <v>No pick yet</v>
      </c>
      <c r="C3676" s="40" t="str">
        <f t="shared" si="577"/>
        <v>07-&gt;</v>
      </c>
      <c r="D3676" s="40" t="str">
        <f t="shared" si="579"/>
        <v xml:space="preserve">No pick yet                                                 </v>
      </c>
      <c r="E3676" s="52">
        <f t="shared" si="580"/>
        <v>0</v>
      </c>
      <c r="F3676" s="18"/>
      <c r="M3676" s="18"/>
      <c r="N3676" s="18"/>
      <c r="O3676" s="18"/>
      <c r="P3676" s="18"/>
      <c r="Q3676" s="22"/>
      <c r="R3676" s="21"/>
      <c r="S3676" s="21"/>
      <c r="T3676" s="21"/>
      <c r="AA3676"/>
      <c r="AH3676" t="str">
        <f t="shared" si="581"/>
        <v>k yet</v>
      </c>
    </row>
    <row r="3677" spans="1:39">
      <c r="A3677" s="42" t="s">
        <v>253</v>
      </c>
      <c r="B3677" s="40" t="str">
        <f t="shared" si="578"/>
        <v>No pick yet</v>
      </c>
      <c r="C3677" s="40" t="str">
        <f t="shared" si="577"/>
        <v>08-&gt;</v>
      </c>
      <c r="D3677" s="40" t="str">
        <f t="shared" si="579"/>
        <v xml:space="preserve">No pick yet                                                 </v>
      </c>
      <c r="E3677" s="52">
        <f t="shared" si="580"/>
        <v>0</v>
      </c>
      <c r="F3677" s="18"/>
      <c r="M3677" s="18"/>
      <c r="N3677" s="18"/>
      <c r="O3677" s="18"/>
      <c r="P3677" s="18"/>
      <c r="Q3677" s="22"/>
      <c r="R3677" s="21"/>
      <c r="S3677" s="21"/>
      <c r="T3677" s="21"/>
      <c r="AA3677"/>
      <c r="AH3677" t="str">
        <f t="shared" si="581"/>
        <v>k yet</v>
      </c>
    </row>
    <row r="3678" spans="1:39">
      <c r="A3678" s="42" t="s">
        <v>254</v>
      </c>
      <c r="B3678" s="40" t="str">
        <f t="shared" si="578"/>
        <v>No pick yet</v>
      </c>
      <c r="C3678" s="40" t="str">
        <f t="shared" si="577"/>
        <v>09-&gt;</v>
      </c>
      <c r="D3678" s="40" t="str">
        <f t="shared" si="579"/>
        <v xml:space="preserve">No pick yet                                                 </v>
      </c>
      <c r="E3678" s="52">
        <f t="shared" si="580"/>
        <v>0</v>
      </c>
      <c r="F3678" s="18"/>
      <c r="M3678" s="18"/>
      <c r="N3678" s="18"/>
      <c r="O3678" s="18"/>
      <c r="P3678" s="18"/>
      <c r="Q3678" s="22"/>
      <c r="R3678" s="21"/>
      <c r="S3678" s="21"/>
      <c r="T3678" s="21"/>
      <c r="AA3678"/>
      <c r="AH3678" t="str">
        <f t="shared" si="581"/>
        <v>k yet</v>
      </c>
    </row>
    <row r="3679" spans="1:39">
      <c r="A3679" s="42" t="s">
        <v>255</v>
      </c>
      <c r="B3679" s="40" t="str">
        <f t="shared" si="578"/>
        <v>No pick yet</v>
      </c>
      <c r="C3679" s="40" t="str">
        <f t="shared" si="577"/>
        <v>10-&gt;</v>
      </c>
      <c r="D3679" s="40" t="str">
        <f t="shared" si="579"/>
        <v xml:space="preserve">No pick yet                                                 </v>
      </c>
      <c r="E3679" s="52">
        <f t="shared" si="580"/>
        <v>0</v>
      </c>
      <c r="F3679" s="22"/>
      <c r="M3679" s="18"/>
      <c r="N3679" s="18"/>
      <c r="O3679" s="18"/>
      <c r="P3679" s="18"/>
      <c r="Q3679" s="22"/>
      <c r="R3679" s="21"/>
      <c r="S3679" s="21"/>
      <c r="T3679" s="21"/>
      <c r="AA3679"/>
      <c r="AH3679" t="str">
        <f t="shared" si="581"/>
        <v>k yet</v>
      </c>
    </row>
    <row r="3680" spans="1:39">
      <c r="A3680" s="42" t="s">
        <v>256</v>
      </c>
      <c r="B3680" s="40" t="str">
        <f t="shared" si="578"/>
        <v>No pick yet</v>
      </c>
      <c r="C3680" s="40" t="str">
        <f t="shared" si="577"/>
        <v>11-&gt;</v>
      </c>
      <c r="D3680" s="40" t="str">
        <f t="shared" si="579"/>
        <v xml:space="preserve">No pick yet                                                 </v>
      </c>
      <c r="E3680" s="52">
        <f t="shared" si="580"/>
        <v>0</v>
      </c>
      <c r="M3680" s="18"/>
      <c r="N3680" s="18"/>
      <c r="O3680" s="18"/>
      <c r="P3680" s="18"/>
      <c r="Q3680" s="22"/>
      <c r="R3680" s="21"/>
      <c r="S3680" s="21"/>
      <c r="T3680" s="21"/>
      <c r="AA3680"/>
      <c r="AH3680" t="str">
        <f t="shared" si="581"/>
        <v>k yet</v>
      </c>
    </row>
    <row r="3681" spans="1:39">
      <c r="A3681" s="42" t="s">
        <v>257</v>
      </c>
      <c r="B3681" s="40" t="str">
        <f t="shared" si="578"/>
        <v>No pick yet</v>
      </c>
      <c r="C3681" s="40" t="str">
        <f t="shared" si="577"/>
        <v>12-&gt;</v>
      </c>
      <c r="D3681" s="40" t="str">
        <f t="shared" si="579"/>
        <v xml:space="preserve">No pick yet                                                 </v>
      </c>
      <c r="E3681" s="52">
        <f t="shared" si="580"/>
        <v>0</v>
      </c>
      <c r="M3681" s="18"/>
      <c r="N3681" s="18"/>
      <c r="O3681" s="18"/>
      <c r="P3681" s="18"/>
      <c r="Q3681" s="22"/>
      <c r="R3681" s="21"/>
      <c r="S3681" s="21"/>
      <c r="T3681" s="21"/>
      <c r="AA3681"/>
      <c r="AH3681" t="str">
        <f t="shared" si="581"/>
        <v>k yet</v>
      </c>
    </row>
    <row r="3682" spans="1:39">
      <c r="A3682" s="42" t="s">
        <v>258</v>
      </c>
      <c r="B3682" s="40" t="str">
        <f t="shared" si="578"/>
        <v>No pick yet</v>
      </c>
      <c r="C3682" s="40" t="str">
        <f t="shared" si="577"/>
        <v>13-&gt;</v>
      </c>
      <c r="D3682" s="40" t="str">
        <f t="shared" si="579"/>
        <v xml:space="preserve">No pick yet                                                 </v>
      </c>
      <c r="E3682" s="52">
        <f t="shared" si="580"/>
        <v>0</v>
      </c>
      <c r="M3682" s="18"/>
      <c r="N3682" s="18"/>
      <c r="O3682" s="18"/>
      <c r="P3682" s="18"/>
      <c r="Q3682" s="22"/>
      <c r="R3682" s="21"/>
      <c r="S3682" s="21"/>
      <c r="T3682" s="21"/>
      <c r="AA3682"/>
      <c r="AH3682" t="str">
        <f t="shared" si="581"/>
        <v>k yet</v>
      </c>
    </row>
    <row r="3683" spans="1:39">
      <c r="A3683" s="42" t="s">
        <v>259</v>
      </c>
      <c r="B3683" s="40" t="str">
        <f t="shared" si="578"/>
        <v>No pick yet</v>
      </c>
      <c r="C3683" s="40" t="str">
        <f t="shared" si="577"/>
        <v>14-&gt;</v>
      </c>
      <c r="D3683" s="40" t="str">
        <f t="shared" si="579"/>
        <v xml:space="preserve">No pick yet                                                 </v>
      </c>
      <c r="E3683" s="52">
        <f t="shared" si="580"/>
        <v>0</v>
      </c>
      <c r="M3683" s="18"/>
      <c r="N3683" s="18"/>
      <c r="O3683" s="18"/>
      <c r="P3683" s="18"/>
      <c r="Q3683" s="22"/>
      <c r="R3683" s="21"/>
      <c r="S3683" s="21"/>
      <c r="T3683" s="21"/>
      <c r="AA3683"/>
      <c r="AH3683" t="str">
        <f t="shared" si="581"/>
        <v>k yet</v>
      </c>
    </row>
    <row r="3684" spans="1:39">
      <c r="A3684" s="42" t="s">
        <v>260</v>
      </c>
      <c r="B3684" s="40" t="str">
        <f t="shared" si="578"/>
        <v>No pick yet</v>
      </c>
      <c r="C3684" s="40" t="str">
        <f t="shared" si="577"/>
        <v>15-&gt;</v>
      </c>
      <c r="D3684" s="40" t="str">
        <f t="shared" si="579"/>
        <v xml:space="preserve">No pick yet                                                 </v>
      </c>
      <c r="E3684" s="52">
        <f t="shared" si="580"/>
        <v>0</v>
      </c>
      <c r="M3684" s="18"/>
      <c r="N3684" s="18"/>
      <c r="O3684" s="18"/>
      <c r="P3684" s="18"/>
      <c r="Q3684" s="22"/>
      <c r="R3684" s="21"/>
      <c r="S3684" s="21"/>
      <c r="T3684" s="21"/>
      <c r="AA3684"/>
      <c r="AH3684" t="str">
        <f t="shared" si="581"/>
        <v>k yet</v>
      </c>
    </row>
    <row r="3685" spans="1:39">
      <c r="A3685" s="42" t="s">
        <v>261</v>
      </c>
      <c r="B3685" s="40" t="str">
        <f t="shared" si="578"/>
        <v>No pick yet</v>
      </c>
      <c r="C3685" s="40" t="str">
        <f t="shared" si="577"/>
        <v>16-&gt;</v>
      </c>
      <c r="D3685" s="40" t="str">
        <f t="shared" si="579"/>
        <v xml:space="preserve">No pick yet                                                 </v>
      </c>
      <c r="E3685" s="52">
        <f t="shared" si="580"/>
        <v>0</v>
      </c>
      <c r="M3685" s="18"/>
      <c r="N3685" s="18"/>
      <c r="O3685" s="18"/>
      <c r="P3685" s="18"/>
      <c r="Q3685" s="22"/>
      <c r="R3685" s="21"/>
      <c r="S3685" s="21"/>
      <c r="T3685" s="21"/>
      <c r="AA3685"/>
      <c r="AH3685" t="str">
        <f t="shared" si="581"/>
        <v>k yet</v>
      </c>
    </row>
    <row r="3686" spans="1:39">
      <c r="A3686" s="42" t="s">
        <v>262</v>
      </c>
      <c r="B3686" s="40" t="str">
        <f t="shared" si="578"/>
        <v>No pick yet</v>
      </c>
      <c r="C3686" s="40" t="str">
        <f t="shared" si="577"/>
        <v>17-&gt;</v>
      </c>
      <c r="D3686" s="40" t="str">
        <f t="shared" si="579"/>
        <v xml:space="preserve">No pick yet                                                 </v>
      </c>
      <c r="E3686" s="52">
        <f t="shared" si="580"/>
        <v>0</v>
      </c>
      <c r="K3686" s="22"/>
      <c r="N3686" s="22"/>
      <c r="O3686" s="22"/>
      <c r="P3686" s="22"/>
      <c r="Q3686" s="22"/>
      <c r="R3686" s="22"/>
      <c r="S3686" s="22"/>
      <c r="Z3686" s="53"/>
      <c r="AA3686"/>
      <c r="AH3686" t="str">
        <f t="shared" si="581"/>
        <v>k yet</v>
      </c>
    </row>
    <row r="3687" spans="1:39">
      <c r="A3687" s="42" t="s">
        <v>263</v>
      </c>
      <c r="B3687" s="40" t="str">
        <f t="shared" si="578"/>
        <v>No pick yet</v>
      </c>
      <c r="C3687" s="40" t="str">
        <f t="shared" si="577"/>
        <v>18-&gt;</v>
      </c>
      <c r="D3687" s="40" t="str">
        <f t="shared" si="579"/>
        <v xml:space="preserve">No pick yet                                                 </v>
      </c>
      <c r="E3687" s="52">
        <f t="shared" si="580"/>
        <v>0</v>
      </c>
      <c r="F3687" s="18"/>
      <c r="L3687" s="21"/>
      <c r="N3687" s="22"/>
      <c r="O3687" s="22"/>
      <c r="P3687" s="18"/>
      <c r="Q3687" s="22"/>
      <c r="R3687" s="22"/>
      <c r="S3687" s="22"/>
      <c r="Z3687" s="53"/>
      <c r="AA3687"/>
      <c r="AH3687" t="str">
        <f t="shared" si="581"/>
        <v>k yet</v>
      </c>
    </row>
    <row r="3688" spans="1:39">
      <c r="A3688" s="42" t="s">
        <v>264</v>
      </c>
      <c r="B3688" s="40" t="str">
        <f t="shared" si="578"/>
        <v>No pick yet</v>
      </c>
      <c r="C3688" s="40" t="str">
        <f t="shared" si="577"/>
        <v>19-&gt;</v>
      </c>
      <c r="D3688" s="40" t="str">
        <f t="shared" si="579"/>
        <v xml:space="preserve">No pick yet                                                 </v>
      </c>
      <c r="E3688" s="52">
        <f t="shared" si="580"/>
        <v>0</v>
      </c>
      <c r="F3688" s="18"/>
      <c r="M3688" s="18"/>
      <c r="N3688" s="18"/>
      <c r="O3688" s="18"/>
      <c r="P3688" s="18"/>
      <c r="Q3688" s="22"/>
      <c r="R3688" s="21"/>
      <c r="S3688" s="21"/>
      <c r="T3688" s="21"/>
      <c r="AA3688"/>
      <c r="AH3688" t="str">
        <f t="shared" si="581"/>
        <v>k yet</v>
      </c>
    </row>
    <row r="3689" spans="1:39">
      <c r="A3689" s="42" t="s">
        <v>265</v>
      </c>
      <c r="B3689" s="40" t="str">
        <f t="shared" si="578"/>
        <v>No pick yet</v>
      </c>
      <c r="C3689" s="40" t="str">
        <f t="shared" si="577"/>
        <v>20-&gt;</v>
      </c>
      <c r="D3689" s="40" t="str">
        <f t="shared" si="579"/>
        <v xml:space="preserve">No pick yet                                                 </v>
      </c>
      <c r="E3689" s="52">
        <f t="shared" si="580"/>
        <v>0</v>
      </c>
      <c r="F3689" s="18"/>
      <c r="M3689" s="18"/>
      <c r="N3689" s="18"/>
      <c r="O3689" s="18"/>
      <c r="P3689" s="18"/>
      <c r="Q3689" s="22"/>
      <c r="R3689" s="21"/>
      <c r="S3689" s="21"/>
      <c r="T3689" s="21"/>
      <c r="AA3689"/>
      <c r="AH3689" t="str">
        <f t="shared" si="581"/>
        <v>k yet</v>
      </c>
    </row>
    <row r="3690" spans="1:39">
      <c r="A3690" s="42" t="s">
        <v>266</v>
      </c>
      <c r="B3690" s="40" t="str">
        <f t="shared" si="578"/>
        <v>No pick yet</v>
      </c>
      <c r="C3690" s="40" t="str">
        <f t="shared" si="577"/>
        <v>21-&gt;</v>
      </c>
      <c r="D3690" s="40" t="str">
        <f t="shared" si="579"/>
        <v xml:space="preserve">No pick yet                                                 </v>
      </c>
      <c r="E3690" s="52">
        <f t="shared" si="580"/>
        <v>0</v>
      </c>
      <c r="F3690" s="18"/>
      <c r="M3690" s="18"/>
      <c r="N3690" s="18"/>
      <c r="O3690" s="18"/>
      <c r="P3690" s="18"/>
      <c r="Q3690" s="22"/>
      <c r="R3690" s="21"/>
      <c r="S3690" s="21"/>
      <c r="T3690" s="21"/>
      <c r="AA3690"/>
      <c r="AH3690" t="str">
        <f t="shared" si="581"/>
        <v>k yet</v>
      </c>
    </row>
    <row r="3691" spans="1:39">
      <c r="A3691" s="42" t="s">
        <v>267</v>
      </c>
      <c r="B3691" s="40" t="str">
        <f t="shared" si="578"/>
        <v>No pick yet</v>
      </c>
      <c r="C3691" s="40" t="str">
        <f t="shared" si="577"/>
        <v>22-&gt;</v>
      </c>
      <c r="D3691" s="40" t="str">
        <f t="shared" si="579"/>
        <v xml:space="preserve">No pick yet                                                 </v>
      </c>
      <c r="E3691" s="52">
        <f t="shared" si="580"/>
        <v>0</v>
      </c>
      <c r="F3691" s="18"/>
      <c r="M3691" s="18"/>
      <c r="N3691" s="18"/>
      <c r="O3691" s="18"/>
      <c r="P3691" s="18"/>
      <c r="Q3691" s="22"/>
      <c r="R3691" s="21"/>
      <c r="S3691" s="21"/>
      <c r="T3691" s="21"/>
      <c r="AA3691"/>
      <c r="AH3691" t="str">
        <f t="shared" si="581"/>
        <v>k yet</v>
      </c>
    </row>
    <row r="3692" spans="1:39">
      <c r="A3692" s="42" t="s">
        <v>268</v>
      </c>
      <c r="B3692" s="40" t="str">
        <f t="shared" si="578"/>
        <v>No pick yet</v>
      </c>
      <c r="C3692" s="40" t="str">
        <f t="shared" si="577"/>
        <v>23-&gt;</v>
      </c>
      <c r="D3692" s="40" t="str">
        <f t="shared" si="579"/>
        <v xml:space="preserve">No pick yet                                                 </v>
      </c>
      <c r="E3692" s="52">
        <f t="shared" si="580"/>
        <v>0</v>
      </c>
      <c r="F3692" s="18"/>
      <c r="M3692" s="18"/>
      <c r="N3692" s="18"/>
      <c r="O3692" s="18"/>
      <c r="P3692" s="18"/>
      <c r="Q3692" s="22"/>
      <c r="R3692" s="21"/>
      <c r="S3692" s="21"/>
      <c r="T3692" s="21"/>
      <c r="AA3692"/>
      <c r="AH3692" t="str">
        <f t="shared" si="581"/>
        <v>k yet</v>
      </c>
    </row>
    <row r="3693" spans="1:39">
      <c r="A3693" s="42" t="s">
        <v>269</v>
      </c>
      <c r="B3693" s="40" t="str">
        <f t="shared" si="578"/>
        <v>No pick yet</v>
      </c>
      <c r="C3693" s="40" t="str">
        <f t="shared" si="577"/>
        <v>24-&gt;</v>
      </c>
      <c r="D3693" s="40" t="str">
        <f t="shared" si="579"/>
        <v xml:space="preserve">No pick yet                                                 </v>
      </c>
      <c r="E3693" s="52">
        <f t="shared" si="580"/>
        <v>0</v>
      </c>
      <c r="F3693" s="18"/>
      <c r="M3693" s="18"/>
      <c r="N3693" s="18"/>
      <c r="O3693" s="18"/>
      <c r="P3693" s="18"/>
      <c r="Q3693" s="22"/>
      <c r="R3693" s="21"/>
      <c r="S3693" s="21"/>
      <c r="T3693" s="21"/>
      <c r="AA3693"/>
      <c r="AH3693" t="str">
        <f t="shared" si="581"/>
        <v>k yet</v>
      </c>
    </row>
    <row r="3694" spans="1:39">
      <c r="A3694" s="42" t="s">
        <v>270</v>
      </c>
      <c r="B3694" s="40" t="str">
        <f t="shared" si="578"/>
        <v>No pick yet</v>
      </c>
      <c r="C3694" s="40" t="str">
        <f t="shared" si="577"/>
        <v>25-&gt;</v>
      </c>
      <c r="D3694" s="40" t="str">
        <f t="shared" si="579"/>
        <v xml:space="preserve">No pick yet                                                 </v>
      </c>
      <c r="E3694" s="52">
        <f t="shared" si="580"/>
        <v>0</v>
      </c>
      <c r="F3694" s="18"/>
      <c r="M3694" s="18"/>
      <c r="N3694" s="18"/>
      <c r="O3694" s="18"/>
      <c r="P3694" s="18"/>
      <c r="Q3694" s="22"/>
      <c r="R3694" s="21"/>
      <c r="S3694" s="21"/>
      <c r="T3694" s="21"/>
      <c r="AA3694"/>
      <c r="AH3694" t="str">
        <f t="shared" si="581"/>
        <v>k yet</v>
      </c>
    </row>
    <row r="3695" spans="1:39">
      <c r="A3695" s="42" t="s">
        <v>271</v>
      </c>
      <c r="B3695" s="40" t="str">
        <f t="shared" si="578"/>
        <v>No pick yet</v>
      </c>
      <c r="C3695" s="40" t="str">
        <f t="shared" si="577"/>
        <v>26-&gt;</v>
      </c>
      <c r="D3695" s="40" t="str">
        <f t="shared" si="579"/>
        <v xml:space="preserve">No pick yet                                                 </v>
      </c>
      <c r="E3695" s="52">
        <f t="shared" si="580"/>
        <v>0</v>
      </c>
      <c r="F3695" s="18"/>
      <c r="M3695" s="18"/>
      <c r="N3695" s="18"/>
      <c r="O3695" s="18"/>
      <c r="P3695" s="18"/>
      <c r="Q3695" s="22"/>
      <c r="R3695" s="21"/>
      <c r="S3695" s="21"/>
      <c r="T3695" s="21"/>
      <c r="AA3695"/>
      <c r="AH3695" t="str">
        <f t="shared" si="581"/>
        <v>k yet</v>
      </c>
    </row>
    <row r="3696" spans="1:39">
      <c r="A3696" s="38"/>
      <c r="B3696" s="40"/>
      <c r="C3696" s="40"/>
      <c r="D3696" s="49"/>
      <c r="E3696" s="41" t="s">
        <v>69</v>
      </c>
      <c r="F3696" s="18"/>
      <c r="K3696" s="22" t="s">
        <v>73</v>
      </c>
      <c r="L3696" s="18" t="s">
        <v>74</v>
      </c>
      <c r="M3696" s="22" t="s">
        <v>78</v>
      </c>
      <c r="N3696" s="22" t="s">
        <v>79</v>
      </c>
      <c r="O3696" s="22" t="s">
        <v>80</v>
      </c>
      <c r="P3696" s="22" t="s">
        <v>81</v>
      </c>
      <c r="Q3696" s="22" t="s">
        <v>82</v>
      </c>
      <c r="R3696" s="22" t="s">
        <v>83</v>
      </c>
      <c r="S3696" s="22" t="s">
        <v>84</v>
      </c>
      <c r="T3696" s="18" t="s">
        <v>85</v>
      </c>
      <c r="U3696" s="18" t="s">
        <v>86</v>
      </c>
      <c r="V3696" s="18" t="s">
        <v>87</v>
      </c>
      <c r="W3696" s="18" t="s">
        <v>88</v>
      </c>
      <c r="X3696" s="18" t="s">
        <v>89</v>
      </c>
      <c r="Y3696" s="18" t="s">
        <v>90</v>
      </c>
      <c r="Z3696" s="18" t="s">
        <v>91</v>
      </c>
      <c r="AA3696" s="18" t="s">
        <v>92</v>
      </c>
      <c r="AB3696" s="18" t="s">
        <v>93</v>
      </c>
      <c r="AC3696" s="18" t="s">
        <v>94</v>
      </c>
      <c r="AD3696" s="18" t="s">
        <v>235</v>
      </c>
      <c r="AE3696" s="18" t="s">
        <v>236</v>
      </c>
      <c r="AF3696" s="18" t="s">
        <v>237</v>
      </c>
      <c r="AG3696" s="18" t="s">
        <v>238</v>
      </c>
      <c r="AH3696" s="18" t="s">
        <v>239</v>
      </c>
      <c r="AI3696" s="18" t="s">
        <v>240</v>
      </c>
      <c r="AJ3696" s="18" t="s">
        <v>241</v>
      </c>
      <c r="AK3696" s="18" t="s">
        <v>242</v>
      </c>
      <c r="AL3696" s="18" t="s">
        <v>243</v>
      </c>
      <c r="AM3696" s="50" t="s">
        <v>244</v>
      </c>
    </row>
    <row r="3697" spans="1:39">
      <c r="A3697" s="40" t="s">
        <v>245</v>
      </c>
      <c r="B3697" s="51" t="str">
        <f>D131</f>
        <v/>
      </c>
      <c r="C3697" s="40" t="str">
        <f t="shared" ref="C3697:C3723" si="582">A3697</f>
        <v>#</v>
      </c>
      <c r="D3697" s="40" t="str">
        <f>"   "&amp;B3697&amp;REPT(" ",$AH$70-LEN(B3697)-3)</f>
        <v xml:space="preserve">                                                            </v>
      </c>
      <c r="E3697" s="38" t="str">
        <f>SUM(E3698:E3723)&amp;" pts[/b]"</f>
        <v>0 pts[/b]</v>
      </c>
      <c r="F3697" s="21">
        <f>SUM(E3698:E3723)</f>
        <v>0</v>
      </c>
      <c r="K3697" s="18">
        <f>COUNTIF(E3698:E3723,"&gt;0")</f>
        <v>0</v>
      </c>
      <c r="L3697" s="21">
        <f>AM3697-K3697</f>
        <v>0</v>
      </c>
      <c r="M3697" s="22">
        <f>MAX(E3698:E3723)</f>
        <v>0</v>
      </c>
      <c r="N3697" s="22">
        <f>LARGE(E3698:E3723,2)</f>
        <v>0</v>
      </c>
      <c r="O3697" s="22">
        <f>LARGE(E3698:E3723,3)</f>
        <v>0</v>
      </c>
      <c r="P3697" s="18">
        <f>LARGE(E3698:E3723,4)</f>
        <v>0</v>
      </c>
      <c r="Q3697" s="22">
        <f>LARGE(E3698:E3723,5)</f>
        <v>0</v>
      </c>
      <c r="R3697" s="22">
        <f>LARGE(E3698:E3723,6)</f>
        <v>0</v>
      </c>
      <c r="S3697" s="22">
        <f>LARGE(E3698:E3723,7)</f>
        <v>0</v>
      </c>
      <c r="T3697" s="18">
        <f>LARGE(E3698:E3723,8)</f>
        <v>0</v>
      </c>
      <c r="U3697" s="18">
        <f>LARGE(E3698:E3723,9)</f>
        <v>0</v>
      </c>
      <c r="V3697" s="18">
        <f>LARGE(E3698:E3723,10)</f>
        <v>0</v>
      </c>
      <c r="W3697" s="18">
        <f>LARGE(E3698:E3723,11)</f>
        <v>0</v>
      </c>
      <c r="X3697" s="18">
        <f>LARGE(E3698:E3723,12)</f>
        <v>0</v>
      </c>
      <c r="Y3697" s="18">
        <f>LARGE(E3698:E3723,13)</f>
        <v>0</v>
      </c>
      <c r="Z3697" s="18">
        <f>LARGE(E3698:E3723,14)</f>
        <v>0</v>
      </c>
      <c r="AA3697" s="18">
        <f>LARGE(E3698:E3723,15)</f>
        <v>0</v>
      </c>
      <c r="AB3697" s="18">
        <f>LARGE(E3698:E3723,16)</f>
        <v>0</v>
      </c>
      <c r="AC3697" s="18">
        <f>LARGE(E3698:E3723,17)</f>
        <v>0</v>
      </c>
      <c r="AD3697" s="18">
        <f>LARGE(E3698:E3724,13)</f>
        <v>0</v>
      </c>
      <c r="AE3697" s="18">
        <f>LARGE(E3698:E3723,19)</f>
        <v>0</v>
      </c>
      <c r="AF3697" s="18">
        <f>LARGE(E3698:E3723,20)</f>
        <v>0</v>
      </c>
      <c r="AG3697" s="18">
        <f>LARGE(E3698:E3723,21)</f>
        <v>0</v>
      </c>
      <c r="AH3697" s="18">
        <f>LARGE(E3698:E3723,22)</f>
        <v>0</v>
      </c>
      <c r="AI3697" s="18">
        <f>LARGE(E3698:E3723,23)</f>
        <v>0</v>
      </c>
      <c r="AJ3697" s="18">
        <f>LARGE(E3698:E3723,24)</f>
        <v>0</v>
      </c>
      <c r="AK3697" s="18">
        <f>LARGE(E3698:E3723,25)</f>
        <v>0</v>
      </c>
      <c r="AL3697" s="18">
        <f>LARGE(E3698:E3723,26)</f>
        <v>0</v>
      </c>
      <c r="AM3697" s="50">
        <f>COUNTIF(B3698:B3723,"&lt;&gt;"&amp;AH74)</f>
        <v>0</v>
      </c>
    </row>
    <row r="3698" spans="1:39">
      <c r="A3698" s="42" t="s">
        <v>246</v>
      </c>
      <c r="B3698" s="40" t="str">
        <f t="shared" ref="B3698:B3723" si="583">$AH$74</f>
        <v>No pick yet</v>
      </c>
      <c r="C3698" s="40" t="str">
        <f t="shared" si="582"/>
        <v>01-&gt;</v>
      </c>
      <c r="D3698" s="40" t="str">
        <f t="shared" ref="D3698:D3723" si="584">B3698&amp;REPT(" ",$AH$70-LEN(B3698))</f>
        <v xml:space="preserve">No pick yet                                                 </v>
      </c>
      <c r="E3698" s="52">
        <f t="shared" ref="E3698:E3723" si="585">VLOOKUP(RIGHT(B3698,LEN(B3698)-$AH$66),$H$138:$I$420,2,0)</f>
        <v>0</v>
      </c>
      <c r="F3698" s="18"/>
      <c r="M3698" s="18"/>
      <c r="N3698" s="18"/>
      <c r="O3698" s="18"/>
      <c r="P3698" s="18"/>
      <c r="Q3698" s="22"/>
      <c r="R3698" s="21"/>
      <c r="S3698" s="21"/>
      <c r="T3698" s="21"/>
      <c r="AA3698"/>
      <c r="AH3698" t="str">
        <f t="shared" ref="AH3698:AH3723" si="586">RIGHT(B3698,LEN(B3698)-$AH$66)</f>
        <v>k yet</v>
      </c>
    </row>
    <row r="3699" spans="1:39">
      <c r="A3699" s="42" t="s">
        <v>247</v>
      </c>
      <c r="B3699" s="40" t="str">
        <f t="shared" si="583"/>
        <v>No pick yet</v>
      </c>
      <c r="C3699" s="40" t="str">
        <f t="shared" si="582"/>
        <v>02-&gt;</v>
      </c>
      <c r="D3699" s="40" t="str">
        <f t="shared" si="584"/>
        <v xml:space="preserve">No pick yet                                                 </v>
      </c>
      <c r="E3699" s="52">
        <f t="shared" si="585"/>
        <v>0</v>
      </c>
      <c r="F3699" s="18"/>
      <c r="K3699" s="22"/>
      <c r="N3699" s="22"/>
      <c r="O3699" s="22"/>
      <c r="P3699" s="22"/>
      <c r="Q3699" s="22"/>
      <c r="R3699" s="22"/>
      <c r="S3699" s="22"/>
      <c r="Z3699" s="53"/>
      <c r="AA3699"/>
      <c r="AH3699" t="str">
        <f t="shared" si="586"/>
        <v>k yet</v>
      </c>
    </row>
    <row r="3700" spans="1:39">
      <c r="A3700" s="42" t="s">
        <v>248</v>
      </c>
      <c r="B3700" s="40" t="str">
        <f t="shared" si="583"/>
        <v>No pick yet</v>
      </c>
      <c r="C3700" s="40" t="str">
        <f t="shared" si="582"/>
        <v>03-&gt;</v>
      </c>
      <c r="D3700" s="40" t="str">
        <f t="shared" si="584"/>
        <v xml:space="preserve">No pick yet                                                 </v>
      </c>
      <c r="E3700" s="52">
        <f t="shared" si="585"/>
        <v>0</v>
      </c>
      <c r="F3700" s="18"/>
      <c r="L3700" s="21"/>
      <c r="N3700" s="22"/>
      <c r="O3700" s="22"/>
      <c r="P3700" s="18"/>
      <c r="Q3700" s="22"/>
      <c r="R3700" s="22"/>
      <c r="S3700" s="22"/>
      <c r="Z3700" s="53"/>
      <c r="AA3700"/>
      <c r="AH3700" t="str">
        <f t="shared" si="586"/>
        <v>k yet</v>
      </c>
    </row>
    <row r="3701" spans="1:39">
      <c r="A3701" s="42" t="s">
        <v>249</v>
      </c>
      <c r="B3701" s="40" t="str">
        <f t="shared" si="583"/>
        <v>No pick yet</v>
      </c>
      <c r="C3701" s="40" t="str">
        <f t="shared" si="582"/>
        <v>04-&gt;</v>
      </c>
      <c r="D3701" s="40" t="str">
        <f t="shared" si="584"/>
        <v xml:space="preserve">No pick yet                                                 </v>
      </c>
      <c r="E3701" s="52">
        <f t="shared" si="585"/>
        <v>0</v>
      </c>
      <c r="F3701" s="18"/>
      <c r="M3701" s="18"/>
      <c r="N3701" s="18"/>
      <c r="O3701" s="18"/>
      <c r="P3701" s="18"/>
      <c r="Q3701" s="22"/>
      <c r="R3701" s="21"/>
      <c r="S3701" s="21"/>
      <c r="T3701" s="21"/>
      <c r="AA3701"/>
      <c r="AH3701" t="str">
        <f t="shared" si="586"/>
        <v>k yet</v>
      </c>
    </row>
    <row r="3702" spans="1:39">
      <c r="A3702" s="42" t="s">
        <v>250</v>
      </c>
      <c r="B3702" s="40" t="str">
        <f t="shared" si="583"/>
        <v>No pick yet</v>
      </c>
      <c r="C3702" s="40" t="str">
        <f t="shared" si="582"/>
        <v>05-&gt;</v>
      </c>
      <c r="D3702" s="40" t="str">
        <f t="shared" si="584"/>
        <v xml:space="preserve">No pick yet                                                 </v>
      </c>
      <c r="E3702" s="52">
        <f t="shared" si="585"/>
        <v>0</v>
      </c>
      <c r="F3702" s="18"/>
      <c r="M3702" s="18"/>
      <c r="N3702" s="18"/>
      <c r="O3702" s="18"/>
      <c r="P3702" s="18"/>
      <c r="Q3702" s="22"/>
      <c r="R3702" s="21"/>
      <c r="S3702" s="21"/>
      <c r="T3702" s="21"/>
      <c r="AA3702"/>
      <c r="AH3702" t="str">
        <f t="shared" si="586"/>
        <v>k yet</v>
      </c>
    </row>
    <row r="3703" spans="1:39">
      <c r="A3703" s="42" t="s">
        <v>251</v>
      </c>
      <c r="B3703" s="40" t="str">
        <f t="shared" si="583"/>
        <v>No pick yet</v>
      </c>
      <c r="C3703" s="40" t="str">
        <f t="shared" si="582"/>
        <v>06-&gt;</v>
      </c>
      <c r="D3703" s="40" t="str">
        <f t="shared" si="584"/>
        <v xml:space="preserve">No pick yet                                                 </v>
      </c>
      <c r="E3703" s="52">
        <f t="shared" si="585"/>
        <v>0</v>
      </c>
      <c r="F3703" s="18"/>
      <c r="M3703" s="18"/>
      <c r="N3703" s="18"/>
      <c r="O3703" s="18"/>
      <c r="P3703" s="18"/>
      <c r="Q3703" s="22"/>
      <c r="R3703" s="21"/>
      <c r="S3703" s="21"/>
      <c r="T3703" s="21"/>
      <c r="AA3703"/>
      <c r="AH3703" t="str">
        <f t="shared" si="586"/>
        <v>k yet</v>
      </c>
    </row>
    <row r="3704" spans="1:39">
      <c r="A3704" s="42" t="s">
        <v>252</v>
      </c>
      <c r="B3704" s="40" t="str">
        <f t="shared" si="583"/>
        <v>No pick yet</v>
      </c>
      <c r="C3704" s="40" t="str">
        <f t="shared" si="582"/>
        <v>07-&gt;</v>
      </c>
      <c r="D3704" s="40" t="str">
        <f t="shared" si="584"/>
        <v xml:space="preserve">No pick yet                                                 </v>
      </c>
      <c r="E3704" s="52">
        <f t="shared" si="585"/>
        <v>0</v>
      </c>
      <c r="F3704" s="18"/>
      <c r="M3704" s="18"/>
      <c r="N3704" s="18"/>
      <c r="O3704" s="18"/>
      <c r="P3704" s="18"/>
      <c r="Q3704" s="22"/>
      <c r="R3704" s="21"/>
      <c r="S3704" s="21"/>
      <c r="T3704" s="21"/>
      <c r="AA3704"/>
      <c r="AH3704" t="str">
        <f t="shared" si="586"/>
        <v>k yet</v>
      </c>
    </row>
    <row r="3705" spans="1:39">
      <c r="A3705" s="42" t="s">
        <v>253</v>
      </c>
      <c r="B3705" s="40" t="str">
        <f t="shared" si="583"/>
        <v>No pick yet</v>
      </c>
      <c r="C3705" s="40" t="str">
        <f t="shared" si="582"/>
        <v>08-&gt;</v>
      </c>
      <c r="D3705" s="40" t="str">
        <f t="shared" si="584"/>
        <v xml:space="preserve">No pick yet                                                 </v>
      </c>
      <c r="E3705" s="52">
        <f t="shared" si="585"/>
        <v>0</v>
      </c>
      <c r="F3705" s="18"/>
      <c r="M3705" s="18"/>
      <c r="N3705" s="18"/>
      <c r="O3705" s="18"/>
      <c r="P3705" s="18"/>
      <c r="Q3705" s="22"/>
      <c r="R3705" s="21"/>
      <c r="S3705" s="21"/>
      <c r="T3705" s="21"/>
      <c r="AA3705"/>
      <c r="AH3705" t="str">
        <f t="shared" si="586"/>
        <v>k yet</v>
      </c>
    </row>
    <row r="3706" spans="1:39">
      <c r="A3706" s="42" t="s">
        <v>254</v>
      </c>
      <c r="B3706" s="40" t="str">
        <f t="shared" si="583"/>
        <v>No pick yet</v>
      </c>
      <c r="C3706" s="40" t="str">
        <f t="shared" si="582"/>
        <v>09-&gt;</v>
      </c>
      <c r="D3706" s="40" t="str">
        <f t="shared" si="584"/>
        <v xml:space="preserve">No pick yet                                                 </v>
      </c>
      <c r="E3706" s="52">
        <f t="shared" si="585"/>
        <v>0</v>
      </c>
      <c r="F3706" s="18"/>
      <c r="M3706" s="18"/>
      <c r="N3706" s="18"/>
      <c r="O3706" s="18"/>
      <c r="P3706" s="18"/>
      <c r="Q3706" s="22"/>
      <c r="R3706" s="21"/>
      <c r="S3706" s="21"/>
      <c r="T3706" s="21"/>
      <c r="AA3706"/>
      <c r="AH3706" t="str">
        <f t="shared" si="586"/>
        <v>k yet</v>
      </c>
    </row>
    <row r="3707" spans="1:39">
      <c r="A3707" s="42" t="s">
        <v>255</v>
      </c>
      <c r="B3707" s="40" t="str">
        <f t="shared" si="583"/>
        <v>No pick yet</v>
      </c>
      <c r="C3707" s="40" t="str">
        <f t="shared" si="582"/>
        <v>10-&gt;</v>
      </c>
      <c r="D3707" s="40" t="str">
        <f t="shared" si="584"/>
        <v xml:space="preserve">No pick yet                                                 </v>
      </c>
      <c r="E3707" s="52">
        <f t="shared" si="585"/>
        <v>0</v>
      </c>
      <c r="F3707" s="22"/>
      <c r="M3707" s="18"/>
      <c r="N3707" s="18"/>
      <c r="O3707" s="18"/>
      <c r="P3707" s="18"/>
      <c r="Q3707" s="22"/>
      <c r="R3707" s="21"/>
      <c r="S3707" s="21"/>
      <c r="T3707" s="21"/>
      <c r="AA3707"/>
      <c r="AH3707" t="str">
        <f t="shared" si="586"/>
        <v>k yet</v>
      </c>
    </row>
    <row r="3708" spans="1:39">
      <c r="A3708" s="42" t="s">
        <v>256</v>
      </c>
      <c r="B3708" s="40" t="str">
        <f t="shared" si="583"/>
        <v>No pick yet</v>
      </c>
      <c r="C3708" s="40" t="str">
        <f t="shared" si="582"/>
        <v>11-&gt;</v>
      </c>
      <c r="D3708" s="40" t="str">
        <f t="shared" si="584"/>
        <v xml:space="preserve">No pick yet                                                 </v>
      </c>
      <c r="E3708" s="52">
        <f t="shared" si="585"/>
        <v>0</v>
      </c>
      <c r="M3708" s="18"/>
      <c r="N3708" s="18"/>
      <c r="O3708" s="18"/>
      <c r="P3708" s="18"/>
      <c r="Q3708" s="22"/>
      <c r="R3708" s="21"/>
      <c r="S3708" s="21"/>
      <c r="T3708" s="21"/>
      <c r="AA3708"/>
      <c r="AH3708" t="str">
        <f t="shared" si="586"/>
        <v>k yet</v>
      </c>
    </row>
    <row r="3709" spans="1:39">
      <c r="A3709" s="42" t="s">
        <v>257</v>
      </c>
      <c r="B3709" s="40" t="str">
        <f t="shared" si="583"/>
        <v>No pick yet</v>
      </c>
      <c r="C3709" s="40" t="str">
        <f t="shared" si="582"/>
        <v>12-&gt;</v>
      </c>
      <c r="D3709" s="40" t="str">
        <f t="shared" si="584"/>
        <v xml:space="preserve">No pick yet                                                 </v>
      </c>
      <c r="E3709" s="52">
        <f t="shared" si="585"/>
        <v>0</v>
      </c>
      <c r="M3709" s="18"/>
      <c r="N3709" s="18"/>
      <c r="O3709" s="18"/>
      <c r="P3709" s="18"/>
      <c r="Q3709" s="22"/>
      <c r="R3709" s="21"/>
      <c r="S3709" s="21"/>
      <c r="T3709" s="21"/>
      <c r="AA3709"/>
      <c r="AH3709" t="str">
        <f t="shared" si="586"/>
        <v>k yet</v>
      </c>
    </row>
    <row r="3710" spans="1:39">
      <c r="A3710" s="42" t="s">
        <v>258</v>
      </c>
      <c r="B3710" s="40" t="str">
        <f t="shared" si="583"/>
        <v>No pick yet</v>
      </c>
      <c r="C3710" s="40" t="str">
        <f t="shared" si="582"/>
        <v>13-&gt;</v>
      </c>
      <c r="D3710" s="40" t="str">
        <f t="shared" si="584"/>
        <v xml:space="preserve">No pick yet                                                 </v>
      </c>
      <c r="E3710" s="52">
        <f t="shared" si="585"/>
        <v>0</v>
      </c>
      <c r="M3710" s="18"/>
      <c r="N3710" s="18"/>
      <c r="O3710" s="18"/>
      <c r="P3710" s="18"/>
      <c r="Q3710" s="22"/>
      <c r="R3710" s="21"/>
      <c r="S3710" s="21"/>
      <c r="T3710" s="21"/>
      <c r="AA3710"/>
      <c r="AH3710" t="str">
        <f t="shared" si="586"/>
        <v>k yet</v>
      </c>
    </row>
    <row r="3711" spans="1:39">
      <c r="A3711" s="42" t="s">
        <v>259</v>
      </c>
      <c r="B3711" s="40" t="str">
        <f t="shared" si="583"/>
        <v>No pick yet</v>
      </c>
      <c r="C3711" s="40" t="str">
        <f t="shared" si="582"/>
        <v>14-&gt;</v>
      </c>
      <c r="D3711" s="40" t="str">
        <f t="shared" si="584"/>
        <v xml:space="preserve">No pick yet                                                 </v>
      </c>
      <c r="E3711" s="52">
        <f t="shared" si="585"/>
        <v>0</v>
      </c>
      <c r="M3711" s="18"/>
      <c r="N3711" s="18"/>
      <c r="O3711" s="18"/>
      <c r="P3711" s="18"/>
      <c r="Q3711" s="22"/>
      <c r="R3711" s="21"/>
      <c r="S3711" s="21"/>
      <c r="T3711" s="21"/>
      <c r="AA3711"/>
      <c r="AH3711" t="str">
        <f t="shared" si="586"/>
        <v>k yet</v>
      </c>
    </row>
    <row r="3712" spans="1:39">
      <c r="A3712" s="42" t="s">
        <v>260</v>
      </c>
      <c r="B3712" s="40" t="str">
        <f t="shared" si="583"/>
        <v>No pick yet</v>
      </c>
      <c r="C3712" s="40" t="str">
        <f t="shared" si="582"/>
        <v>15-&gt;</v>
      </c>
      <c r="D3712" s="40" t="str">
        <f t="shared" si="584"/>
        <v xml:space="preserve">No pick yet                                                 </v>
      </c>
      <c r="E3712" s="52">
        <f t="shared" si="585"/>
        <v>0</v>
      </c>
      <c r="M3712" s="18"/>
      <c r="N3712" s="18"/>
      <c r="O3712" s="18"/>
      <c r="P3712" s="18"/>
      <c r="Q3712" s="22"/>
      <c r="R3712" s="21"/>
      <c r="S3712" s="21"/>
      <c r="T3712" s="21"/>
      <c r="AA3712"/>
      <c r="AH3712" t="str">
        <f t="shared" si="586"/>
        <v>k yet</v>
      </c>
    </row>
    <row r="3713" spans="1:39">
      <c r="A3713" s="42" t="s">
        <v>261</v>
      </c>
      <c r="B3713" s="40" t="str">
        <f t="shared" si="583"/>
        <v>No pick yet</v>
      </c>
      <c r="C3713" s="40" t="str">
        <f t="shared" si="582"/>
        <v>16-&gt;</v>
      </c>
      <c r="D3713" s="40" t="str">
        <f t="shared" si="584"/>
        <v xml:space="preserve">No pick yet                                                 </v>
      </c>
      <c r="E3713" s="52">
        <f t="shared" si="585"/>
        <v>0</v>
      </c>
      <c r="M3713" s="18"/>
      <c r="N3713" s="18"/>
      <c r="O3713" s="18"/>
      <c r="P3713" s="18"/>
      <c r="Q3713" s="22"/>
      <c r="R3713" s="21"/>
      <c r="S3713" s="21"/>
      <c r="T3713" s="21"/>
      <c r="AA3713"/>
      <c r="AH3713" t="str">
        <f t="shared" si="586"/>
        <v>k yet</v>
      </c>
    </row>
    <row r="3714" spans="1:39">
      <c r="A3714" s="42" t="s">
        <v>262</v>
      </c>
      <c r="B3714" s="40" t="str">
        <f t="shared" si="583"/>
        <v>No pick yet</v>
      </c>
      <c r="C3714" s="40" t="str">
        <f t="shared" si="582"/>
        <v>17-&gt;</v>
      </c>
      <c r="D3714" s="40" t="str">
        <f t="shared" si="584"/>
        <v xml:space="preserve">No pick yet                                                 </v>
      </c>
      <c r="E3714" s="52">
        <f t="shared" si="585"/>
        <v>0</v>
      </c>
      <c r="K3714" s="22"/>
      <c r="N3714" s="22"/>
      <c r="O3714" s="22"/>
      <c r="P3714" s="22"/>
      <c r="Q3714" s="22"/>
      <c r="R3714" s="22"/>
      <c r="S3714" s="22"/>
      <c r="Z3714" s="53"/>
      <c r="AA3714"/>
      <c r="AH3714" t="str">
        <f t="shared" si="586"/>
        <v>k yet</v>
      </c>
    </row>
    <row r="3715" spans="1:39">
      <c r="A3715" s="42" t="s">
        <v>263</v>
      </c>
      <c r="B3715" s="40" t="str">
        <f t="shared" si="583"/>
        <v>No pick yet</v>
      </c>
      <c r="C3715" s="40" t="str">
        <f t="shared" si="582"/>
        <v>18-&gt;</v>
      </c>
      <c r="D3715" s="40" t="str">
        <f t="shared" si="584"/>
        <v xml:space="preserve">No pick yet                                                 </v>
      </c>
      <c r="E3715" s="52">
        <f t="shared" si="585"/>
        <v>0</v>
      </c>
      <c r="F3715" s="18"/>
      <c r="L3715" s="21"/>
      <c r="N3715" s="22"/>
      <c r="O3715" s="22"/>
      <c r="P3715" s="18"/>
      <c r="Q3715" s="22"/>
      <c r="R3715" s="22"/>
      <c r="S3715" s="22"/>
      <c r="Z3715" s="53"/>
      <c r="AA3715"/>
      <c r="AH3715" t="str">
        <f t="shared" si="586"/>
        <v>k yet</v>
      </c>
    </row>
    <row r="3716" spans="1:39">
      <c r="A3716" s="42" t="s">
        <v>264</v>
      </c>
      <c r="B3716" s="40" t="str">
        <f t="shared" si="583"/>
        <v>No pick yet</v>
      </c>
      <c r="C3716" s="40" t="str">
        <f t="shared" si="582"/>
        <v>19-&gt;</v>
      </c>
      <c r="D3716" s="40" t="str">
        <f t="shared" si="584"/>
        <v xml:space="preserve">No pick yet                                                 </v>
      </c>
      <c r="E3716" s="52">
        <f t="shared" si="585"/>
        <v>0</v>
      </c>
      <c r="F3716" s="18"/>
      <c r="M3716" s="18"/>
      <c r="N3716" s="18"/>
      <c r="O3716" s="18"/>
      <c r="P3716" s="18"/>
      <c r="Q3716" s="22"/>
      <c r="R3716" s="21"/>
      <c r="S3716" s="21"/>
      <c r="T3716" s="21"/>
      <c r="AA3716"/>
      <c r="AH3716" t="str">
        <f t="shared" si="586"/>
        <v>k yet</v>
      </c>
    </row>
    <row r="3717" spans="1:39">
      <c r="A3717" s="42" t="s">
        <v>265</v>
      </c>
      <c r="B3717" s="40" t="str">
        <f t="shared" si="583"/>
        <v>No pick yet</v>
      </c>
      <c r="C3717" s="40" t="str">
        <f t="shared" si="582"/>
        <v>20-&gt;</v>
      </c>
      <c r="D3717" s="40" t="str">
        <f t="shared" si="584"/>
        <v xml:space="preserve">No pick yet                                                 </v>
      </c>
      <c r="E3717" s="52">
        <f t="shared" si="585"/>
        <v>0</v>
      </c>
      <c r="F3717" s="18"/>
      <c r="M3717" s="18"/>
      <c r="N3717" s="18"/>
      <c r="O3717" s="18"/>
      <c r="P3717" s="18"/>
      <c r="Q3717" s="22"/>
      <c r="R3717" s="21"/>
      <c r="S3717" s="21"/>
      <c r="T3717" s="21"/>
      <c r="AA3717"/>
      <c r="AH3717" t="str">
        <f t="shared" si="586"/>
        <v>k yet</v>
      </c>
    </row>
    <row r="3718" spans="1:39">
      <c r="A3718" s="42" t="s">
        <v>266</v>
      </c>
      <c r="B3718" s="40" t="str">
        <f t="shared" si="583"/>
        <v>No pick yet</v>
      </c>
      <c r="C3718" s="40" t="str">
        <f t="shared" si="582"/>
        <v>21-&gt;</v>
      </c>
      <c r="D3718" s="40" t="str">
        <f t="shared" si="584"/>
        <v xml:space="preserve">No pick yet                                                 </v>
      </c>
      <c r="E3718" s="52">
        <f t="shared" si="585"/>
        <v>0</v>
      </c>
      <c r="F3718" s="18"/>
      <c r="M3718" s="18"/>
      <c r="N3718" s="18"/>
      <c r="O3718" s="18"/>
      <c r="P3718" s="18"/>
      <c r="Q3718" s="22"/>
      <c r="R3718" s="21"/>
      <c r="S3718" s="21"/>
      <c r="T3718" s="21"/>
      <c r="AA3718"/>
      <c r="AH3718" t="str">
        <f t="shared" si="586"/>
        <v>k yet</v>
      </c>
    </row>
    <row r="3719" spans="1:39">
      <c r="A3719" s="42" t="s">
        <v>267</v>
      </c>
      <c r="B3719" s="40" t="str">
        <f t="shared" si="583"/>
        <v>No pick yet</v>
      </c>
      <c r="C3719" s="40" t="str">
        <f t="shared" si="582"/>
        <v>22-&gt;</v>
      </c>
      <c r="D3719" s="40" t="str">
        <f t="shared" si="584"/>
        <v xml:space="preserve">No pick yet                                                 </v>
      </c>
      <c r="E3719" s="52">
        <f t="shared" si="585"/>
        <v>0</v>
      </c>
      <c r="F3719" s="18"/>
      <c r="M3719" s="18"/>
      <c r="N3719" s="18"/>
      <c r="O3719" s="18"/>
      <c r="P3719" s="18"/>
      <c r="Q3719" s="22"/>
      <c r="R3719" s="21"/>
      <c r="S3719" s="21"/>
      <c r="T3719" s="21"/>
      <c r="AA3719"/>
      <c r="AH3719" t="str">
        <f t="shared" si="586"/>
        <v>k yet</v>
      </c>
    </row>
    <row r="3720" spans="1:39">
      <c r="A3720" s="42" t="s">
        <v>268</v>
      </c>
      <c r="B3720" s="40" t="str">
        <f t="shared" si="583"/>
        <v>No pick yet</v>
      </c>
      <c r="C3720" s="40" t="str">
        <f t="shared" si="582"/>
        <v>23-&gt;</v>
      </c>
      <c r="D3720" s="40" t="str">
        <f t="shared" si="584"/>
        <v xml:space="preserve">No pick yet                                                 </v>
      </c>
      <c r="E3720" s="52">
        <f t="shared" si="585"/>
        <v>0</v>
      </c>
      <c r="F3720" s="18"/>
      <c r="M3720" s="18"/>
      <c r="N3720" s="18"/>
      <c r="O3720" s="18"/>
      <c r="P3720" s="18"/>
      <c r="Q3720" s="22"/>
      <c r="R3720" s="21"/>
      <c r="S3720" s="21"/>
      <c r="T3720" s="21"/>
      <c r="AA3720"/>
      <c r="AH3720" t="str">
        <f t="shared" si="586"/>
        <v>k yet</v>
      </c>
    </row>
    <row r="3721" spans="1:39">
      <c r="A3721" s="42" t="s">
        <v>269</v>
      </c>
      <c r="B3721" s="40" t="str">
        <f t="shared" si="583"/>
        <v>No pick yet</v>
      </c>
      <c r="C3721" s="40" t="str">
        <f t="shared" si="582"/>
        <v>24-&gt;</v>
      </c>
      <c r="D3721" s="40" t="str">
        <f t="shared" si="584"/>
        <v xml:space="preserve">No pick yet                                                 </v>
      </c>
      <c r="E3721" s="52">
        <f t="shared" si="585"/>
        <v>0</v>
      </c>
      <c r="F3721" s="18"/>
      <c r="M3721" s="18"/>
      <c r="N3721" s="18"/>
      <c r="O3721" s="18"/>
      <c r="P3721" s="18"/>
      <c r="Q3721" s="22"/>
      <c r="R3721" s="21"/>
      <c r="S3721" s="21"/>
      <c r="T3721" s="21"/>
      <c r="AA3721"/>
      <c r="AH3721" t="str">
        <f t="shared" si="586"/>
        <v>k yet</v>
      </c>
    </row>
    <row r="3722" spans="1:39">
      <c r="A3722" s="42" t="s">
        <v>270</v>
      </c>
      <c r="B3722" s="40" t="str">
        <f t="shared" si="583"/>
        <v>No pick yet</v>
      </c>
      <c r="C3722" s="40" t="str">
        <f t="shared" si="582"/>
        <v>25-&gt;</v>
      </c>
      <c r="D3722" s="40" t="str">
        <f t="shared" si="584"/>
        <v xml:space="preserve">No pick yet                                                 </v>
      </c>
      <c r="E3722" s="52">
        <f t="shared" si="585"/>
        <v>0</v>
      </c>
      <c r="F3722" s="18"/>
      <c r="M3722" s="18"/>
      <c r="N3722" s="18"/>
      <c r="O3722" s="18"/>
      <c r="P3722" s="18"/>
      <c r="Q3722" s="22"/>
      <c r="R3722" s="21"/>
      <c r="S3722" s="21"/>
      <c r="T3722" s="21"/>
      <c r="AA3722"/>
      <c r="AH3722" t="str">
        <f t="shared" si="586"/>
        <v>k yet</v>
      </c>
    </row>
    <row r="3723" spans="1:39">
      <c r="A3723" s="42" t="s">
        <v>271</v>
      </c>
      <c r="B3723" s="40" t="str">
        <f t="shared" si="583"/>
        <v>No pick yet</v>
      </c>
      <c r="C3723" s="40" t="str">
        <f t="shared" si="582"/>
        <v>26-&gt;</v>
      </c>
      <c r="D3723" s="40" t="str">
        <f t="shared" si="584"/>
        <v xml:space="preserve">No pick yet                                                 </v>
      </c>
      <c r="E3723" s="52">
        <f t="shared" si="585"/>
        <v>0</v>
      </c>
      <c r="F3723" s="18"/>
      <c r="M3723" s="18"/>
      <c r="N3723" s="18"/>
      <c r="O3723" s="18"/>
      <c r="P3723" s="18"/>
      <c r="Q3723" s="22"/>
      <c r="R3723" s="21"/>
      <c r="S3723" s="21"/>
      <c r="T3723" s="21"/>
      <c r="AA3723"/>
      <c r="AH3723" t="str">
        <f t="shared" si="586"/>
        <v>k yet</v>
      </c>
    </row>
    <row r="3724" spans="1:39">
      <c r="A3724" s="38"/>
      <c r="B3724" s="40"/>
      <c r="C3724" s="40"/>
      <c r="D3724" s="49"/>
      <c r="E3724" s="41" t="s">
        <v>69</v>
      </c>
      <c r="F3724" s="18"/>
      <c r="K3724" s="22" t="s">
        <v>73</v>
      </c>
      <c r="L3724" s="18" t="s">
        <v>74</v>
      </c>
      <c r="M3724" s="22" t="s">
        <v>78</v>
      </c>
      <c r="N3724" s="22" t="s">
        <v>79</v>
      </c>
      <c r="O3724" s="22" t="s">
        <v>80</v>
      </c>
      <c r="P3724" s="22" t="s">
        <v>81</v>
      </c>
      <c r="Q3724" s="22" t="s">
        <v>82</v>
      </c>
      <c r="R3724" s="22" t="s">
        <v>83</v>
      </c>
      <c r="S3724" s="22" t="s">
        <v>84</v>
      </c>
      <c r="T3724" s="18" t="s">
        <v>85</v>
      </c>
      <c r="U3724" s="18" t="s">
        <v>86</v>
      </c>
      <c r="V3724" s="18" t="s">
        <v>87</v>
      </c>
      <c r="W3724" s="18" t="s">
        <v>88</v>
      </c>
      <c r="X3724" s="18" t="s">
        <v>89</v>
      </c>
      <c r="Y3724" s="18" t="s">
        <v>90</v>
      </c>
      <c r="Z3724" s="18" t="s">
        <v>91</v>
      </c>
      <c r="AA3724" s="18" t="s">
        <v>92</v>
      </c>
      <c r="AB3724" s="18" t="s">
        <v>93</v>
      </c>
      <c r="AC3724" s="18" t="s">
        <v>94</v>
      </c>
      <c r="AD3724" s="18" t="s">
        <v>235</v>
      </c>
      <c r="AE3724" s="18" t="s">
        <v>236</v>
      </c>
      <c r="AF3724" s="18" t="s">
        <v>237</v>
      </c>
      <c r="AG3724" s="18" t="s">
        <v>238</v>
      </c>
      <c r="AH3724" s="18" t="s">
        <v>239</v>
      </c>
      <c r="AI3724" s="18" t="s">
        <v>240</v>
      </c>
      <c r="AJ3724" s="18" t="s">
        <v>241</v>
      </c>
      <c r="AK3724" s="18" t="s">
        <v>242</v>
      </c>
      <c r="AL3724" s="18" t="s">
        <v>243</v>
      </c>
      <c r="AM3724" s="50" t="s">
        <v>244</v>
      </c>
    </row>
    <row r="3725" spans="1:39">
      <c r="A3725" s="40" t="s">
        <v>245</v>
      </c>
      <c r="B3725" s="51" t="str">
        <f>D132</f>
        <v/>
      </c>
      <c r="C3725" s="40" t="str">
        <f t="shared" ref="C3725:C3751" si="587">A3725</f>
        <v>#</v>
      </c>
      <c r="D3725" s="40" t="str">
        <f>"   "&amp;B3725&amp;REPT(" ",$AH$70-LEN(B3725)-3)</f>
        <v xml:space="preserve">                                                            </v>
      </c>
      <c r="E3725" s="38" t="str">
        <f>SUM(E3726:E3751)&amp;" pts[/b]"</f>
        <v>0 pts[/b]</v>
      </c>
      <c r="F3725" s="21">
        <f>SUM(E3726:E3751)</f>
        <v>0</v>
      </c>
      <c r="K3725" s="18">
        <f>COUNTIF(E3726:E3751,"&gt;0")</f>
        <v>0</v>
      </c>
      <c r="L3725" s="21">
        <f>AM3725-K3725</f>
        <v>0</v>
      </c>
      <c r="M3725" s="22">
        <f>MAX(E3726:E3751)</f>
        <v>0</v>
      </c>
      <c r="N3725" s="22">
        <f>LARGE(E3726:E3751,2)</f>
        <v>0</v>
      </c>
      <c r="O3725" s="22">
        <f>LARGE(E3726:E3751,3)</f>
        <v>0</v>
      </c>
      <c r="P3725" s="18">
        <f>LARGE(E3726:E3751,4)</f>
        <v>0</v>
      </c>
      <c r="Q3725" s="22">
        <f>LARGE(E3726:E3751,5)</f>
        <v>0</v>
      </c>
      <c r="R3725" s="22">
        <f>LARGE(E3726:E3751,6)</f>
        <v>0</v>
      </c>
      <c r="S3725" s="22">
        <f>LARGE(E3726:E3751,7)</f>
        <v>0</v>
      </c>
      <c r="T3725" s="18">
        <f>LARGE(E3726:E3751,8)</f>
        <v>0</v>
      </c>
      <c r="U3725" s="18">
        <f>LARGE(E3726:E3751,9)</f>
        <v>0</v>
      </c>
      <c r="V3725" s="18">
        <f>LARGE(E3726:E3751,10)</f>
        <v>0</v>
      </c>
      <c r="W3725" s="18">
        <f>LARGE(E3726:E3751,11)</f>
        <v>0</v>
      </c>
      <c r="X3725" s="18">
        <f>LARGE(E3726:E3751,12)</f>
        <v>0</v>
      </c>
      <c r="Y3725" s="18">
        <f>LARGE(E3726:E3751,13)</f>
        <v>0</v>
      </c>
      <c r="Z3725" s="18">
        <f>LARGE(E3726:E3751,14)</f>
        <v>0</v>
      </c>
      <c r="AA3725" s="18">
        <f>LARGE(E3726:E3751,15)</f>
        <v>0</v>
      </c>
      <c r="AB3725" s="18">
        <f>LARGE(E3726:E3751,16)</f>
        <v>0</v>
      </c>
      <c r="AC3725" s="18">
        <f>LARGE(E3726:E3751,17)</f>
        <v>0</v>
      </c>
      <c r="AD3725" s="18">
        <f>LARGE(E3726:E3752,13)</f>
        <v>0</v>
      </c>
      <c r="AE3725" s="18">
        <f>LARGE(E3726:E3751,19)</f>
        <v>0</v>
      </c>
      <c r="AF3725" s="18">
        <f>LARGE(E3726:E3751,20)</f>
        <v>0</v>
      </c>
      <c r="AG3725" s="18">
        <f>LARGE(E3726:E3751,21)</f>
        <v>0</v>
      </c>
      <c r="AH3725" s="18">
        <f>LARGE(E3726:E3751,22)</f>
        <v>0</v>
      </c>
      <c r="AI3725" s="18">
        <f>LARGE(E3726:E3751,23)</f>
        <v>0</v>
      </c>
      <c r="AJ3725" s="18">
        <f>LARGE(E3726:E3751,24)</f>
        <v>0</v>
      </c>
      <c r="AK3725" s="18">
        <f>LARGE(E3726:E3751,25)</f>
        <v>0</v>
      </c>
      <c r="AL3725" s="18">
        <f>LARGE(E3726:E3751,26)</f>
        <v>0</v>
      </c>
      <c r="AM3725" s="50">
        <f>COUNTIF(B3726:B3751,"&lt;&gt;"&amp;AH74)</f>
        <v>0</v>
      </c>
    </row>
    <row r="3726" spans="1:39">
      <c r="A3726" s="42" t="s">
        <v>246</v>
      </c>
      <c r="B3726" s="40" t="str">
        <f t="shared" ref="B3726:B3751" si="588">$AH$74</f>
        <v>No pick yet</v>
      </c>
      <c r="C3726" s="40" t="str">
        <f t="shared" si="587"/>
        <v>01-&gt;</v>
      </c>
      <c r="D3726" s="40" t="str">
        <f t="shared" ref="D3726:D3751" si="589">B3726&amp;REPT(" ",$AH$70-LEN(B3726))</f>
        <v xml:space="preserve">No pick yet                                                 </v>
      </c>
      <c r="E3726" s="52">
        <f t="shared" ref="E3726:E3751" si="590">VLOOKUP(RIGHT(B3726,LEN(B3726)-$AH$66),$H$138:$I$420,2,0)</f>
        <v>0</v>
      </c>
      <c r="F3726" s="18"/>
      <c r="M3726" s="18"/>
      <c r="N3726" s="18"/>
      <c r="O3726" s="18"/>
      <c r="P3726" s="18"/>
      <c r="Q3726" s="22"/>
      <c r="R3726" s="21"/>
      <c r="S3726" s="21"/>
      <c r="T3726" s="21"/>
      <c r="AA3726"/>
      <c r="AH3726" t="str">
        <f t="shared" ref="AH3726:AH3751" si="591">RIGHT(B3726,LEN(B3726)-$AH$66)</f>
        <v>k yet</v>
      </c>
    </row>
    <row r="3727" spans="1:39">
      <c r="A3727" s="42" t="s">
        <v>247</v>
      </c>
      <c r="B3727" s="40" t="str">
        <f t="shared" si="588"/>
        <v>No pick yet</v>
      </c>
      <c r="C3727" s="40" t="str">
        <f t="shared" si="587"/>
        <v>02-&gt;</v>
      </c>
      <c r="D3727" s="40" t="str">
        <f t="shared" si="589"/>
        <v xml:space="preserve">No pick yet                                                 </v>
      </c>
      <c r="E3727" s="52">
        <f t="shared" si="590"/>
        <v>0</v>
      </c>
      <c r="F3727" s="18"/>
      <c r="K3727" s="22"/>
      <c r="N3727" s="22"/>
      <c r="O3727" s="22"/>
      <c r="P3727" s="22"/>
      <c r="Q3727" s="22"/>
      <c r="R3727" s="22"/>
      <c r="S3727" s="22"/>
      <c r="Z3727" s="53"/>
      <c r="AA3727"/>
      <c r="AH3727" t="str">
        <f t="shared" si="591"/>
        <v>k yet</v>
      </c>
    </row>
    <row r="3728" spans="1:39">
      <c r="A3728" s="42" t="s">
        <v>248</v>
      </c>
      <c r="B3728" s="40" t="str">
        <f t="shared" si="588"/>
        <v>No pick yet</v>
      </c>
      <c r="C3728" s="40" t="str">
        <f t="shared" si="587"/>
        <v>03-&gt;</v>
      </c>
      <c r="D3728" s="40" t="str">
        <f t="shared" si="589"/>
        <v xml:space="preserve">No pick yet                                                 </v>
      </c>
      <c r="E3728" s="52">
        <f t="shared" si="590"/>
        <v>0</v>
      </c>
      <c r="F3728" s="18"/>
      <c r="L3728" s="21"/>
      <c r="N3728" s="22"/>
      <c r="O3728" s="22"/>
      <c r="P3728" s="18"/>
      <c r="Q3728" s="22"/>
      <c r="R3728" s="22"/>
      <c r="S3728" s="22"/>
      <c r="Z3728" s="53"/>
      <c r="AA3728"/>
      <c r="AH3728" t="str">
        <f t="shared" si="591"/>
        <v>k yet</v>
      </c>
    </row>
    <row r="3729" spans="1:34">
      <c r="A3729" s="42" t="s">
        <v>249</v>
      </c>
      <c r="B3729" s="40" t="str">
        <f t="shared" si="588"/>
        <v>No pick yet</v>
      </c>
      <c r="C3729" s="40" t="str">
        <f t="shared" si="587"/>
        <v>04-&gt;</v>
      </c>
      <c r="D3729" s="40" t="str">
        <f t="shared" si="589"/>
        <v xml:space="preserve">No pick yet                                                 </v>
      </c>
      <c r="E3729" s="52">
        <f t="shared" si="590"/>
        <v>0</v>
      </c>
      <c r="F3729" s="18"/>
      <c r="M3729" s="18"/>
      <c r="N3729" s="18"/>
      <c r="O3729" s="18"/>
      <c r="P3729" s="18"/>
      <c r="Q3729" s="22"/>
      <c r="R3729" s="21"/>
      <c r="S3729" s="21"/>
      <c r="T3729" s="21"/>
      <c r="AA3729"/>
      <c r="AH3729" t="str">
        <f t="shared" si="591"/>
        <v>k yet</v>
      </c>
    </row>
    <row r="3730" spans="1:34">
      <c r="A3730" s="42" t="s">
        <v>250</v>
      </c>
      <c r="B3730" s="40" t="str">
        <f t="shared" si="588"/>
        <v>No pick yet</v>
      </c>
      <c r="C3730" s="40" t="str">
        <f t="shared" si="587"/>
        <v>05-&gt;</v>
      </c>
      <c r="D3730" s="40" t="str">
        <f t="shared" si="589"/>
        <v xml:space="preserve">No pick yet                                                 </v>
      </c>
      <c r="E3730" s="52">
        <f t="shared" si="590"/>
        <v>0</v>
      </c>
      <c r="F3730" s="18"/>
      <c r="M3730" s="18"/>
      <c r="N3730" s="18"/>
      <c r="O3730" s="18"/>
      <c r="P3730" s="18"/>
      <c r="Q3730" s="22"/>
      <c r="R3730" s="21"/>
      <c r="S3730" s="21"/>
      <c r="T3730" s="21"/>
      <c r="AA3730"/>
      <c r="AH3730" t="str">
        <f t="shared" si="591"/>
        <v>k yet</v>
      </c>
    </row>
    <row r="3731" spans="1:34">
      <c r="A3731" s="42" t="s">
        <v>251</v>
      </c>
      <c r="B3731" s="40" t="str">
        <f t="shared" si="588"/>
        <v>No pick yet</v>
      </c>
      <c r="C3731" s="40" t="str">
        <f t="shared" si="587"/>
        <v>06-&gt;</v>
      </c>
      <c r="D3731" s="40" t="str">
        <f t="shared" si="589"/>
        <v xml:space="preserve">No pick yet                                                 </v>
      </c>
      <c r="E3731" s="52">
        <f t="shared" si="590"/>
        <v>0</v>
      </c>
      <c r="F3731" s="18"/>
      <c r="M3731" s="18"/>
      <c r="N3731" s="18"/>
      <c r="O3731" s="18"/>
      <c r="P3731" s="18"/>
      <c r="Q3731" s="22"/>
      <c r="R3731" s="21"/>
      <c r="S3731" s="21"/>
      <c r="T3731" s="21"/>
      <c r="AA3731"/>
      <c r="AH3731" t="str">
        <f t="shared" si="591"/>
        <v>k yet</v>
      </c>
    </row>
    <row r="3732" spans="1:34">
      <c r="A3732" s="42" t="s">
        <v>252</v>
      </c>
      <c r="B3732" s="40" t="str">
        <f t="shared" si="588"/>
        <v>No pick yet</v>
      </c>
      <c r="C3732" s="40" t="str">
        <f t="shared" si="587"/>
        <v>07-&gt;</v>
      </c>
      <c r="D3732" s="40" t="str">
        <f t="shared" si="589"/>
        <v xml:space="preserve">No pick yet                                                 </v>
      </c>
      <c r="E3732" s="52">
        <f t="shared" si="590"/>
        <v>0</v>
      </c>
      <c r="F3732" s="18"/>
      <c r="M3732" s="18"/>
      <c r="N3732" s="18"/>
      <c r="O3732" s="18"/>
      <c r="P3732" s="18"/>
      <c r="Q3732" s="22"/>
      <c r="R3732" s="21"/>
      <c r="S3732" s="21"/>
      <c r="T3732" s="21"/>
      <c r="AA3732"/>
      <c r="AH3732" t="str">
        <f t="shared" si="591"/>
        <v>k yet</v>
      </c>
    </row>
    <row r="3733" spans="1:34">
      <c r="A3733" s="42" t="s">
        <v>253</v>
      </c>
      <c r="B3733" s="40" t="str">
        <f t="shared" si="588"/>
        <v>No pick yet</v>
      </c>
      <c r="C3733" s="40" t="str">
        <f t="shared" si="587"/>
        <v>08-&gt;</v>
      </c>
      <c r="D3733" s="40" t="str">
        <f t="shared" si="589"/>
        <v xml:space="preserve">No pick yet                                                 </v>
      </c>
      <c r="E3733" s="52">
        <f t="shared" si="590"/>
        <v>0</v>
      </c>
      <c r="F3733" s="18"/>
      <c r="M3733" s="18"/>
      <c r="N3733" s="18"/>
      <c r="O3733" s="18"/>
      <c r="P3733" s="18"/>
      <c r="Q3733" s="22"/>
      <c r="R3733" s="21"/>
      <c r="S3733" s="21"/>
      <c r="T3733" s="21"/>
      <c r="AA3733"/>
      <c r="AH3733" t="str">
        <f t="shared" si="591"/>
        <v>k yet</v>
      </c>
    </row>
    <row r="3734" spans="1:34">
      <c r="A3734" s="42" t="s">
        <v>254</v>
      </c>
      <c r="B3734" s="40" t="str">
        <f t="shared" si="588"/>
        <v>No pick yet</v>
      </c>
      <c r="C3734" s="40" t="str">
        <f t="shared" si="587"/>
        <v>09-&gt;</v>
      </c>
      <c r="D3734" s="40" t="str">
        <f t="shared" si="589"/>
        <v xml:space="preserve">No pick yet                                                 </v>
      </c>
      <c r="E3734" s="52">
        <f t="shared" si="590"/>
        <v>0</v>
      </c>
      <c r="F3734" s="18"/>
      <c r="M3734" s="18"/>
      <c r="N3734" s="18"/>
      <c r="O3734" s="18"/>
      <c r="P3734" s="18"/>
      <c r="Q3734" s="22"/>
      <c r="R3734" s="21"/>
      <c r="S3734" s="21"/>
      <c r="T3734" s="21"/>
      <c r="AA3734"/>
      <c r="AH3734" t="str">
        <f t="shared" si="591"/>
        <v>k yet</v>
      </c>
    </row>
    <row r="3735" spans="1:34">
      <c r="A3735" s="42" t="s">
        <v>255</v>
      </c>
      <c r="B3735" s="40" t="str">
        <f t="shared" si="588"/>
        <v>No pick yet</v>
      </c>
      <c r="C3735" s="40" t="str">
        <f t="shared" si="587"/>
        <v>10-&gt;</v>
      </c>
      <c r="D3735" s="40" t="str">
        <f t="shared" si="589"/>
        <v xml:space="preserve">No pick yet                                                 </v>
      </c>
      <c r="E3735" s="52">
        <f t="shared" si="590"/>
        <v>0</v>
      </c>
      <c r="F3735" s="22"/>
      <c r="M3735" s="18"/>
      <c r="N3735" s="18"/>
      <c r="O3735" s="18"/>
      <c r="P3735" s="18"/>
      <c r="Q3735" s="22"/>
      <c r="R3735" s="21"/>
      <c r="S3735" s="21"/>
      <c r="T3735" s="21"/>
      <c r="AA3735"/>
      <c r="AH3735" t="str">
        <f t="shared" si="591"/>
        <v>k yet</v>
      </c>
    </row>
    <row r="3736" spans="1:34">
      <c r="A3736" s="42" t="s">
        <v>256</v>
      </c>
      <c r="B3736" s="40" t="str">
        <f t="shared" si="588"/>
        <v>No pick yet</v>
      </c>
      <c r="C3736" s="40" t="str">
        <f t="shared" si="587"/>
        <v>11-&gt;</v>
      </c>
      <c r="D3736" s="40" t="str">
        <f t="shared" si="589"/>
        <v xml:space="preserve">No pick yet                                                 </v>
      </c>
      <c r="E3736" s="52">
        <f t="shared" si="590"/>
        <v>0</v>
      </c>
      <c r="M3736" s="18"/>
      <c r="N3736" s="18"/>
      <c r="O3736" s="18"/>
      <c r="P3736" s="18"/>
      <c r="Q3736" s="22"/>
      <c r="R3736" s="21"/>
      <c r="S3736" s="21"/>
      <c r="T3736" s="21"/>
      <c r="AA3736"/>
      <c r="AH3736" t="str">
        <f t="shared" si="591"/>
        <v>k yet</v>
      </c>
    </row>
    <row r="3737" spans="1:34">
      <c r="A3737" s="42" t="s">
        <v>257</v>
      </c>
      <c r="B3737" s="40" t="str">
        <f t="shared" si="588"/>
        <v>No pick yet</v>
      </c>
      <c r="C3737" s="40" t="str">
        <f t="shared" si="587"/>
        <v>12-&gt;</v>
      </c>
      <c r="D3737" s="40" t="str">
        <f t="shared" si="589"/>
        <v xml:space="preserve">No pick yet                                                 </v>
      </c>
      <c r="E3737" s="52">
        <f t="shared" si="590"/>
        <v>0</v>
      </c>
      <c r="M3737" s="18"/>
      <c r="N3737" s="18"/>
      <c r="O3737" s="18"/>
      <c r="P3737" s="18"/>
      <c r="Q3737" s="22"/>
      <c r="R3737" s="21"/>
      <c r="S3737" s="21"/>
      <c r="T3737" s="21"/>
      <c r="AA3737"/>
      <c r="AH3737" t="str">
        <f t="shared" si="591"/>
        <v>k yet</v>
      </c>
    </row>
    <row r="3738" spans="1:34">
      <c r="A3738" s="42" t="s">
        <v>258</v>
      </c>
      <c r="B3738" s="40" t="str">
        <f t="shared" si="588"/>
        <v>No pick yet</v>
      </c>
      <c r="C3738" s="40" t="str">
        <f t="shared" si="587"/>
        <v>13-&gt;</v>
      </c>
      <c r="D3738" s="40" t="str">
        <f t="shared" si="589"/>
        <v xml:space="preserve">No pick yet                                                 </v>
      </c>
      <c r="E3738" s="52">
        <f t="shared" si="590"/>
        <v>0</v>
      </c>
      <c r="M3738" s="18"/>
      <c r="N3738" s="18"/>
      <c r="O3738" s="18"/>
      <c r="P3738" s="18"/>
      <c r="Q3738" s="22"/>
      <c r="R3738" s="21"/>
      <c r="S3738" s="21"/>
      <c r="T3738" s="21"/>
      <c r="AA3738"/>
      <c r="AH3738" t="str">
        <f t="shared" si="591"/>
        <v>k yet</v>
      </c>
    </row>
    <row r="3739" spans="1:34">
      <c r="A3739" s="42" t="s">
        <v>259</v>
      </c>
      <c r="B3739" s="40" t="str">
        <f t="shared" si="588"/>
        <v>No pick yet</v>
      </c>
      <c r="C3739" s="40" t="str">
        <f t="shared" si="587"/>
        <v>14-&gt;</v>
      </c>
      <c r="D3739" s="40" t="str">
        <f t="shared" si="589"/>
        <v xml:space="preserve">No pick yet                                                 </v>
      </c>
      <c r="E3739" s="52">
        <f t="shared" si="590"/>
        <v>0</v>
      </c>
      <c r="M3739" s="18"/>
      <c r="N3739" s="18"/>
      <c r="O3739" s="18"/>
      <c r="P3739" s="18"/>
      <c r="Q3739" s="22"/>
      <c r="R3739" s="21"/>
      <c r="S3739" s="21"/>
      <c r="T3739" s="21"/>
      <c r="AA3739"/>
      <c r="AH3739" t="str">
        <f t="shared" si="591"/>
        <v>k yet</v>
      </c>
    </row>
    <row r="3740" spans="1:34">
      <c r="A3740" s="42" t="s">
        <v>260</v>
      </c>
      <c r="B3740" s="40" t="str">
        <f t="shared" si="588"/>
        <v>No pick yet</v>
      </c>
      <c r="C3740" s="40" t="str">
        <f t="shared" si="587"/>
        <v>15-&gt;</v>
      </c>
      <c r="D3740" s="40" t="str">
        <f t="shared" si="589"/>
        <v xml:space="preserve">No pick yet                                                 </v>
      </c>
      <c r="E3740" s="52">
        <f t="shared" si="590"/>
        <v>0</v>
      </c>
      <c r="M3740" s="18"/>
      <c r="N3740" s="18"/>
      <c r="O3740" s="18"/>
      <c r="P3740" s="18"/>
      <c r="Q3740" s="22"/>
      <c r="R3740" s="21"/>
      <c r="S3740" s="21"/>
      <c r="T3740" s="21"/>
      <c r="AA3740"/>
      <c r="AH3740" t="str">
        <f t="shared" si="591"/>
        <v>k yet</v>
      </c>
    </row>
    <row r="3741" spans="1:34">
      <c r="A3741" s="42" t="s">
        <v>261</v>
      </c>
      <c r="B3741" s="40" t="str">
        <f t="shared" si="588"/>
        <v>No pick yet</v>
      </c>
      <c r="C3741" s="40" t="str">
        <f t="shared" si="587"/>
        <v>16-&gt;</v>
      </c>
      <c r="D3741" s="40" t="str">
        <f t="shared" si="589"/>
        <v xml:space="preserve">No pick yet                                                 </v>
      </c>
      <c r="E3741" s="52">
        <f t="shared" si="590"/>
        <v>0</v>
      </c>
      <c r="M3741" s="18"/>
      <c r="N3741" s="18"/>
      <c r="O3741" s="18"/>
      <c r="P3741" s="18"/>
      <c r="Q3741" s="22"/>
      <c r="R3741" s="21"/>
      <c r="S3741" s="21"/>
      <c r="T3741" s="21"/>
      <c r="AA3741"/>
      <c r="AH3741" t="str">
        <f t="shared" si="591"/>
        <v>k yet</v>
      </c>
    </row>
    <row r="3742" spans="1:34">
      <c r="A3742" s="42" t="s">
        <v>262</v>
      </c>
      <c r="B3742" s="40" t="str">
        <f t="shared" si="588"/>
        <v>No pick yet</v>
      </c>
      <c r="C3742" s="40" t="str">
        <f t="shared" si="587"/>
        <v>17-&gt;</v>
      </c>
      <c r="D3742" s="40" t="str">
        <f t="shared" si="589"/>
        <v xml:space="preserve">No pick yet                                                 </v>
      </c>
      <c r="E3742" s="52">
        <f t="shared" si="590"/>
        <v>0</v>
      </c>
      <c r="K3742" s="22"/>
      <c r="N3742" s="22"/>
      <c r="O3742" s="22"/>
      <c r="P3742" s="22"/>
      <c r="Q3742" s="22"/>
      <c r="R3742" s="22"/>
      <c r="S3742" s="22"/>
      <c r="Z3742" s="53"/>
      <c r="AA3742"/>
      <c r="AH3742" t="str">
        <f t="shared" si="591"/>
        <v>k yet</v>
      </c>
    </row>
    <row r="3743" spans="1:34">
      <c r="A3743" s="42" t="s">
        <v>263</v>
      </c>
      <c r="B3743" s="40" t="str">
        <f t="shared" si="588"/>
        <v>No pick yet</v>
      </c>
      <c r="C3743" s="40" t="str">
        <f t="shared" si="587"/>
        <v>18-&gt;</v>
      </c>
      <c r="D3743" s="40" t="str">
        <f t="shared" si="589"/>
        <v xml:space="preserve">No pick yet                                                 </v>
      </c>
      <c r="E3743" s="52">
        <f t="shared" si="590"/>
        <v>0</v>
      </c>
      <c r="F3743" s="18"/>
      <c r="L3743" s="21"/>
      <c r="N3743" s="22"/>
      <c r="O3743" s="22"/>
      <c r="P3743" s="18"/>
      <c r="Q3743" s="22"/>
      <c r="R3743" s="22"/>
      <c r="S3743" s="22"/>
      <c r="Z3743" s="53"/>
      <c r="AA3743"/>
      <c r="AH3743" t="str">
        <f t="shared" si="591"/>
        <v>k yet</v>
      </c>
    </row>
    <row r="3744" spans="1:34">
      <c r="A3744" s="42" t="s">
        <v>264</v>
      </c>
      <c r="B3744" s="40" t="str">
        <f t="shared" si="588"/>
        <v>No pick yet</v>
      </c>
      <c r="C3744" s="40" t="str">
        <f t="shared" si="587"/>
        <v>19-&gt;</v>
      </c>
      <c r="D3744" s="40" t="str">
        <f t="shared" si="589"/>
        <v xml:space="preserve">No pick yet                                                 </v>
      </c>
      <c r="E3744" s="52">
        <f t="shared" si="590"/>
        <v>0</v>
      </c>
      <c r="F3744" s="18"/>
      <c r="M3744" s="18"/>
      <c r="N3744" s="18"/>
      <c r="O3744" s="18"/>
      <c r="P3744" s="18"/>
      <c r="Q3744" s="22"/>
      <c r="R3744" s="21"/>
      <c r="S3744" s="21"/>
      <c r="T3744" s="21"/>
      <c r="AA3744"/>
      <c r="AH3744" t="str">
        <f t="shared" si="591"/>
        <v>k yet</v>
      </c>
    </row>
    <row r="3745" spans="1:39">
      <c r="A3745" s="42" t="s">
        <v>265</v>
      </c>
      <c r="B3745" s="40" t="str">
        <f t="shared" si="588"/>
        <v>No pick yet</v>
      </c>
      <c r="C3745" s="40" t="str">
        <f t="shared" si="587"/>
        <v>20-&gt;</v>
      </c>
      <c r="D3745" s="40" t="str">
        <f t="shared" si="589"/>
        <v xml:space="preserve">No pick yet                                                 </v>
      </c>
      <c r="E3745" s="52">
        <f t="shared" si="590"/>
        <v>0</v>
      </c>
      <c r="F3745" s="18"/>
      <c r="M3745" s="18"/>
      <c r="N3745" s="18"/>
      <c r="O3745" s="18"/>
      <c r="P3745" s="18"/>
      <c r="Q3745" s="22"/>
      <c r="R3745" s="21"/>
      <c r="S3745" s="21"/>
      <c r="T3745" s="21"/>
      <c r="AA3745"/>
      <c r="AH3745" t="str">
        <f t="shared" si="591"/>
        <v>k yet</v>
      </c>
    </row>
    <row r="3746" spans="1:39">
      <c r="A3746" s="42" t="s">
        <v>266</v>
      </c>
      <c r="B3746" s="40" t="str">
        <f t="shared" si="588"/>
        <v>No pick yet</v>
      </c>
      <c r="C3746" s="40" t="str">
        <f t="shared" si="587"/>
        <v>21-&gt;</v>
      </c>
      <c r="D3746" s="40" t="str">
        <f t="shared" si="589"/>
        <v xml:space="preserve">No pick yet                                                 </v>
      </c>
      <c r="E3746" s="52">
        <f t="shared" si="590"/>
        <v>0</v>
      </c>
      <c r="F3746" s="18"/>
      <c r="M3746" s="18"/>
      <c r="N3746" s="18"/>
      <c r="O3746" s="18"/>
      <c r="P3746" s="18"/>
      <c r="Q3746" s="22"/>
      <c r="R3746" s="21"/>
      <c r="S3746" s="21"/>
      <c r="T3746" s="21"/>
      <c r="AA3746"/>
      <c r="AH3746" t="str">
        <f t="shared" si="591"/>
        <v>k yet</v>
      </c>
    </row>
    <row r="3747" spans="1:39">
      <c r="A3747" s="42" t="s">
        <v>267</v>
      </c>
      <c r="B3747" s="40" t="str">
        <f t="shared" si="588"/>
        <v>No pick yet</v>
      </c>
      <c r="C3747" s="40" t="str">
        <f t="shared" si="587"/>
        <v>22-&gt;</v>
      </c>
      <c r="D3747" s="40" t="str">
        <f t="shared" si="589"/>
        <v xml:space="preserve">No pick yet                                                 </v>
      </c>
      <c r="E3747" s="52">
        <f t="shared" si="590"/>
        <v>0</v>
      </c>
      <c r="F3747" s="18"/>
      <c r="M3747" s="18"/>
      <c r="N3747" s="18"/>
      <c r="O3747" s="18"/>
      <c r="P3747" s="18"/>
      <c r="Q3747" s="22"/>
      <c r="R3747" s="21"/>
      <c r="S3747" s="21"/>
      <c r="T3747" s="21"/>
      <c r="AA3747"/>
      <c r="AH3747" t="str">
        <f t="shared" si="591"/>
        <v>k yet</v>
      </c>
    </row>
    <row r="3748" spans="1:39">
      <c r="A3748" s="42" t="s">
        <v>268</v>
      </c>
      <c r="B3748" s="40" t="str">
        <f t="shared" si="588"/>
        <v>No pick yet</v>
      </c>
      <c r="C3748" s="40" t="str">
        <f t="shared" si="587"/>
        <v>23-&gt;</v>
      </c>
      <c r="D3748" s="40" t="str">
        <f t="shared" si="589"/>
        <v xml:space="preserve">No pick yet                                                 </v>
      </c>
      <c r="E3748" s="52">
        <f t="shared" si="590"/>
        <v>0</v>
      </c>
      <c r="F3748" s="18"/>
      <c r="M3748" s="18"/>
      <c r="N3748" s="18"/>
      <c r="O3748" s="18"/>
      <c r="P3748" s="18"/>
      <c r="Q3748" s="22"/>
      <c r="R3748" s="21"/>
      <c r="S3748" s="21"/>
      <c r="T3748" s="21"/>
      <c r="AA3748"/>
      <c r="AH3748" t="str">
        <f t="shared" si="591"/>
        <v>k yet</v>
      </c>
    </row>
    <row r="3749" spans="1:39">
      <c r="A3749" s="42" t="s">
        <v>269</v>
      </c>
      <c r="B3749" s="40" t="str">
        <f t="shared" si="588"/>
        <v>No pick yet</v>
      </c>
      <c r="C3749" s="40" t="str">
        <f t="shared" si="587"/>
        <v>24-&gt;</v>
      </c>
      <c r="D3749" s="40" t="str">
        <f t="shared" si="589"/>
        <v xml:space="preserve">No pick yet                                                 </v>
      </c>
      <c r="E3749" s="52">
        <f t="shared" si="590"/>
        <v>0</v>
      </c>
      <c r="F3749" s="18"/>
      <c r="M3749" s="18"/>
      <c r="N3749" s="18"/>
      <c r="O3749" s="18"/>
      <c r="P3749" s="18"/>
      <c r="Q3749" s="22"/>
      <c r="R3749" s="21"/>
      <c r="S3749" s="21"/>
      <c r="T3749" s="21"/>
      <c r="AA3749"/>
      <c r="AH3749" t="str">
        <f t="shared" si="591"/>
        <v>k yet</v>
      </c>
    </row>
    <row r="3750" spans="1:39">
      <c r="A3750" s="42" t="s">
        <v>270</v>
      </c>
      <c r="B3750" s="40" t="str">
        <f t="shared" si="588"/>
        <v>No pick yet</v>
      </c>
      <c r="C3750" s="40" t="str">
        <f t="shared" si="587"/>
        <v>25-&gt;</v>
      </c>
      <c r="D3750" s="40" t="str">
        <f t="shared" si="589"/>
        <v xml:space="preserve">No pick yet                                                 </v>
      </c>
      <c r="E3750" s="52">
        <f t="shared" si="590"/>
        <v>0</v>
      </c>
      <c r="F3750" s="18"/>
      <c r="M3750" s="18"/>
      <c r="N3750" s="18"/>
      <c r="O3750" s="18"/>
      <c r="P3750" s="18"/>
      <c r="Q3750" s="22"/>
      <c r="R3750" s="21"/>
      <c r="S3750" s="21"/>
      <c r="T3750" s="21"/>
      <c r="AA3750"/>
      <c r="AH3750" t="str">
        <f t="shared" si="591"/>
        <v>k yet</v>
      </c>
    </row>
    <row r="3751" spans="1:39">
      <c r="A3751" s="42" t="s">
        <v>271</v>
      </c>
      <c r="B3751" s="40" t="str">
        <f t="shared" si="588"/>
        <v>No pick yet</v>
      </c>
      <c r="C3751" s="40" t="str">
        <f t="shared" si="587"/>
        <v>26-&gt;</v>
      </c>
      <c r="D3751" s="40" t="str">
        <f t="shared" si="589"/>
        <v xml:space="preserve">No pick yet                                                 </v>
      </c>
      <c r="E3751" s="52">
        <f t="shared" si="590"/>
        <v>0</v>
      </c>
      <c r="F3751" s="18"/>
      <c r="M3751" s="18"/>
      <c r="N3751" s="18"/>
      <c r="O3751" s="18"/>
      <c r="P3751" s="18"/>
      <c r="Q3751" s="22"/>
      <c r="R3751" s="21"/>
      <c r="S3751" s="21"/>
      <c r="T3751" s="21"/>
      <c r="AA3751"/>
      <c r="AH3751" t="str">
        <f t="shared" si="591"/>
        <v>k yet</v>
      </c>
    </row>
    <row r="3752" spans="1:39">
      <c r="A3752" s="38"/>
      <c r="B3752" s="40"/>
      <c r="C3752" s="40"/>
      <c r="D3752" s="49"/>
      <c r="E3752" s="41" t="s">
        <v>69</v>
      </c>
      <c r="F3752" s="18"/>
      <c r="K3752" s="22" t="s">
        <v>73</v>
      </c>
      <c r="L3752" s="18" t="s">
        <v>74</v>
      </c>
      <c r="M3752" s="22" t="s">
        <v>78</v>
      </c>
      <c r="N3752" s="22" t="s">
        <v>79</v>
      </c>
      <c r="O3752" s="22" t="s">
        <v>80</v>
      </c>
      <c r="P3752" s="22" t="s">
        <v>81</v>
      </c>
      <c r="Q3752" s="22" t="s">
        <v>82</v>
      </c>
      <c r="R3752" s="22" t="s">
        <v>83</v>
      </c>
      <c r="S3752" s="22" t="s">
        <v>84</v>
      </c>
      <c r="T3752" s="18" t="s">
        <v>85</v>
      </c>
      <c r="U3752" s="18" t="s">
        <v>86</v>
      </c>
      <c r="V3752" s="18" t="s">
        <v>87</v>
      </c>
      <c r="W3752" s="18" t="s">
        <v>88</v>
      </c>
      <c r="X3752" s="18" t="s">
        <v>89</v>
      </c>
      <c r="Y3752" s="18" t="s">
        <v>90</v>
      </c>
      <c r="Z3752" s="18" t="s">
        <v>91</v>
      </c>
      <c r="AA3752" s="18" t="s">
        <v>92</v>
      </c>
      <c r="AB3752" s="18" t="s">
        <v>93</v>
      </c>
      <c r="AC3752" s="18" t="s">
        <v>94</v>
      </c>
      <c r="AD3752" s="18" t="s">
        <v>235</v>
      </c>
      <c r="AE3752" s="18" t="s">
        <v>236</v>
      </c>
      <c r="AF3752" s="18" t="s">
        <v>237</v>
      </c>
      <c r="AG3752" s="18" t="s">
        <v>238</v>
      </c>
      <c r="AH3752" s="18" t="s">
        <v>239</v>
      </c>
      <c r="AI3752" s="18" t="s">
        <v>240</v>
      </c>
      <c r="AJ3752" s="18" t="s">
        <v>241</v>
      </c>
      <c r="AK3752" s="18" t="s">
        <v>242</v>
      </c>
      <c r="AL3752" s="18" t="s">
        <v>243</v>
      </c>
      <c r="AM3752" s="50" t="s">
        <v>244</v>
      </c>
    </row>
    <row r="3753" spans="1:39">
      <c r="A3753" s="40" t="s">
        <v>245</v>
      </c>
      <c r="B3753" s="51" t="str">
        <f>D133</f>
        <v/>
      </c>
      <c r="C3753" s="40" t="str">
        <f t="shared" ref="C3753:C3779" si="592">A3753</f>
        <v>#</v>
      </c>
      <c r="D3753" s="40" t="str">
        <f>"   "&amp;B3753&amp;REPT(" ",$AH$70-LEN(B3753)-3)</f>
        <v xml:space="preserve">                                                            </v>
      </c>
      <c r="E3753" s="38" t="str">
        <f>SUM(E3754:E3779)&amp;" pts[/b]"</f>
        <v>0 pts[/b]</v>
      </c>
      <c r="F3753" s="21">
        <f>SUM(E3754:E3779)</f>
        <v>0</v>
      </c>
      <c r="K3753" s="18">
        <f>COUNTIF(E3754:E3779,"&gt;0")</f>
        <v>0</v>
      </c>
      <c r="L3753" s="21">
        <f>AM3753-K3753</f>
        <v>0</v>
      </c>
      <c r="M3753" s="22">
        <f>MAX(E3754:E3779)</f>
        <v>0</v>
      </c>
      <c r="N3753" s="22">
        <f>LARGE(E3754:E3779,2)</f>
        <v>0</v>
      </c>
      <c r="O3753" s="22">
        <f>LARGE(E3754:E3779,3)</f>
        <v>0</v>
      </c>
      <c r="P3753" s="18">
        <f>LARGE(E3754:E3779,4)</f>
        <v>0</v>
      </c>
      <c r="Q3753" s="22">
        <f>LARGE(E3754:E3779,5)</f>
        <v>0</v>
      </c>
      <c r="R3753" s="22">
        <f>LARGE(E3754:E3779,6)</f>
        <v>0</v>
      </c>
      <c r="S3753" s="22">
        <f>LARGE(E3754:E3779,7)</f>
        <v>0</v>
      </c>
      <c r="T3753" s="18">
        <f>LARGE(E3754:E3779,8)</f>
        <v>0</v>
      </c>
      <c r="U3753" s="18">
        <f>LARGE(E3754:E3779,9)</f>
        <v>0</v>
      </c>
      <c r="V3753" s="18">
        <f>LARGE(E3754:E3779,10)</f>
        <v>0</v>
      </c>
      <c r="W3753" s="18">
        <f>LARGE(E3754:E3779,11)</f>
        <v>0</v>
      </c>
      <c r="X3753" s="18">
        <f>LARGE(E3754:E3779,12)</f>
        <v>0</v>
      </c>
      <c r="Y3753" s="18">
        <f>LARGE(E3754:E3779,13)</f>
        <v>0</v>
      </c>
      <c r="Z3753" s="18">
        <f>LARGE(E3754:E3779,14)</f>
        <v>0</v>
      </c>
      <c r="AA3753" s="18">
        <f>LARGE(E3754:E3779,15)</f>
        <v>0</v>
      </c>
      <c r="AB3753" s="18">
        <f>LARGE(E3754:E3779,16)</f>
        <v>0</v>
      </c>
      <c r="AC3753" s="18">
        <f>LARGE(E3754:E3779,17)</f>
        <v>0</v>
      </c>
      <c r="AD3753" s="18">
        <f>LARGE(E3754:E3780,13)</f>
        <v>0</v>
      </c>
      <c r="AE3753" s="18">
        <f>LARGE(E3754:E3779,19)</f>
        <v>0</v>
      </c>
      <c r="AF3753" s="18">
        <f>LARGE(E3754:E3779,20)</f>
        <v>0</v>
      </c>
      <c r="AG3753" s="18">
        <f>LARGE(E3754:E3779,21)</f>
        <v>0</v>
      </c>
      <c r="AH3753" s="18">
        <f>LARGE(E3754:E3779,22)</f>
        <v>0</v>
      </c>
      <c r="AI3753" s="18">
        <f>LARGE(E3754:E3779,23)</f>
        <v>0</v>
      </c>
      <c r="AJ3753" s="18">
        <f>LARGE(E3754:E3779,24)</f>
        <v>0</v>
      </c>
      <c r="AK3753" s="18">
        <f>LARGE(E3754:E3779,25)</f>
        <v>0</v>
      </c>
      <c r="AL3753" s="18">
        <f>LARGE(E3754:E3779,26)</f>
        <v>0</v>
      </c>
      <c r="AM3753" s="50">
        <f>COUNTIF(B3754:B3779,"&lt;&gt;"&amp;AH74)</f>
        <v>0</v>
      </c>
    </row>
    <row r="3754" spans="1:39">
      <c r="A3754" s="42" t="s">
        <v>246</v>
      </c>
      <c r="B3754" s="40" t="str">
        <f t="shared" ref="B3754:B3779" si="593">$AH$74</f>
        <v>No pick yet</v>
      </c>
      <c r="C3754" s="40" t="str">
        <f t="shared" si="592"/>
        <v>01-&gt;</v>
      </c>
      <c r="D3754" s="40" t="str">
        <f t="shared" ref="D3754:D3779" si="594">B3754&amp;REPT(" ",$AH$70-LEN(B3754))</f>
        <v xml:space="preserve">No pick yet                                                 </v>
      </c>
      <c r="E3754" s="52">
        <f t="shared" ref="E3754:E3779" si="595">VLOOKUP(RIGHT(B3754,LEN(B3754)-$AH$66),$H$138:$I$420,2,0)</f>
        <v>0</v>
      </c>
      <c r="F3754" s="18"/>
      <c r="M3754" s="18"/>
      <c r="N3754" s="18"/>
      <c r="O3754" s="18"/>
      <c r="P3754" s="18"/>
      <c r="Q3754" s="22"/>
      <c r="R3754" s="21"/>
      <c r="S3754" s="21"/>
      <c r="T3754" s="21"/>
      <c r="AA3754"/>
      <c r="AH3754" t="str">
        <f t="shared" ref="AH3754:AH3779" si="596">RIGHT(B3754,LEN(B3754)-$AH$66)</f>
        <v>k yet</v>
      </c>
    </row>
    <row r="3755" spans="1:39">
      <c r="A3755" s="42" t="s">
        <v>247</v>
      </c>
      <c r="B3755" s="40" t="str">
        <f t="shared" si="593"/>
        <v>No pick yet</v>
      </c>
      <c r="C3755" s="40" t="str">
        <f t="shared" si="592"/>
        <v>02-&gt;</v>
      </c>
      <c r="D3755" s="40" t="str">
        <f t="shared" si="594"/>
        <v xml:space="preserve">No pick yet                                                 </v>
      </c>
      <c r="E3755" s="52">
        <f t="shared" si="595"/>
        <v>0</v>
      </c>
      <c r="F3755" s="18"/>
      <c r="K3755" s="22"/>
      <c r="N3755" s="22"/>
      <c r="O3755" s="22"/>
      <c r="P3755" s="22"/>
      <c r="Q3755" s="22"/>
      <c r="R3755" s="22"/>
      <c r="S3755" s="22"/>
      <c r="Z3755" s="53"/>
      <c r="AA3755"/>
      <c r="AH3755" t="str">
        <f t="shared" si="596"/>
        <v>k yet</v>
      </c>
    </row>
    <row r="3756" spans="1:39">
      <c r="A3756" s="42" t="s">
        <v>248</v>
      </c>
      <c r="B3756" s="40" t="str">
        <f t="shared" si="593"/>
        <v>No pick yet</v>
      </c>
      <c r="C3756" s="40" t="str">
        <f t="shared" si="592"/>
        <v>03-&gt;</v>
      </c>
      <c r="D3756" s="40" t="str">
        <f t="shared" si="594"/>
        <v xml:space="preserve">No pick yet                                                 </v>
      </c>
      <c r="E3756" s="52">
        <f t="shared" si="595"/>
        <v>0</v>
      </c>
      <c r="F3756" s="18"/>
      <c r="L3756" s="21"/>
      <c r="N3756" s="22"/>
      <c r="O3756" s="22"/>
      <c r="P3756" s="18"/>
      <c r="Q3756" s="22"/>
      <c r="R3756" s="22"/>
      <c r="S3756" s="22"/>
      <c r="Z3756" s="53"/>
      <c r="AA3756"/>
      <c r="AH3756" t="str">
        <f t="shared" si="596"/>
        <v>k yet</v>
      </c>
    </row>
    <row r="3757" spans="1:39">
      <c r="A3757" s="42" t="s">
        <v>249</v>
      </c>
      <c r="B3757" s="40" t="str">
        <f t="shared" si="593"/>
        <v>No pick yet</v>
      </c>
      <c r="C3757" s="40" t="str">
        <f t="shared" si="592"/>
        <v>04-&gt;</v>
      </c>
      <c r="D3757" s="40" t="str">
        <f t="shared" si="594"/>
        <v xml:space="preserve">No pick yet                                                 </v>
      </c>
      <c r="E3757" s="52">
        <f t="shared" si="595"/>
        <v>0</v>
      </c>
      <c r="F3757" s="18"/>
      <c r="M3757" s="18"/>
      <c r="N3757" s="18"/>
      <c r="O3757" s="18"/>
      <c r="P3757" s="18"/>
      <c r="Q3757" s="22"/>
      <c r="R3757" s="21"/>
      <c r="S3757" s="21"/>
      <c r="T3757" s="21"/>
      <c r="AA3757"/>
      <c r="AH3757" t="str">
        <f t="shared" si="596"/>
        <v>k yet</v>
      </c>
    </row>
    <row r="3758" spans="1:39">
      <c r="A3758" s="42" t="s">
        <v>250</v>
      </c>
      <c r="B3758" s="40" t="str">
        <f t="shared" si="593"/>
        <v>No pick yet</v>
      </c>
      <c r="C3758" s="40" t="str">
        <f t="shared" si="592"/>
        <v>05-&gt;</v>
      </c>
      <c r="D3758" s="40" t="str">
        <f t="shared" si="594"/>
        <v xml:space="preserve">No pick yet                                                 </v>
      </c>
      <c r="E3758" s="52">
        <f t="shared" si="595"/>
        <v>0</v>
      </c>
      <c r="F3758" s="18"/>
      <c r="M3758" s="18"/>
      <c r="N3758" s="18"/>
      <c r="O3758" s="18"/>
      <c r="P3758" s="18"/>
      <c r="Q3758" s="22"/>
      <c r="R3758" s="21"/>
      <c r="S3758" s="21"/>
      <c r="T3758" s="21"/>
      <c r="AA3758"/>
      <c r="AH3758" t="str">
        <f t="shared" si="596"/>
        <v>k yet</v>
      </c>
    </row>
    <row r="3759" spans="1:39">
      <c r="A3759" s="42" t="s">
        <v>251</v>
      </c>
      <c r="B3759" s="40" t="str">
        <f t="shared" si="593"/>
        <v>No pick yet</v>
      </c>
      <c r="C3759" s="40" t="str">
        <f t="shared" si="592"/>
        <v>06-&gt;</v>
      </c>
      <c r="D3759" s="40" t="str">
        <f t="shared" si="594"/>
        <v xml:space="preserve">No pick yet                                                 </v>
      </c>
      <c r="E3759" s="52">
        <f t="shared" si="595"/>
        <v>0</v>
      </c>
      <c r="F3759" s="18"/>
      <c r="M3759" s="18"/>
      <c r="N3759" s="18"/>
      <c r="O3759" s="18"/>
      <c r="P3759" s="18"/>
      <c r="Q3759" s="22"/>
      <c r="R3759" s="21"/>
      <c r="S3759" s="21"/>
      <c r="T3759" s="21"/>
      <c r="AA3759"/>
      <c r="AH3759" t="str">
        <f t="shared" si="596"/>
        <v>k yet</v>
      </c>
    </row>
    <row r="3760" spans="1:39">
      <c r="A3760" s="42" t="s">
        <v>252</v>
      </c>
      <c r="B3760" s="40" t="str">
        <f t="shared" si="593"/>
        <v>No pick yet</v>
      </c>
      <c r="C3760" s="40" t="str">
        <f t="shared" si="592"/>
        <v>07-&gt;</v>
      </c>
      <c r="D3760" s="40" t="str">
        <f t="shared" si="594"/>
        <v xml:space="preserve">No pick yet                                                 </v>
      </c>
      <c r="E3760" s="52">
        <f t="shared" si="595"/>
        <v>0</v>
      </c>
      <c r="F3760" s="18"/>
      <c r="M3760" s="18"/>
      <c r="N3760" s="18"/>
      <c r="O3760" s="18"/>
      <c r="P3760" s="18"/>
      <c r="Q3760" s="22"/>
      <c r="R3760" s="21"/>
      <c r="S3760" s="21"/>
      <c r="T3760" s="21"/>
      <c r="AA3760"/>
      <c r="AH3760" t="str">
        <f t="shared" si="596"/>
        <v>k yet</v>
      </c>
    </row>
    <row r="3761" spans="1:34">
      <c r="A3761" s="42" t="s">
        <v>253</v>
      </c>
      <c r="B3761" s="40" t="str">
        <f t="shared" si="593"/>
        <v>No pick yet</v>
      </c>
      <c r="C3761" s="40" t="str">
        <f t="shared" si="592"/>
        <v>08-&gt;</v>
      </c>
      <c r="D3761" s="40" t="str">
        <f t="shared" si="594"/>
        <v xml:space="preserve">No pick yet                                                 </v>
      </c>
      <c r="E3761" s="52">
        <f t="shared" si="595"/>
        <v>0</v>
      </c>
      <c r="F3761" s="18"/>
      <c r="M3761" s="18"/>
      <c r="N3761" s="18"/>
      <c r="O3761" s="18"/>
      <c r="P3761" s="18"/>
      <c r="Q3761" s="22"/>
      <c r="R3761" s="21"/>
      <c r="S3761" s="21"/>
      <c r="T3761" s="21"/>
      <c r="AA3761"/>
      <c r="AH3761" t="str">
        <f t="shared" si="596"/>
        <v>k yet</v>
      </c>
    </row>
    <row r="3762" spans="1:34">
      <c r="A3762" s="42" t="s">
        <v>254</v>
      </c>
      <c r="B3762" s="40" t="str">
        <f t="shared" si="593"/>
        <v>No pick yet</v>
      </c>
      <c r="C3762" s="40" t="str">
        <f t="shared" si="592"/>
        <v>09-&gt;</v>
      </c>
      <c r="D3762" s="40" t="str">
        <f t="shared" si="594"/>
        <v xml:space="preserve">No pick yet                                                 </v>
      </c>
      <c r="E3762" s="52">
        <f t="shared" si="595"/>
        <v>0</v>
      </c>
      <c r="F3762" s="18"/>
      <c r="M3762" s="18"/>
      <c r="N3762" s="18"/>
      <c r="O3762" s="18"/>
      <c r="P3762" s="18"/>
      <c r="Q3762" s="22"/>
      <c r="R3762" s="21"/>
      <c r="S3762" s="21"/>
      <c r="T3762" s="21"/>
      <c r="AA3762"/>
      <c r="AH3762" t="str">
        <f t="shared" si="596"/>
        <v>k yet</v>
      </c>
    </row>
    <row r="3763" spans="1:34">
      <c r="A3763" s="42" t="s">
        <v>255</v>
      </c>
      <c r="B3763" s="40" t="str">
        <f t="shared" si="593"/>
        <v>No pick yet</v>
      </c>
      <c r="C3763" s="40" t="str">
        <f t="shared" si="592"/>
        <v>10-&gt;</v>
      </c>
      <c r="D3763" s="40" t="str">
        <f t="shared" si="594"/>
        <v xml:space="preserve">No pick yet                                                 </v>
      </c>
      <c r="E3763" s="52">
        <f t="shared" si="595"/>
        <v>0</v>
      </c>
      <c r="F3763" s="22"/>
      <c r="M3763" s="18"/>
      <c r="N3763" s="18"/>
      <c r="O3763" s="18"/>
      <c r="P3763" s="18"/>
      <c r="Q3763" s="22"/>
      <c r="R3763" s="21"/>
      <c r="S3763" s="21"/>
      <c r="T3763" s="21"/>
      <c r="AA3763"/>
      <c r="AH3763" t="str">
        <f t="shared" si="596"/>
        <v>k yet</v>
      </c>
    </row>
    <row r="3764" spans="1:34">
      <c r="A3764" s="42" t="s">
        <v>256</v>
      </c>
      <c r="B3764" s="40" t="str">
        <f t="shared" si="593"/>
        <v>No pick yet</v>
      </c>
      <c r="C3764" s="40" t="str">
        <f t="shared" si="592"/>
        <v>11-&gt;</v>
      </c>
      <c r="D3764" s="40" t="str">
        <f t="shared" si="594"/>
        <v xml:space="preserve">No pick yet                                                 </v>
      </c>
      <c r="E3764" s="52">
        <f t="shared" si="595"/>
        <v>0</v>
      </c>
      <c r="M3764" s="18"/>
      <c r="N3764" s="18"/>
      <c r="O3764" s="18"/>
      <c r="P3764" s="18"/>
      <c r="Q3764" s="22"/>
      <c r="R3764" s="21"/>
      <c r="S3764" s="21"/>
      <c r="T3764" s="21"/>
      <c r="AA3764"/>
      <c r="AH3764" t="str">
        <f t="shared" si="596"/>
        <v>k yet</v>
      </c>
    </row>
    <row r="3765" spans="1:34">
      <c r="A3765" s="42" t="s">
        <v>257</v>
      </c>
      <c r="B3765" s="40" t="str">
        <f t="shared" si="593"/>
        <v>No pick yet</v>
      </c>
      <c r="C3765" s="40" t="str">
        <f t="shared" si="592"/>
        <v>12-&gt;</v>
      </c>
      <c r="D3765" s="40" t="str">
        <f t="shared" si="594"/>
        <v xml:space="preserve">No pick yet                                                 </v>
      </c>
      <c r="E3765" s="52">
        <f t="shared" si="595"/>
        <v>0</v>
      </c>
      <c r="M3765" s="18"/>
      <c r="N3765" s="18"/>
      <c r="O3765" s="18"/>
      <c r="P3765" s="18"/>
      <c r="Q3765" s="22"/>
      <c r="R3765" s="21"/>
      <c r="S3765" s="21"/>
      <c r="T3765" s="21"/>
      <c r="AA3765"/>
      <c r="AH3765" t="str">
        <f t="shared" si="596"/>
        <v>k yet</v>
      </c>
    </row>
    <row r="3766" spans="1:34">
      <c r="A3766" s="42" t="s">
        <v>258</v>
      </c>
      <c r="B3766" s="40" t="str">
        <f t="shared" si="593"/>
        <v>No pick yet</v>
      </c>
      <c r="C3766" s="40" t="str">
        <f t="shared" si="592"/>
        <v>13-&gt;</v>
      </c>
      <c r="D3766" s="40" t="str">
        <f t="shared" si="594"/>
        <v xml:space="preserve">No pick yet                                                 </v>
      </c>
      <c r="E3766" s="52">
        <f t="shared" si="595"/>
        <v>0</v>
      </c>
      <c r="M3766" s="18"/>
      <c r="N3766" s="18"/>
      <c r="O3766" s="18"/>
      <c r="P3766" s="18"/>
      <c r="Q3766" s="22"/>
      <c r="R3766" s="21"/>
      <c r="S3766" s="21"/>
      <c r="T3766" s="21"/>
      <c r="AA3766"/>
      <c r="AH3766" t="str">
        <f t="shared" si="596"/>
        <v>k yet</v>
      </c>
    </row>
    <row r="3767" spans="1:34">
      <c r="A3767" s="42" t="s">
        <v>259</v>
      </c>
      <c r="B3767" s="40" t="str">
        <f t="shared" si="593"/>
        <v>No pick yet</v>
      </c>
      <c r="C3767" s="40" t="str">
        <f t="shared" si="592"/>
        <v>14-&gt;</v>
      </c>
      <c r="D3767" s="40" t="str">
        <f t="shared" si="594"/>
        <v xml:space="preserve">No pick yet                                                 </v>
      </c>
      <c r="E3767" s="52">
        <f t="shared" si="595"/>
        <v>0</v>
      </c>
      <c r="M3767" s="18"/>
      <c r="N3767" s="18"/>
      <c r="O3767" s="18"/>
      <c r="P3767" s="18"/>
      <c r="Q3767" s="22"/>
      <c r="R3767" s="21"/>
      <c r="S3767" s="21"/>
      <c r="T3767" s="21"/>
      <c r="AA3767"/>
      <c r="AH3767" t="str">
        <f t="shared" si="596"/>
        <v>k yet</v>
      </c>
    </row>
    <row r="3768" spans="1:34">
      <c r="A3768" s="42" t="s">
        <v>260</v>
      </c>
      <c r="B3768" s="40" t="str">
        <f t="shared" si="593"/>
        <v>No pick yet</v>
      </c>
      <c r="C3768" s="40" t="str">
        <f t="shared" si="592"/>
        <v>15-&gt;</v>
      </c>
      <c r="D3768" s="40" t="str">
        <f t="shared" si="594"/>
        <v xml:space="preserve">No pick yet                                                 </v>
      </c>
      <c r="E3768" s="52">
        <f t="shared" si="595"/>
        <v>0</v>
      </c>
      <c r="M3768" s="18"/>
      <c r="N3768" s="18"/>
      <c r="O3768" s="18"/>
      <c r="P3768" s="18"/>
      <c r="Q3768" s="22"/>
      <c r="R3768" s="21"/>
      <c r="S3768" s="21"/>
      <c r="T3768" s="21"/>
      <c r="AA3768"/>
      <c r="AH3768" t="str">
        <f t="shared" si="596"/>
        <v>k yet</v>
      </c>
    </row>
    <row r="3769" spans="1:34">
      <c r="A3769" s="42" t="s">
        <v>261</v>
      </c>
      <c r="B3769" s="40" t="str">
        <f t="shared" si="593"/>
        <v>No pick yet</v>
      </c>
      <c r="C3769" s="40" t="str">
        <f t="shared" si="592"/>
        <v>16-&gt;</v>
      </c>
      <c r="D3769" s="40" t="str">
        <f t="shared" si="594"/>
        <v xml:space="preserve">No pick yet                                                 </v>
      </c>
      <c r="E3769" s="52">
        <f t="shared" si="595"/>
        <v>0</v>
      </c>
      <c r="M3769" s="18"/>
      <c r="N3769" s="18"/>
      <c r="O3769" s="18"/>
      <c r="P3769" s="18"/>
      <c r="Q3769" s="22"/>
      <c r="R3769" s="21"/>
      <c r="S3769" s="21"/>
      <c r="T3769" s="21"/>
      <c r="AA3769"/>
      <c r="AH3769" t="str">
        <f t="shared" si="596"/>
        <v>k yet</v>
      </c>
    </row>
    <row r="3770" spans="1:34">
      <c r="A3770" s="42" t="s">
        <v>262</v>
      </c>
      <c r="B3770" s="40" t="str">
        <f t="shared" si="593"/>
        <v>No pick yet</v>
      </c>
      <c r="C3770" s="40" t="str">
        <f t="shared" si="592"/>
        <v>17-&gt;</v>
      </c>
      <c r="D3770" s="40" t="str">
        <f t="shared" si="594"/>
        <v xml:space="preserve">No pick yet                                                 </v>
      </c>
      <c r="E3770" s="52">
        <f t="shared" si="595"/>
        <v>0</v>
      </c>
      <c r="K3770" s="22"/>
      <c r="N3770" s="22"/>
      <c r="O3770" s="22"/>
      <c r="P3770" s="22"/>
      <c r="Q3770" s="22"/>
      <c r="R3770" s="22"/>
      <c r="S3770" s="22"/>
      <c r="Z3770" s="53"/>
      <c r="AA3770"/>
      <c r="AH3770" t="str">
        <f t="shared" si="596"/>
        <v>k yet</v>
      </c>
    </row>
    <row r="3771" spans="1:34">
      <c r="A3771" s="42" t="s">
        <v>263</v>
      </c>
      <c r="B3771" s="40" t="str">
        <f t="shared" si="593"/>
        <v>No pick yet</v>
      </c>
      <c r="C3771" s="40" t="str">
        <f t="shared" si="592"/>
        <v>18-&gt;</v>
      </c>
      <c r="D3771" s="40" t="str">
        <f t="shared" si="594"/>
        <v xml:space="preserve">No pick yet                                                 </v>
      </c>
      <c r="E3771" s="52">
        <f t="shared" si="595"/>
        <v>0</v>
      </c>
      <c r="F3771" s="18"/>
      <c r="L3771" s="21"/>
      <c r="N3771" s="22"/>
      <c r="O3771" s="22"/>
      <c r="P3771" s="18"/>
      <c r="Q3771" s="22"/>
      <c r="R3771" s="22"/>
      <c r="S3771" s="22"/>
      <c r="Z3771" s="53"/>
      <c r="AA3771"/>
      <c r="AH3771" t="str">
        <f t="shared" si="596"/>
        <v>k yet</v>
      </c>
    </row>
    <row r="3772" spans="1:34">
      <c r="A3772" s="42" t="s">
        <v>264</v>
      </c>
      <c r="B3772" s="40" t="str">
        <f t="shared" si="593"/>
        <v>No pick yet</v>
      </c>
      <c r="C3772" s="40" t="str">
        <f t="shared" si="592"/>
        <v>19-&gt;</v>
      </c>
      <c r="D3772" s="40" t="str">
        <f t="shared" si="594"/>
        <v xml:space="preserve">No pick yet                                                 </v>
      </c>
      <c r="E3772" s="52">
        <f t="shared" si="595"/>
        <v>0</v>
      </c>
      <c r="F3772" s="18"/>
      <c r="M3772" s="18"/>
      <c r="N3772" s="18"/>
      <c r="O3772" s="18"/>
      <c r="P3772" s="18"/>
      <c r="Q3772" s="22"/>
      <c r="R3772" s="21"/>
      <c r="S3772" s="21"/>
      <c r="T3772" s="21"/>
      <c r="AA3772"/>
      <c r="AH3772" t="str">
        <f t="shared" si="596"/>
        <v>k yet</v>
      </c>
    </row>
    <row r="3773" spans="1:34">
      <c r="A3773" s="42" t="s">
        <v>265</v>
      </c>
      <c r="B3773" s="40" t="str">
        <f t="shared" si="593"/>
        <v>No pick yet</v>
      </c>
      <c r="C3773" s="40" t="str">
        <f t="shared" si="592"/>
        <v>20-&gt;</v>
      </c>
      <c r="D3773" s="40" t="str">
        <f t="shared" si="594"/>
        <v xml:space="preserve">No pick yet                                                 </v>
      </c>
      <c r="E3773" s="52">
        <f t="shared" si="595"/>
        <v>0</v>
      </c>
      <c r="F3773" s="18"/>
      <c r="M3773" s="18"/>
      <c r="N3773" s="18"/>
      <c r="O3773" s="18"/>
      <c r="P3773" s="18"/>
      <c r="Q3773" s="22"/>
      <c r="R3773" s="21"/>
      <c r="S3773" s="21"/>
      <c r="T3773" s="21"/>
      <c r="AA3773"/>
      <c r="AH3773" t="str">
        <f t="shared" si="596"/>
        <v>k yet</v>
      </c>
    </row>
    <row r="3774" spans="1:34">
      <c r="A3774" s="42" t="s">
        <v>266</v>
      </c>
      <c r="B3774" s="40" t="str">
        <f t="shared" si="593"/>
        <v>No pick yet</v>
      </c>
      <c r="C3774" s="40" t="str">
        <f t="shared" si="592"/>
        <v>21-&gt;</v>
      </c>
      <c r="D3774" s="40" t="str">
        <f t="shared" si="594"/>
        <v xml:space="preserve">No pick yet                                                 </v>
      </c>
      <c r="E3774" s="52">
        <f t="shared" si="595"/>
        <v>0</v>
      </c>
      <c r="F3774" s="18"/>
      <c r="M3774" s="18"/>
      <c r="N3774" s="18"/>
      <c r="O3774" s="18"/>
      <c r="P3774" s="18"/>
      <c r="Q3774" s="22"/>
      <c r="R3774" s="21"/>
      <c r="S3774" s="21"/>
      <c r="T3774" s="21"/>
      <c r="AA3774"/>
      <c r="AH3774" t="str">
        <f t="shared" si="596"/>
        <v>k yet</v>
      </c>
    </row>
    <row r="3775" spans="1:34">
      <c r="A3775" s="42" t="s">
        <v>267</v>
      </c>
      <c r="B3775" s="40" t="str">
        <f t="shared" si="593"/>
        <v>No pick yet</v>
      </c>
      <c r="C3775" s="40" t="str">
        <f t="shared" si="592"/>
        <v>22-&gt;</v>
      </c>
      <c r="D3775" s="40" t="str">
        <f t="shared" si="594"/>
        <v xml:space="preserve">No pick yet                                                 </v>
      </c>
      <c r="E3775" s="52">
        <f t="shared" si="595"/>
        <v>0</v>
      </c>
      <c r="F3775" s="18"/>
      <c r="M3775" s="18"/>
      <c r="N3775" s="18"/>
      <c r="O3775" s="18"/>
      <c r="P3775" s="18"/>
      <c r="Q3775" s="22"/>
      <c r="R3775" s="21"/>
      <c r="S3775" s="21"/>
      <c r="T3775" s="21"/>
      <c r="AA3775"/>
      <c r="AH3775" t="str">
        <f t="shared" si="596"/>
        <v>k yet</v>
      </c>
    </row>
    <row r="3776" spans="1:34">
      <c r="A3776" s="42" t="s">
        <v>268</v>
      </c>
      <c r="B3776" s="40" t="str">
        <f t="shared" si="593"/>
        <v>No pick yet</v>
      </c>
      <c r="C3776" s="40" t="str">
        <f t="shared" si="592"/>
        <v>23-&gt;</v>
      </c>
      <c r="D3776" s="40" t="str">
        <f t="shared" si="594"/>
        <v xml:space="preserve">No pick yet                                                 </v>
      </c>
      <c r="E3776" s="52">
        <f t="shared" si="595"/>
        <v>0</v>
      </c>
      <c r="F3776" s="18"/>
      <c r="M3776" s="18"/>
      <c r="N3776" s="18"/>
      <c r="O3776" s="18"/>
      <c r="P3776" s="18"/>
      <c r="Q3776" s="22"/>
      <c r="R3776" s="21"/>
      <c r="S3776" s="21"/>
      <c r="T3776" s="21"/>
      <c r="AA3776"/>
      <c r="AH3776" t="str">
        <f t="shared" si="596"/>
        <v>k yet</v>
      </c>
    </row>
    <row r="3777" spans="1:34">
      <c r="A3777" s="42" t="s">
        <v>269</v>
      </c>
      <c r="B3777" s="40" t="str">
        <f t="shared" si="593"/>
        <v>No pick yet</v>
      </c>
      <c r="C3777" s="40" t="str">
        <f t="shared" si="592"/>
        <v>24-&gt;</v>
      </c>
      <c r="D3777" s="40" t="str">
        <f t="shared" si="594"/>
        <v xml:space="preserve">No pick yet                                                 </v>
      </c>
      <c r="E3777" s="52">
        <f t="shared" si="595"/>
        <v>0</v>
      </c>
      <c r="F3777" s="18"/>
      <c r="M3777" s="18"/>
      <c r="N3777" s="18"/>
      <c r="O3777" s="18"/>
      <c r="P3777" s="18"/>
      <c r="Q3777" s="22"/>
      <c r="R3777" s="21"/>
      <c r="S3777" s="21"/>
      <c r="T3777" s="21"/>
      <c r="AA3777"/>
      <c r="AH3777" t="str">
        <f t="shared" si="596"/>
        <v>k yet</v>
      </c>
    </row>
    <row r="3778" spans="1:34">
      <c r="A3778" s="42" t="s">
        <v>270</v>
      </c>
      <c r="B3778" s="40" t="str">
        <f t="shared" si="593"/>
        <v>No pick yet</v>
      </c>
      <c r="C3778" s="40" t="str">
        <f t="shared" si="592"/>
        <v>25-&gt;</v>
      </c>
      <c r="D3778" s="40" t="str">
        <f t="shared" si="594"/>
        <v xml:space="preserve">No pick yet                                                 </v>
      </c>
      <c r="E3778" s="52">
        <f t="shared" si="595"/>
        <v>0</v>
      </c>
      <c r="F3778" s="18"/>
      <c r="M3778" s="18"/>
      <c r="N3778" s="18"/>
      <c r="O3778" s="18"/>
      <c r="P3778" s="18"/>
      <c r="Q3778" s="22"/>
      <c r="R3778" s="21"/>
      <c r="S3778" s="21"/>
      <c r="T3778" s="21"/>
      <c r="AA3778"/>
      <c r="AH3778" t="str">
        <f t="shared" si="596"/>
        <v>k yet</v>
      </c>
    </row>
    <row r="3779" spans="1:34">
      <c r="A3779" s="42" t="s">
        <v>271</v>
      </c>
      <c r="B3779" s="40" t="str">
        <f t="shared" si="593"/>
        <v>No pick yet</v>
      </c>
      <c r="C3779" s="40" t="str">
        <f t="shared" si="592"/>
        <v>26-&gt;</v>
      </c>
      <c r="D3779" s="40" t="str">
        <f t="shared" si="594"/>
        <v xml:space="preserve">No pick yet                                                 </v>
      </c>
      <c r="E3779" s="52">
        <f t="shared" si="595"/>
        <v>0</v>
      </c>
      <c r="F3779" s="18"/>
      <c r="M3779" s="18"/>
      <c r="N3779" s="18"/>
      <c r="O3779" s="18"/>
      <c r="P3779" s="18"/>
      <c r="Q3779" s="22"/>
      <c r="R3779" s="21"/>
      <c r="S3779" s="21"/>
      <c r="T3779" s="21"/>
      <c r="AA3779"/>
      <c r="AH3779" t="str">
        <f t="shared" si="596"/>
        <v>k yet</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&amp;CPágina &amp;P</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226"/>
  <sheetViews>
    <sheetView workbookViewId="0"/>
  </sheetViews>
  <sheetFormatPr defaultRowHeight="12.75"/>
  <sheetData>
    <row r="1" spans="1:15" ht="14.25">
      <c r="A1" s="21"/>
      <c r="B1" s="18"/>
      <c r="C1" s="18"/>
      <c r="D1" s="18"/>
      <c r="E1" s="18"/>
      <c r="F1" s="18"/>
      <c r="G1" s="22"/>
      <c r="O1" s="64"/>
    </row>
    <row r="2" spans="1:15" ht="14.25">
      <c r="A2" s="24"/>
      <c r="B2" s="25"/>
      <c r="C2" s="25"/>
      <c r="D2" s="27"/>
      <c r="E2" s="27"/>
      <c r="F2" s="27"/>
      <c r="G2" s="25"/>
      <c r="O2" s="64"/>
    </row>
    <row r="3" spans="1:15" ht="14.25">
      <c r="A3" s="21"/>
      <c r="B3" s="25"/>
      <c r="C3" s="25"/>
      <c r="D3" s="27"/>
      <c r="E3" s="27"/>
      <c r="F3" s="27"/>
      <c r="G3" s="29"/>
      <c r="O3" s="64"/>
    </row>
    <row r="4" spans="1:15" ht="14.25">
      <c r="A4" s="21"/>
      <c r="B4" s="18"/>
      <c r="C4" s="33"/>
      <c r="D4" s="21"/>
      <c r="E4" s="21"/>
      <c r="F4" s="21"/>
      <c r="G4" s="36"/>
      <c r="K4" s="21"/>
      <c r="L4" s="18"/>
      <c r="O4" s="64"/>
    </row>
    <row r="5" spans="1:15" ht="14.25">
      <c r="A5" s="21"/>
      <c r="B5" s="21"/>
      <c r="C5" s="33"/>
      <c r="D5" s="21"/>
      <c r="E5" s="21"/>
      <c r="F5" s="21"/>
      <c r="G5" s="36"/>
      <c r="K5" s="21"/>
      <c r="L5" s="18"/>
      <c r="O5" s="64"/>
    </row>
    <row r="6" spans="1:15" ht="14.25">
      <c r="A6" s="21"/>
      <c r="B6" s="18"/>
      <c r="C6" s="33"/>
      <c r="D6" s="21"/>
      <c r="E6" s="21"/>
      <c r="F6" s="21"/>
      <c r="G6" s="36"/>
      <c r="K6" s="21"/>
      <c r="L6" s="18"/>
      <c r="O6" s="64"/>
    </row>
    <row r="7" spans="1:15" ht="14.25">
      <c r="A7" s="21"/>
      <c r="B7" s="18"/>
      <c r="C7" s="33"/>
      <c r="D7" s="21"/>
      <c r="E7" s="21"/>
      <c r="F7" s="21"/>
      <c r="G7" s="36"/>
      <c r="K7" s="21"/>
      <c r="L7" s="18"/>
      <c r="O7" s="64"/>
    </row>
    <row r="8" spans="1:15" ht="14.25">
      <c r="A8" s="21"/>
      <c r="B8" s="18"/>
      <c r="C8" s="33"/>
      <c r="D8" s="21"/>
      <c r="E8" s="21"/>
      <c r="F8" s="21"/>
      <c r="G8" s="36"/>
      <c r="K8" s="21"/>
      <c r="L8" s="18"/>
      <c r="O8" s="64"/>
    </row>
    <row r="9" spans="1:15" ht="14.25">
      <c r="A9" s="21"/>
      <c r="B9" s="18"/>
      <c r="C9" s="33"/>
      <c r="D9" s="21"/>
      <c r="E9" s="21"/>
      <c r="F9" s="21"/>
      <c r="G9" s="36"/>
      <c r="K9" s="21"/>
      <c r="L9" s="13"/>
      <c r="O9" s="64"/>
    </row>
    <row r="10" spans="1:15" ht="14.25">
      <c r="A10" s="21"/>
      <c r="B10" s="21"/>
      <c r="C10" s="33"/>
      <c r="D10" s="21"/>
      <c r="E10" s="21"/>
      <c r="F10" s="21"/>
      <c r="G10" s="36"/>
      <c r="K10" s="21"/>
      <c r="L10" s="18"/>
      <c r="O10" s="64"/>
    </row>
    <row r="11" spans="1:15" ht="14.25">
      <c r="A11" s="21"/>
      <c r="B11" s="18"/>
      <c r="C11" s="33"/>
      <c r="D11" s="21"/>
      <c r="E11" s="21"/>
      <c r="F11" s="21"/>
      <c r="G11" s="36"/>
      <c r="K11" s="21"/>
      <c r="L11" s="18"/>
      <c r="O11" s="64"/>
    </row>
    <row r="12" spans="1:15" ht="14.25">
      <c r="A12" s="21"/>
      <c r="B12" s="18"/>
      <c r="C12" s="33"/>
      <c r="D12" s="21"/>
      <c r="E12" s="21"/>
      <c r="F12" s="21"/>
      <c r="G12" s="36"/>
      <c r="K12" s="21"/>
      <c r="L12" s="18"/>
      <c r="O12" s="64"/>
    </row>
    <row r="13" spans="1:15" ht="14.25">
      <c r="A13" s="21"/>
      <c r="B13" s="21"/>
      <c r="C13" s="33"/>
      <c r="D13" s="21"/>
      <c r="E13" s="21"/>
      <c r="F13" s="21"/>
      <c r="G13" s="36"/>
      <c r="K13" s="21"/>
      <c r="L13" s="18"/>
      <c r="O13" s="64"/>
    </row>
    <row r="14" spans="1:15" ht="14.25">
      <c r="A14" s="21"/>
      <c r="B14" s="18"/>
      <c r="C14" s="33"/>
      <c r="D14" s="21"/>
      <c r="E14" s="21"/>
      <c r="F14" s="21"/>
      <c r="G14" s="36"/>
      <c r="K14" s="21"/>
      <c r="L14" s="18"/>
      <c r="O14" s="64"/>
    </row>
    <row r="15" spans="1:15" ht="14.25">
      <c r="A15" s="21"/>
      <c r="B15" s="18"/>
      <c r="C15" s="33"/>
      <c r="D15" s="21"/>
      <c r="E15" s="21"/>
      <c r="F15" s="21"/>
      <c r="G15" s="36"/>
      <c r="K15" s="21"/>
      <c r="O15" s="64"/>
    </row>
    <row r="16" spans="1:15" ht="14.25">
      <c r="A16" s="21"/>
      <c r="B16" s="18"/>
      <c r="C16" s="33"/>
      <c r="D16" s="21"/>
      <c r="E16" s="21"/>
      <c r="F16" s="21"/>
      <c r="G16" s="36"/>
      <c r="K16" s="21"/>
      <c r="O16" s="64"/>
    </row>
    <row r="17" spans="1:15" ht="14.25">
      <c r="A17" s="21"/>
      <c r="B17" s="18"/>
      <c r="C17" s="33"/>
      <c r="D17" s="21"/>
      <c r="E17" s="21"/>
      <c r="F17" s="21"/>
      <c r="G17" s="36"/>
      <c r="K17" s="21"/>
      <c r="L17" s="4"/>
      <c r="O17" s="64"/>
    </row>
    <row r="18" spans="1:15" ht="14.25">
      <c r="A18" s="21"/>
      <c r="B18" s="18"/>
      <c r="C18" s="33"/>
      <c r="D18" s="21"/>
      <c r="E18" s="21"/>
      <c r="F18" s="21"/>
      <c r="G18" s="36"/>
      <c r="K18" s="21"/>
      <c r="L18" s="18"/>
      <c r="O18" s="64"/>
    </row>
    <row r="19" spans="1:15" ht="14.25">
      <c r="A19" s="21"/>
      <c r="B19" s="21"/>
      <c r="C19" s="33"/>
      <c r="D19" s="21"/>
      <c r="E19" s="21"/>
      <c r="F19" s="21"/>
      <c r="G19" s="36"/>
      <c r="K19" s="21"/>
      <c r="L19" s="18"/>
      <c r="O19" s="64"/>
    </row>
    <row r="20" spans="1:15" ht="14.25">
      <c r="A20" s="21"/>
      <c r="B20" s="18"/>
      <c r="C20" s="33"/>
      <c r="D20" s="21"/>
      <c r="E20" s="21"/>
      <c r="F20" s="21"/>
      <c r="G20" s="36"/>
      <c r="K20" s="21"/>
      <c r="L20" s="18"/>
      <c r="O20" s="64"/>
    </row>
    <row r="21" spans="1:15" ht="14.25">
      <c r="A21" s="21"/>
      <c r="B21" s="18"/>
      <c r="C21" s="33"/>
      <c r="D21" s="21"/>
      <c r="E21" s="21"/>
      <c r="F21" s="21"/>
      <c r="G21" s="36"/>
      <c r="K21" s="21"/>
      <c r="L21" s="21"/>
      <c r="O21" s="64"/>
    </row>
    <row r="22" spans="1:15" ht="14.25">
      <c r="A22" s="21"/>
      <c r="B22" s="21"/>
      <c r="C22" s="33"/>
      <c r="D22" s="21"/>
      <c r="E22" s="21"/>
      <c r="F22" s="21"/>
      <c r="G22" s="36"/>
      <c r="K22" s="21"/>
      <c r="L22" s="18"/>
      <c r="O22" s="64"/>
    </row>
    <row r="23" spans="1:15" ht="14.25">
      <c r="A23" s="21"/>
      <c r="B23" s="21"/>
      <c r="C23" s="33"/>
      <c r="D23" s="21"/>
      <c r="E23" s="21"/>
      <c r="F23" s="21"/>
      <c r="G23" s="36"/>
      <c r="K23" s="21"/>
      <c r="L23" s="18"/>
      <c r="O23" s="64"/>
    </row>
    <row r="24" spans="1:15" ht="14.25">
      <c r="A24" s="21"/>
      <c r="B24" s="18"/>
      <c r="C24" s="33"/>
      <c r="D24" s="21"/>
      <c r="E24" s="21"/>
      <c r="F24" s="21"/>
      <c r="G24" s="36"/>
      <c r="K24" s="21"/>
      <c r="L24" s="18"/>
      <c r="O24" s="64"/>
    </row>
    <row r="25" spans="1:15" ht="14.25">
      <c r="A25" s="21"/>
      <c r="B25" s="18"/>
      <c r="C25" s="33"/>
      <c r="D25" s="21"/>
      <c r="E25" s="21"/>
      <c r="F25" s="21"/>
      <c r="G25" s="36"/>
      <c r="K25" s="21"/>
      <c r="L25" s="18"/>
      <c r="O25" s="64"/>
    </row>
    <row r="26" spans="1:15" ht="14.25">
      <c r="A26" s="21"/>
      <c r="B26" s="18"/>
      <c r="C26" s="33"/>
      <c r="D26" s="21"/>
      <c r="E26" s="21"/>
      <c r="F26" s="21"/>
      <c r="G26" s="36"/>
      <c r="K26" s="21"/>
      <c r="L26" s="18"/>
      <c r="O26" s="64"/>
    </row>
    <row r="27" spans="1:15" ht="14.25">
      <c r="A27" s="21"/>
      <c r="B27" s="21"/>
      <c r="C27" s="33"/>
      <c r="D27" s="21"/>
      <c r="E27" s="21"/>
      <c r="F27" s="21"/>
      <c r="G27" s="36"/>
      <c r="K27" s="21"/>
      <c r="L27" s="21"/>
      <c r="O27" s="64"/>
    </row>
    <row r="28" spans="1:15" ht="14.25">
      <c r="A28" s="21"/>
      <c r="B28" s="21"/>
      <c r="C28" s="33"/>
      <c r="D28" s="21"/>
      <c r="E28" s="21"/>
      <c r="F28" s="21"/>
      <c r="G28" s="36"/>
      <c r="K28" s="21"/>
      <c r="L28" s="18"/>
      <c r="O28" s="64"/>
    </row>
    <row r="29" spans="1:15" ht="14.25">
      <c r="A29" s="21"/>
      <c r="B29" s="21"/>
      <c r="C29" s="33"/>
      <c r="D29" s="21"/>
      <c r="E29" s="21"/>
      <c r="F29" s="21"/>
      <c r="G29" s="36"/>
      <c r="K29" s="21"/>
      <c r="L29" s="18"/>
      <c r="O29" s="64"/>
    </row>
    <row r="30" spans="1:15" ht="14.25">
      <c r="A30" s="21"/>
      <c r="B30" s="21"/>
      <c r="C30" s="33"/>
      <c r="D30" s="21"/>
      <c r="E30" s="21"/>
      <c r="F30" s="21"/>
      <c r="G30" s="36"/>
      <c r="K30" s="21"/>
      <c r="L30" s="18"/>
      <c r="O30" s="64"/>
    </row>
    <row r="31" spans="1:15" ht="14.25">
      <c r="A31" s="21"/>
      <c r="B31" s="21"/>
      <c r="C31" s="33"/>
      <c r="D31" s="21"/>
      <c r="E31" s="21"/>
      <c r="F31" s="21"/>
      <c r="G31" s="36"/>
      <c r="K31" s="21"/>
      <c r="L31" s="21"/>
      <c r="O31" s="64"/>
    </row>
    <row r="32" spans="1:15" ht="14.25">
      <c r="A32" s="21"/>
      <c r="B32" s="21"/>
      <c r="C32" s="33"/>
      <c r="D32" s="21"/>
      <c r="E32" s="21"/>
      <c r="F32" s="21"/>
      <c r="G32" s="36"/>
      <c r="K32" s="21"/>
      <c r="L32" s="18"/>
      <c r="O32" s="64"/>
    </row>
    <row r="33" spans="1:15" ht="14.25">
      <c r="A33" s="21"/>
      <c r="B33" s="18"/>
      <c r="C33" s="33"/>
      <c r="D33" s="21"/>
      <c r="E33" s="21"/>
      <c r="F33" s="21"/>
      <c r="G33" s="36"/>
      <c r="K33" s="21"/>
      <c r="L33" s="21"/>
      <c r="O33" s="64"/>
    </row>
    <row r="34" spans="1:15" ht="14.25">
      <c r="A34" s="21"/>
      <c r="B34" s="18"/>
      <c r="C34" s="33"/>
      <c r="D34" s="21"/>
      <c r="E34" s="21"/>
      <c r="F34" s="21"/>
      <c r="G34" s="36"/>
      <c r="K34" s="21"/>
      <c r="L34" s="18"/>
      <c r="O34" s="64"/>
    </row>
    <row r="35" spans="1:15" ht="14.25">
      <c r="A35" s="21"/>
      <c r="B35" s="18"/>
      <c r="C35" s="33"/>
      <c r="D35" s="21"/>
      <c r="E35" s="21"/>
      <c r="F35" s="21"/>
      <c r="G35" s="36"/>
      <c r="K35" s="21"/>
      <c r="L35" s="18"/>
      <c r="O35" s="64"/>
    </row>
    <row r="36" spans="1:15" ht="14.25">
      <c r="A36" s="21"/>
      <c r="B36" s="18"/>
      <c r="C36" s="33"/>
      <c r="D36" s="21"/>
      <c r="E36" s="21"/>
      <c r="F36" s="21"/>
      <c r="G36" s="36"/>
      <c r="K36" s="21"/>
      <c r="L36" s="18"/>
      <c r="O36" s="64"/>
    </row>
    <row r="37" spans="1:15" ht="14.25">
      <c r="A37" s="21"/>
      <c r="B37" s="18"/>
      <c r="C37" s="33"/>
      <c r="D37" s="21"/>
      <c r="E37" s="21"/>
      <c r="F37" s="21"/>
      <c r="G37" s="36"/>
      <c r="K37" s="21"/>
      <c r="L37" s="18"/>
      <c r="O37" s="64"/>
    </row>
    <row r="38" spans="1:15" ht="14.25">
      <c r="A38" s="21"/>
      <c r="B38" s="18"/>
      <c r="C38" s="33"/>
      <c r="D38" s="21"/>
      <c r="E38" s="21"/>
      <c r="F38" s="21"/>
      <c r="G38" s="36"/>
      <c r="K38" s="21"/>
      <c r="L38" s="18"/>
      <c r="O38" s="64"/>
    </row>
    <row r="39" spans="1:15" ht="14.25">
      <c r="A39" s="21"/>
      <c r="B39" s="18"/>
      <c r="C39" s="33"/>
      <c r="D39" s="21"/>
      <c r="E39" s="21"/>
      <c r="F39" s="21"/>
      <c r="G39" s="36"/>
      <c r="K39" s="21"/>
      <c r="L39" s="18"/>
      <c r="O39" s="64"/>
    </row>
    <row r="40" spans="1:15" ht="14.25">
      <c r="A40" s="21"/>
      <c r="B40" s="18"/>
      <c r="C40" s="33"/>
      <c r="D40" s="21"/>
      <c r="E40" s="21"/>
      <c r="F40" s="21"/>
      <c r="G40" s="36"/>
      <c r="K40" s="21"/>
      <c r="L40" s="18"/>
      <c r="O40" s="64"/>
    </row>
    <row r="41" spans="1:15" ht="14.25">
      <c r="A41" s="21"/>
      <c r="B41" s="21"/>
      <c r="C41" s="33"/>
      <c r="D41" s="21"/>
      <c r="E41" s="21"/>
      <c r="F41" s="21"/>
      <c r="G41" s="36"/>
      <c r="K41" s="21"/>
      <c r="L41" s="21"/>
      <c r="O41" s="64"/>
    </row>
    <row r="42" spans="1:15" ht="14.25">
      <c r="A42" s="21"/>
      <c r="B42" s="18"/>
      <c r="C42" s="33"/>
      <c r="D42" s="21"/>
      <c r="E42" s="21"/>
      <c r="F42" s="21"/>
      <c r="G42" s="36"/>
      <c r="K42" s="21"/>
      <c r="L42" s="21"/>
      <c r="O42" s="64"/>
    </row>
    <row r="43" spans="1:15" ht="14.25">
      <c r="A43" s="21"/>
      <c r="B43" s="18"/>
      <c r="C43" s="33"/>
      <c r="D43" s="21"/>
      <c r="E43" s="21"/>
      <c r="F43" s="21"/>
      <c r="G43" s="36"/>
      <c r="K43" s="21"/>
      <c r="L43" s="18"/>
      <c r="O43" s="64"/>
    </row>
    <row r="44" spans="1:15" ht="14.25">
      <c r="A44" s="21"/>
      <c r="B44" s="18"/>
      <c r="C44" s="33"/>
      <c r="D44" s="21"/>
      <c r="E44" s="21"/>
      <c r="F44" s="21"/>
      <c r="G44" s="36"/>
      <c r="K44" s="21"/>
      <c r="L44" s="18"/>
      <c r="O44" s="64"/>
    </row>
    <row r="45" spans="1:15" ht="14.25">
      <c r="A45" s="21"/>
      <c r="B45" s="18"/>
      <c r="C45" s="33"/>
      <c r="D45" s="21"/>
      <c r="E45" s="21"/>
      <c r="F45" s="21"/>
      <c r="G45" s="36"/>
      <c r="K45" s="21"/>
      <c r="L45" s="21"/>
      <c r="O45" s="64"/>
    </row>
    <row r="46" spans="1:15" ht="14.25">
      <c r="A46" s="21"/>
      <c r="B46" s="18"/>
      <c r="C46" s="33"/>
      <c r="D46" s="21"/>
      <c r="E46" s="21"/>
      <c r="F46" s="21"/>
      <c r="G46" s="36"/>
      <c r="K46" s="21"/>
      <c r="L46" s="21"/>
      <c r="O46" s="64"/>
    </row>
    <row r="47" spans="1:15" ht="14.25">
      <c r="A47" s="21"/>
      <c r="B47" s="18"/>
      <c r="C47" s="33"/>
      <c r="D47" s="21"/>
      <c r="E47" s="21"/>
      <c r="F47" s="21"/>
      <c r="G47" s="36"/>
      <c r="K47" s="21"/>
      <c r="L47" s="21"/>
      <c r="O47" s="64"/>
    </row>
    <row r="48" spans="1:15" ht="14.25">
      <c r="A48" s="21"/>
      <c r="B48" s="18"/>
      <c r="C48" s="33"/>
      <c r="D48" s="21"/>
      <c r="E48" s="21"/>
      <c r="F48" s="21"/>
      <c r="G48" s="36"/>
      <c r="K48" s="21"/>
      <c r="L48" s="18"/>
      <c r="O48" s="64"/>
    </row>
    <row r="49" spans="1:15" ht="14.25">
      <c r="A49" s="21"/>
      <c r="B49" s="18"/>
      <c r="C49" s="33"/>
      <c r="D49" s="21"/>
      <c r="E49" s="21"/>
      <c r="F49" s="21"/>
      <c r="G49" s="36"/>
      <c r="K49" s="21"/>
      <c r="L49" s="18"/>
      <c r="O49" s="64"/>
    </row>
    <row r="50" spans="1:15" ht="14.25">
      <c r="A50" s="21"/>
      <c r="B50" s="18"/>
      <c r="C50" s="33"/>
      <c r="D50" s="21"/>
      <c r="E50" s="21"/>
      <c r="F50" s="21"/>
      <c r="G50" s="36"/>
      <c r="K50" s="21"/>
      <c r="O50" s="64"/>
    </row>
    <row r="51" spans="1:15" ht="14.25">
      <c r="A51" s="21"/>
      <c r="B51" s="18"/>
      <c r="C51" s="33"/>
      <c r="D51" s="21"/>
      <c r="E51" s="21"/>
      <c r="F51" s="21"/>
      <c r="G51" s="36"/>
      <c r="K51" s="21"/>
      <c r="L51" s="18"/>
      <c r="O51" s="64"/>
    </row>
    <row r="52" spans="1:15" ht="14.25">
      <c r="A52" s="21"/>
      <c r="B52" s="18"/>
      <c r="C52" s="33"/>
      <c r="D52" s="21"/>
      <c r="E52" s="21"/>
      <c r="F52" s="21"/>
      <c r="G52" s="36"/>
      <c r="K52" s="21"/>
      <c r="L52" s="18"/>
      <c r="O52" s="64"/>
    </row>
    <row r="53" spans="1:15" ht="14.25">
      <c r="A53" s="21"/>
      <c r="B53" s="18"/>
      <c r="C53" s="33"/>
      <c r="D53" s="21"/>
      <c r="E53" s="21"/>
      <c r="F53" s="21"/>
      <c r="G53" s="36"/>
      <c r="K53" s="21"/>
      <c r="L53" s="18"/>
      <c r="O53" s="64"/>
    </row>
    <row r="54" spans="1:15" ht="14.25">
      <c r="A54" s="21"/>
      <c r="B54" s="18"/>
      <c r="C54" s="33"/>
      <c r="D54" s="21"/>
      <c r="E54" s="21"/>
      <c r="F54" s="21"/>
      <c r="G54" s="36"/>
      <c r="K54" s="21"/>
      <c r="L54" s="21"/>
      <c r="O54" s="64"/>
    </row>
    <row r="55" spans="1:15" ht="14.25">
      <c r="A55" s="21"/>
      <c r="B55" s="18"/>
      <c r="C55" s="33"/>
      <c r="D55" s="21"/>
      <c r="E55" s="21"/>
      <c r="F55" s="21"/>
      <c r="G55" s="36"/>
      <c r="K55" s="21"/>
      <c r="L55" s="18"/>
      <c r="O55" s="64"/>
    </row>
    <row r="56" spans="1:15" ht="14.25">
      <c r="A56" s="21"/>
      <c r="B56" s="21"/>
      <c r="C56" s="33"/>
      <c r="D56" s="21"/>
      <c r="E56" s="21"/>
      <c r="F56" s="21"/>
      <c r="G56" s="36"/>
      <c r="K56" s="21"/>
      <c r="L56" s="9"/>
      <c r="O56" s="64"/>
    </row>
    <row r="57" spans="1:15" ht="14.25">
      <c r="A57" s="21"/>
      <c r="B57" s="18"/>
      <c r="C57" s="33"/>
      <c r="D57" s="21"/>
      <c r="E57" s="21"/>
      <c r="F57" s="21"/>
      <c r="G57" s="36"/>
      <c r="K57" s="21"/>
      <c r="L57" s="21"/>
      <c r="O57" s="64"/>
    </row>
    <row r="58" spans="1:15" ht="14.25">
      <c r="A58" s="21"/>
      <c r="B58" s="18"/>
      <c r="C58" s="33"/>
      <c r="D58" s="21"/>
      <c r="E58" s="21"/>
      <c r="F58" s="21"/>
      <c r="G58" s="36"/>
      <c r="K58" s="21"/>
      <c r="L58" s="18"/>
      <c r="O58" s="64"/>
    </row>
    <row r="59" spans="1:15" ht="14.25">
      <c r="A59" s="21"/>
      <c r="B59" s="18"/>
      <c r="C59" s="33"/>
      <c r="D59" s="21"/>
      <c r="E59" s="21"/>
      <c r="F59" s="21"/>
      <c r="G59" s="36"/>
      <c r="K59" s="21"/>
      <c r="L59" s="18"/>
      <c r="O59" s="64"/>
    </row>
    <row r="60" spans="1:15" ht="14.25">
      <c r="A60" s="21"/>
      <c r="B60" s="18"/>
      <c r="C60" s="33"/>
      <c r="D60" s="21"/>
      <c r="E60" s="21"/>
      <c r="F60" s="21"/>
      <c r="G60" s="36"/>
      <c r="K60" s="21"/>
      <c r="L60" s="18"/>
      <c r="O60" s="64"/>
    </row>
    <row r="61" spans="1:15" ht="14.25">
      <c r="A61" s="21"/>
      <c r="B61" s="18"/>
      <c r="C61" s="33"/>
      <c r="D61" s="21"/>
      <c r="E61" s="21"/>
      <c r="F61" s="21"/>
      <c r="G61" s="36"/>
      <c r="K61" s="21"/>
      <c r="L61" s="13"/>
      <c r="O61" s="64"/>
    </row>
    <row r="62" spans="1:15" ht="14.25">
      <c r="A62" s="21"/>
      <c r="B62" s="18"/>
      <c r="C62" s="33"/>
      <c r="D62" s="21"/>
      <c r="E62" s="21"/>
      <c r="F62" s="21"/>
      <c r="G62" s="36"/>
      <c r="K62" s="21"/>
      <c r="L62" s="21"/>
      <c r="O62" s="64"/>
    </row>
    <row r="63" spans="1:15" ht="14.25">
      <c r="A63" s="21"/>
      <c r="B63" s="18"/>
      <c r="C63" s="33"/>
      <c r="D63" s="21"/>
      <c r="E63" s="21"/>
      <c r="F63" s="21"/>
      <c r="G63" s="36"/>
      <c r="K63" s="21"/>
      <c r="L63" s="18"/>
      <c r="O63" s="64"/>
    </row>
    <row r="64" spans="1:15" ht="14.25">
      <c r="A64" s="21"/>
      <c r="B64" s="18"/>
      <c r="C64" s="33"/>
      <c r="D64" s="21"/>
      <c r="E64" s="21"/>
      <c r="F64" s="21"/>
      <c r="G64" s="36"/>
      <c r="K64" s="21"/>
      <c r="L64" s="21"/>
      <c r="O64" s="64"/>
    </row>
    <row r="65" spans="1:22" ht="14.25">
      <c r="A65" s="21"/>
      <c r="B65" s="21"/>
      <c r="C65" s="33"/>
      <c r="D65" s="21"/>
      <c r="E65" s="21"/>
      <c r="F65" s="21"/>
      <c r="G65" s="36"/>
      <c r="K65" s="21"/>
      <c r="L65" s="21"/>
      <c r="O65" s="64"/>
    </row>
    <row r="66" spans="1:22" ht="14.25">
      <c r="A66" s="21"/>
      <c r="B66" s="18"/>
      <c r="C66" s="33"/>
      <c r="D66" s="21"/>
      <c r="E66" s="21"/>
      <c r="F66" s="21"/>
      <c r="G66" s="36"/>
      <c r="K66" s="21"/>
      <c r="L66" s="21"/>
      <c r="O66" s="64"/>
    </row>
    <row r="67" spans="1:22" ht="14.25">
      <c r="A67" s="21"/>
      <c r="B67" s="18"/>
      <c r="C67" s="33"/>
      <c r="D67" s="21"/>
      <c r="E67" s="21"/>
      <c r="F67" s="21"/>
      <c r="G67" s="36"/>
      <c r="K67" s="21"/>
      <c r="L67" s="18"/>
      <c r="O67" s="64"/>
    </row>
    <row r="68" spans="1:22" ht="14.25">
      <c r="A68" s="21"/>
      <c r="B68" s="18"/>
      <c r="C68" s="33"/>
      <c r="D68" s="21"/>
      <c r="E68" s="21"/>
      <c r="F68" s="21"/>
      <c r="G68" s="36"/>
      <c r="K68" s="21"/>
      <c r="L68" s="21"/>
      <c r="O68" s="64"/>
    </row>
    <row r="69" spans="1:22" ht="14.25">
      <c r="A69" s="21"/>
      <c r="B69" s="21"/>
      <c r="C69" s="33"/>
      <c r="D69" s="21"/>
      <c r="E69" s="21"/>
      <c r="F69" s="21"/>
      <c r="G69" s="36"/>
      <c r="K69" s="21"/>
      <c r="L69" s="18"/>
      <c r="O69" s="64"/>
    </row>
    <row r="70" spans="1:22" ht="14.25">
      <c r="A70" s="21"/>
      <c r="B70" s="18"/>
      <c r="C70" s="33"/>
      <c r="D70" s="21"/>
      <c r="E70" s="21"/>
      <c r="F70" s="21"/>
      <c r="G70" s="36"/>
      <c r="K70" s="21"/>
      <c r="L70" s="18"/>
      <c r="O70" s="64"/>
    </row>
    <row r="71" spans="1:22" ht="14.25">
      <c r="A71" s="21"/>
      <c r="B71" s="18"/>
      <c r="C71" s="33"/>
      <c r="D71" s="21"/>
      <c r="E71" s="21"/>
      <c r="F71" s="21"/>
      <c r="G71" s="36"/>
      <c r="K71" s="21"/>
      <c r="L71" s="18"/>
      <c r="O71" s="64"/>
    </row>
    <row r="72" spans="1:22" ht="14.25">
      <c r="A72" s="21"/>
      <c r="B72" s="18"/>
      <c r="C72" s="33"/>
      <c r="D72" s="21"/>
      <c r="E72" s="21"/>
      <c r="F72" s="21"/>
      <c r="G72" s="36"/>
      <c r="K72" s="21"/>
      <c r="L72" s="18"/>
      <c r="O72" s="64"/>
    </row>
    <row r="73" spans="1:22" ht="14.25">
      <c r="A73" s="21"/>
      <c r="B73" s="18"/>
      <c r="C73" s="33"/>
      <c r="D73" s="21"/>
      <c r="E73" s="21"/>
      <c r="F73" s="21"/>
      <c r="G73" s="36"/>
      <c r="K73" s="21"/>
      <c r="L73" s="39"/>
      <c r="O73" s="64"/>
    </row>
    <row r="74" spans="1:22" ht="14.25">
      <c r="A74" s="21"/>
      <c r="B74" s="18"/>
      <c r="C74" s="33"/>
      <c r="D74" s="21"/>
      <c r="E74" s="21"/>
      <c r="F74" s="21"/>
      <c r="G74" s="36"/>
      <c r="K74" s="21"/>
      <c r="L74" s="13"/>
      <c r="O74" s="64"/>
    </row>
    <row r="75" spans="1:22" ht="15" thickBot="1">
      <c r="B75" s="18"/>
      <c r="C75" s="33"/>
      <c r="D75" s="70"/>
      <c r="E75" s="21"/>
      <c r="F75" s="71"/>
      <c r="G75" s="36"/>
      <c r="K75" s="21"/>
      <c r="L75" s="18"/>
      <c r="O75" s="72"/>
    </row>
    <row r="76" spans="1:22" ht="15" thickBot="1">
      <c r="K76" s="21"/>
      <c r="L76" s="18"/>
      <c r="M76" t="s">
        <v>349</v>
      </c>
      <c r="N76" t="s">
        <v>315</v>
      </c>
      <c r="O76" s="60">
        <v>664</v>
      </c>
    </row>
    <row r="77" spans="1:22" ht="15" thickBot="1">
      <c r="K77" s="21"/>
      <c r="L77" s="18"/>
      <c r="M77" t="s">
        <v>283</v>
      </c>
      <c r="N77" t="s">
        <v>284</v>
      </c>
      <c r="O77" s="61">
        <v>661</v>
      </c>
    </row>
    <row r="78" spans="1:22" ht="15" thickBot="1">
      <c r="C78" s="33" t="s">
        <v>502</v>
      </c>
      <c r="K78" s="21"/>
      <c r="L78" s="21"/>
      <c r="M78" t="s">
        <v>303</v>
      </c>
      <c r="N78" t="s">
        <v>304</v>
      </c>
      <c r="O78" s="60">
        <v>650</v>
      </c>
    </row>
    <row r="79" spans="1:22" ht="15" thickBot="1">
      <c r="K79" s="21"/>
      <c r="L79" s="18"/>
      <c r="M79" t="s">
        <v>290</v>
      </c>
      <c r="N79" t="s">
        <v>291</v>
      </c>
      <c r="O79" s="61">
        <v>647</v>
      </c>
    </row>
    <row r="80" spans="1:22" ht="15" thickBot="1">
      <c r="K80" s="21"/>
      <c r="L80" s="18"/>
      <c r="M80" t="s">
        <v>344</v>
      </c>
      <c r="N80" t="s">
        <v>328</v>
      </c>
      <c r="O80" s="60">
        <v>645</v>
      </c>
      <c r="T80">
        <v>0</v>
      </c>
      <c r="U80" t="s">
        <v>406</v>
      </c>
      <c r="V80">
        <v>5</v>
      </c>
    </row>
    <row r="81" spans="11:22" ht="15" thickBot="1">
      <c r="K81" s="21"/>
      <c r="L81" s="18"/>
      <c r="M81" t="s">
        <v>316</v>
      </c>
      <c r="N81" t="s">
        <v>287</v>
      </c>
      <c r="O81" s="61">
        <v>627</v>
      </c>
      <c r="T81">
        <v>0</v>
      </c>
      <c r="U81" t="s">
        <v>412</v>
      </c>
      <c r="V81">
        <v>5</v>
      </c>
    </row>
    <row r="82" spans="11:22" ht="15" thickBot="1">
      <c r="K82" s="21"/>
      <c r="L82" s="18"/>
      <c r="M82" t="s">
        <v>353</v>
      </c>
      <c r="N82" t="s">
        <v>330</v>
      </c>
      <c r="O82" s="60">
        <v>620</v>
      </c>
      <c r="T82">
        <v>0</v>
      </c>
      <c r="U82" t="s">
        <v>413</v>
      </c>
      <c r="V82">
        <v>5</v>
      </c>
    </row>
    <row r="83" spans="11:22" ht="15" thickBot="1">
      <c r="K83" s="21"/>
      <c r="L83" s="18"/>
      <c r="M83" t="s">
        <v>321</v>
      </c>
      <c r="N83" t="s">
        <v>273</v>
      </c>
      <c r="O83" s="61">
        <v>615</v>
      </c>
      <c r="T83">
        <v>0</v>
      </c>
      <c r="U83" t="s">
        <v>415</v>
      </c>
      <c r="V83">
        <v>5</v>
      </c>
    </row>
    <row r="84" spans="11:22" ht="15" thickBot="1">
      <c r="K84" s="21"/>
      <c r="L84" s="18"/>
      <c r="M84" t="s">
        <v>308</v>
      </c>
      <c r="N84" t="s">
        <v>309</v>
      </c>
      <c r="O84" s="60">
        <v>602</v>
      </c>
      <c r="T84">
        <v>0</v>
      </c>
      <c r="U84" t="s">
        <v>424</v>
      </c>
      <c r="V84">
        <v>5</v>
      </c>
    </row>
    <row r="85" spans="11:22" ht="15" thickBot="1">
      <c r="K85" s="21"/>
      <c r="L85" s="18"/>
      <c r="M85" t="s">
        <v>354</v>
      </c>
      <c r="N85" t="s">
        <v>278</v>
      </c>
      <c r="O85" s="61">
        <v>594</v>
      </c>
      <c r="T85">
        <v>0</v>
      </c>
      <c r="U85" t="s">
        <v>432</v>
      </c>
      <c r="V85">
        <v>5</v>
      </c>
    </row>
    <row r="86" spans="11:22" ht="15" thickBot="1">
      <c r="M86" t="s">
        <v>356</v>
      </c>
      <c r="N86" t="s">
        <v>331</v>
      </c>
      <c r="O86" s="60">
        <v>593</v>
      </c>
      <c r="T86">
        <v>1</v>
      </c>
      <c r="U86" t="s">
        <v>458</v>
      </c>
      <c r="V86">
        <v>5</v>
      </c>
    </row>
    <row r="87" spans="11:22" ht="15" thickBot="1">
      <c r="M87" t="s">
        <v>333</v>
      </c>
      <c r="N87" t="s">
        <v>306</v>
      </c>
      <c r="O87" s="61">
        <v>588</v>
      </c>
      <c r="T87">
        <v>0</v>
      </c>
      <c r="U87" t="s">
        <v>448</v>
      </c>
      <c r="V87">
        <v>5</v>
      </c>
    </row>
    <row r="88" spans="11:22" ht="15" thickBot="1">
      <c r="M88" t="s">
        <v>295</v>
      </c>
      <c r="N88" t="s">
        <v>296</v>
      </c>
      <c r="O88" s="60">
        <v>577</v>
      </c>
      <c r="T88">
        <v>1</v>
      </c>
      <c r="U88" t="s">
        <v>490</v>
      </c>
      <c r="V88">
        <v>5</v>
      </c>
    </row>
    <row r="89" spans="11:22" ht="15" thickBot="1">
      <c r="M89" t="s">
        <v>300</v>
      </c>
      <c r="N89" t="s">
        <v>294</v>
      </c>
      <c r="O89" s="61">
        <v>575</v>
      </c>
      <c r="T89">
        <v>0</v>
      </c>
      <c r="U89" t="s">
        <v>500</v>
      </c>
      <c r="V89">
        <v>5</v>
      </c>
    </row>
    <row r="90" spans="11:22" ht="15" thickBot="1">
      <c r="M90" t="s">
        <v>275</v>
      </c>
      <c r="N90" t="s">
        <v>276</v>
      </c>
      <c r="O90" s="60">
        <v>564</v>
      </c>
      <c r="T90">
        <v>0</v>
      </c>
      <c r="U90" t="s">
        <v>403</v>
      </c>
      <c r="V90">
        <v>4</v>
      </c>
    </row>
    <row r="91" spans="11:22" ht="15" thickBot="1">
      <c r="M91" t="s">
        <v>338</v>
      </c>
      <c r="N91" t="s">
        <v>325</v>
      </c>
      <c r="O91" s="61">
        <v>550</v>
      </c>
      <c r="T91">
        <v>0</v>
      </c>
      <c r="U91" t="s">
        <v>409</v>
      </c>
      <c r="V91">
        <v>4</v>
      </c>
    </row>
    <row r="92" spans="11:22" ht="15" thickBot="1">
      <c r="M92" t="s">
        <v>298</v>
      </c>
      <c r="N92" t="s">
        <v>299</v>
      </c>
      <c r="O92" s="60">
        <v>549</v>
      </c>
      <c r="T92">
        <v>0</v>
      </c>
      <c r="U92" t="s">
        <v>423</v>
      </c>
      <c r="V92">
        <v>4</v>
      </c>
    </row>
    <row r="93" spans="11:22" ht="15" thickBot="1">
      <c r="M93" t="s">
        <v>317</v>
      </c>
      <c r="N93" t="s">
        <v>307</v>
      </c>
      <c r="O93" s="61">
        <v>545</v>
      </c>
      <c r="T93">
        <v>0</v>
      </c>
      <c r="U93" t="s">
        <v>426</v>
      </c>
      <c r="V93">
        <v>4</v>
      </c>
    </row>
    <row r="94" spans="11:22" ht="15" thickBot="1">
      <c r="M94" t="s">
        <v>352</v>
      </c>
      <c r="N94" t="s">
        <v>315</v>
      </c>
      <c r="O94" s="60">
        <v>541</v>
      </c>
      <c r="T94">
        <v>0</v>
      </c>
      <c r="U94" t="s">
        <v>428</v>
      </c>
      <c r="V94">
        <v>4</v>
      </c>
    </row>
    <row r="95" spans="11:22" ht="15" thickBot="1">
      <c r="M95" t="s">
        <v>292</v>
      </c>
      <c r="N95" t="s">
        <v>281</v>
      </c>
      <c r="O95" s="61">
        <v>539</v>
      </c>
      <c r="T95">
        <v>0</v>
      </c>
      <c r="U95" t="s">
        <v>435</v>
      </c>
      <c r="V95">
        <v>4</v>
      </c>
    </row>
    <row r="96" spans="11:22" ht="15" thickBot="1">
      <c r="M96" t="s">
        <v>337</v>
      </c>
      <c r="N96" t="s">
        <v>274</v>
      </c>
      <c r="O96" s="61">
        <v>509</v>
      </c>
      <c r="P96" t="s">
        <v>282</v>
      </c>
      <c r="Q96" t="s">
        <v>282</v>
      </c>
      <c r="T96">
        <v>0</v>
      </c>
      <c r="U96" t="s">
        <v>441</v>
      </c>
      <c r="V96">
        <v>4</v>
      </c>
    </row>
    <row r="97" spans="13:22" ht="15" thickBot="1">
      <c r="M97" t="s">
        <v>339</v>
      </c>
      <c r="N97" t="s">
        <v>312</v>
      </c>
      <c r="O97" s="60">
        <v>509</v>
      </c>
      <c r="P97" t="s">
        <v>279</v>
      </c>
      <c r="Q97" t="s">
        <v>279</v>
      </c>
      <c r="T97">
        <v>0</v>
      </c>
      <c r="U97" t="s">
        <v>443</v>
      </c>
      <c r="V97">
        <v>4</v>
      </c>
    </row>
    <row r="98" spans="13:22" ht="15" thickBot="1">
      <c r="M98" t="s">
        <v>302</v>
      </c>
      <c r="N98" t="s">
        <v>301</v>
      </c>
      <c r="O98" s="60">
        <v>496</v>
      </c>
      <c r="P98" t="s">
        <v>279</v>
      </c>
      <c r="Q98" t="s">
        <v>279</v>
      </c>
      <c r="T98">
        <v>0</v>
      </c>
      <c r="U98" t="s">
        <v>451</v>
      </c>
      <c r="V98">
        <v>4</v>
      </c>
    </row>
    <row r="99" spans="13:22" ht="15" thickBot="1">
      <c r="M99" t="s">
        <v>332</v>
      </c>
      <c r="N99" t="s">
        <v>312</v>
      </c>
      <c r="O99" s="61">
        <v>483</v>
      </c>
      <c r="P99" t="s">
        <v>279</v>
      </c>
      <c r="Q99" t="s">
        <v>279</v>
      </c>
      <c r="T99">
        <v>0</v>
      </c>
      <c r="U99" t="s">
        <v>461</v>
      </c>
      <c r="V99">
        <v>4</v>
      </c>
    </row>
    <row r="100" spans="13:22" ht="15" thickBot="1">
      <c r="M100" t="s">
        <v>347</v>
      </c>
      <c r="N100" t="s">
        <v>299</v>
      </c>
      <c r="O100" s="63">
        <v>481</v>
      </c>
      <c r="T100">
        <v>0</v>
      </c>
      <c r="U100" t="s">
        <v>466</v>
      </c>
      <c r="V100">
        <v>4</v>
      </c>
    </row>
    <row r="101" spans="13:22" ht="15" thickBot="1">
      <c r="M101" t="s">
        <v>285</v>
      </c>
      <c r="N101" t="s">
        <v>274</v>
      </c>
      <c r="O101" s="61">
        <v>478</v>
      </c>
      <c r="T101">
        <v>0</v>
      </c>
      <c r="U101" t="s">
        <v>468</v>
      </c>
      <c r="V101">
        <v>4</v>
      </c>
    </row>
    <row r="102" spans="13:22" ht="15" thickBot="1">
      <c r="M102" t="s">
        <v>277</v>
      </c>
      <c r="N102" t="s">
        <v>278</v>
      </c>
      <c r="O102" s="60">
        <v>465</v>
      </c>
      <c r="P102" t="s">
        <v>279</v>
      </c>
      <c r="Q102" t="s">
        <v>279</v>
      </c>
      <c r="T102">
        <v>0</v>
      </c>
      <c r="U102" t="s">
        <v>480</v>
      </c>
      <c r="V102">
        <v>4</v>
      </c>
    </row>
    <row r="103" spans="13:22" ht="15" thickBot="1">
      <c r="M103" t="s">
        <v>310</v>
      </c>
      <c r="N103" t="s">
        <v>278</v>
      </c>
      <c r="O103" s="60">
        <v>463</v>
      </c>
      <c r="P103" t="s">
        <v>282</v>
      </c>
      <c r="Q103" t="s">
        <v>282</v>
      </c>
      <c r="T103">
        <v>0</v>
      </c>
      <c r="U103" t="s">
        <v>485</v>
      </c>
      <c r="V103">
        <v>4</v>
      </c>
    </row>
    <row r="104" spans="13:22" ht="15" thickBot="1">
      <c r="M104" t="s">
        <v>335</v>
      </c>
      <c r="N104" t="s">
        <v>324</v>
      </c>
      <c r="O104" s="61">
        <v>457</v>
      </c>
      <c r="P104" t="s">
        <v>282</v>
      </c>
      <c r="Q104" t="s">
        <v>282</v>
      </c>
      <c r="T104">
        <v>0</v>
      </c>
      <c r="U104" t="s">
        <v>394</v>
      </c>
      <c r="V104">
        <v>3</v>
      </c>
    </row>
    <row r="105" spans="13:22" ht="15" thickBot="1">
      <c r="M105" t="s">
        <v>343</v>
      </c>
      <c r="N105" t="s">
        <v>273</v>
      </c>
      <c r="O105" s="60">
        <v>457</v>
      </c>
      <c r="T105">
        <v>0</v>
      </c>
      <c r="U105" t="s">
        <v>397</v>
      </c>
      <c r="V105">
        <v>3</v>
      </c>
    </row>
    <row r="106" spans="13:22" ht="15" thickBot="1">
      <c r="M106" t="s">
        <v>314</v>
      </c>
      <c r="N106" t="s">
        <v>287</v>
      </c>
      <c r="O106" s="61">
        <v>431</v>
      </c>
      <c r="P106" t="s">
        <v>282</v>
      </c>
      <c r="Q106" t="s">
        <v>282</v>
      </c>
      <c r="T106">
        <v>0</v>
      </c>
      <c r="U106" t="s">
        <v>420</v>
      </c>
      <c r="V106">
        <v>3</v>
      </c>
    </row>
    <row r="107" spans="13:22" ht="15" thickBot="1">
      <c r="M107" t="s">
        <v>342</v>
      </c>
      <c r="N107" t="s">
        <v>305</v>
      </c>
      <c r="O107" s="61">
        <v>423</v>
      </c>
      <c r="P107" t="s">
        <v>282</v>
      </c>
      <c r="Q107" t="s">
        <v>282</v>
      </c>
      <c r="T107">
        <v>0</v>
      </c>
      <c r="U107" t="s">
        <v>433</v>
      </c>
      <c r="V107">
        <v>3</v>
      </c>
    </row>
    <row r="108" spans="13:22" ht="15" thickBot="1">
      <c r="M108" t="s">
        <v>340</v>
      </c>
      <c r="N108" t="s">
        <v>326</v>
      </c>
      <c r="O108" s="60">
        <v>417</v>
      </c>
      <c r="P108" t="s">
        <v>282</v>
      </c>
      <c r="Q108" t="s">
        <v>282</v>
      </c>
      <c r="T108">
        <v>0</v>
      </c>
      <c r="U108" t="s">
        <v>477</v>
      </c>
      <c r="V108">
        <v>3</v>
      </c>
    </row>
    <row r="109" spans="13:22" ht="15" thickBot="1">
      <c r="M109" t="s">
        <v>351</v>
      </c>
      <c r="N109" t="s">
        <v>287</v>
      </c>
      <c r="O109" s="60">
        <v>397</v>
      </c>
      <c r="T109">
        <v>0</v>
      </c>
      <c r="U109" t="s">
        <v>482</v>
      </c>
      <c r="V109">
        <v>3</v>
      </c>
    </row>
    <row r="110" spans="13:22" ht="15" thickBot="1">
      <c r="M110" t="s">
        <v>313</v>
      </c>
      <c r="N110" t="s">
        <v>278</v>
      </c>
      <c r="O110" s="61">
        <v>391</v>
      </c>
      <c r="T110">
        <v>0</v>
      </c>
      <c r="U110" t="s">
        <v>483</v>
      </c>
      <c r="V110">
        <v>3</v>
      </c>
    </row>
    <row r="111" spans="13:22" ht="15" thickBot="1">
      <c r="M111" t="s">
        <v>345</v>
      </c>
      <c r="N111" t="s">
        <v>274</v>
      </c>
      <c r="O111" s="60">
        <v>386</v>
      </c>
      <c r="P111" t="s">
        <v>282</v>
      </c>
      <c r="Q111" t="s">
        <v>282</v>
      </c>
      <c r="T111">
        <v>0</v>
      </c>
      <c r="U111" t="s">
        <v>501</v>
      </c>
      <c r="V111">
        <v>3</v>
      </c>
    </row>
    <row r="112" spans="13:22" ht="15" thickBot="1">
      <c r="M112" t="s">
        <v>348</v>
      </c>
      <c r="N112" t="s">
        <v>289</v>
      </c>
      <c r="O112" s="60">
        <v>370</v>
      </c>
      <c r="T112">
        <v>0</v>
      </c>
      <c r="U112" t="s">
        <v>437</v>
      </c>
      <c r="V112">
        <v>2</v>
      </c>
    </row>
    <row r="113" spans="13:22" ht="15" thickBot="1">
      <c r="M113" t="s">
        <v>297</v>
      </c>
      <c r="N113" t="s">
        <v>278</v>
      </c>
      <c r="O113" s="61">
        <v>367</v>
      </c>
      <c r="P113" t="s">
        <v>279</v>
      </c>
      <c r="Q113" t="s">
        <v>279</v>
      </c>
      <c r="T113">
        <v>0</v>
      </c>
      <c r="U113" t="s">
        <v>438</v>
      </c>
      <c r="V113">
        <v>2</v>
      </c>
    </row>
    <row r="114" spans="13:22" ht="15" thickBot="1">
      <c r="M114" t="s">
        <v>346</v>
      </c>
      <c r="N114" t="s">
        <v>294</v>
      </c>
      <c r="O114" s="60">
        <v>362</v>
      </c>
      <c r="P114" t="s">
        <v>282</v>
      </c>
      <c r="Q114" t="s">
        <v>282</v>
      </c>
      <c r="T114">
        <v>0</v>
      </c>
      <c r="U114" t="s">
        <v>470</v>
      </c>
      <c r="V114">
        <v>1</v>
      </c>
    </row>
    <row r="115" spans="13:22" ht="15" thickBot="1">
      <c r="M115" t="s">
        <v>280</v>
      </c>
      <c r="N115" t="s">
        <v>281</v>
      </c>
      <c r="O115" s="60">
        <v>353</v>
      </c>
      <c r="P115" t="s">
        <v>282</v>
      </c>
      <c r="Q115" t="s">
        <v>282</v>
      </c>
      <c r="T115">
        <v>58</v>
      </c>
      <c r="U115" t="s">
        <v>360</v>
      </c>
      <c r="V115">
        <v>0</v>
      </c>
    </row>
    <row r="116" spans="13:22" ht="15" thickBot="1">
      <c r="M116" t="s">
        <v>350</v>
      </c>
      <c r="N116" t="s">
        <v>329</v>
      </c>
      <c r="O116" s="60">
        <v>351</v>
      </c>
      <c r="P116" t="s">
        <v>282</v>
      </c>
      <c r="Q116" t="s">
        <v>282</v>
      </c>
      <c r="T116">
        <v>53</v>
      </c>
      <c r="U116" t="s">
        <v>357</v>
      </c>
      <c r="V116">
        <v>0</v>
      </c>
    </row>
    <row r="117" spans="13:22" ht="15" thickBot="1">
      <c r="M117" t="s">
        <v>319</v>
      </c>
      <c r="N117" t="s">
        <v>278</v>
      </c>
      <c r="O117" s="61">
        <v>323</v>
      </c>
      <c r="P117" t="s">
        <v>282</v>
      </c>
      <c r="Q117" t="s">
        <v>282</v>
      </c>
      <c r="T117">
        <v>49</v>
      </c>
      <c r="U117" t="s">
        <v>358</v>
      </c>
      <c r="V117">
        <v>0</v>
      </c>
    </row>
    <row r="118" spans="13:22" ht="15" thickBot="1">
      <c r="M118" t="s">
        <v>318</v>
      </c>
      <c r="N118" t="s">
        <v>281</v>
      </c>
      <c r="O118" s="60">
        <v>320</v>
      </c>
      <c r="P118" t="s">
        <v>282</v>
      </c>
      <c r="Q118" t="s">
        <v>282</v>
      </c>
      <c r="T118">
        <v>45</v>
      </c>
      <c r="U118" t="s">
        <v>359</v>
      </c>
      <c r="V118">
        <v>0</v>
      </c>
    </row>
    <row r="119" spans="13:22" ht="15" thickBot="1">
      <c r="M119" t="s">
        <v>355</v>
      </c>
      <c r="N119" t="s">
        <v>327</v>
      </c>
      <c r="O119" s="61">
        <v>310</v>
      </c>
      <c r="P119" t="s">
        <v>282</v>
      </c>
      <c r="Q119" t="s">
        <v>282</v>
      </c>
      <c r="T119">
        <v>36</v>
      </c>
      <c r="U119" t="s">
        <v>361</v>
      </c>
      <c r="V119">
        <v>0</v>
      </c>
    </row>
    <row r="120" spans="13:22" ht="15" thickBot="1">
      <c r="M120" t="s">
        <v>293</v>
      </c>
      <c r="N120" t="s">
        <v>294</v>
      </c>
      <c r="O120" s="61">
        <v>294</v>
      </c>
      <c r="P120" t="s">
        <v>282</v>
      </c>
      <c r="Q120" t="s">
        <v>282</v>
      </c>
      <c r="T120">
        <v>33</v>
      </c>
      <c r="U120" t="s">
        <v>362</v>
      </c>
      <c r="V120">
        <v>0</v>
      </c>
    </row>
    <row r="121" spans="13:22" ht="15" thickBot="1">
      <c r="M121" t="s">
        <v>341</v>
      </c>
      <c r="N121" t="s">
        <v>312</v>
      </c>
      <c r="O121" s="60">
        <v>292</v>
      </c>
      <c r="P121" t="s">
        <v>279</v>
      </c>
      <c r="Q121" t="s">
        <v>279</v>
      </c>
      <c r="T121">
        <v>30</v>
      </c>
      <c r="U121" t="s">
        <v>363</v>
      </c>
      <c r="V121">
        <v>0</v>
      </c>
    </row>
    <row r="122" spans="13:22" ht="15" thickBot="1">
      <c r="M122" t="s">
        <v>311</v>
      </c>
      <c r="N122" t="s">
        <v>312</v>
      </c>
      <c r="O122" s="60">
        <v>282</v>
      </c>
      <c r="P122" t="s">
        <v>279</v>
      </c>
      <c r="Q122" t="s">
        <v>279</v>
      </c>
      <c r="T122">
        <v>29</v>
      </c>
      <c r="U122" t="s">
        <v>364</v>
      </c>
      <c r="V122">
        <v>0</v>
      </c>
    </row>
    <row r="123" spans="13:22" ht="15" thickBot="1">
      <c r="M123" t="s">
        <v>320</v>
      </c>
      <c r="N123" t="s">
        <v>278</v>
      </c>
      <c r="O123" s="62">
        <v>280</v>
      </c>
      <c r="P123" t="s">
        <v>282</v>
      </c>
      <c r="Q123" t="s">
        <v>282</v>
      </c>
      <c r="T123">
        <v>23</v>
      </c>
      <c r="U123" t="s">
        <v>365</v>
      </c>
      <c r="V123">
        <v>0</v>
      </c>
    </row>
    <row r="124" spans="13:22" ht="15" thickBot="1">
      <c r="M124" t="s">
        <v>336</v>
      </c>
      <c r="N124" t="s">
        <v>323</v>
      </c>
      <c r="O124" s="60">
        <v>242</v>
      </c>
      <c r="T124">
        <v>22</v>
      </c>
      <c r="U124" t="s">
        <v>366</v>
      </c>
      <c r="V124">
        <v>0</v>
      </c>
    </row>
    <row r="125" spans="13:22" ht="15" thickBot="1">
      <c r="M125" t="s">
        <v>334</v>
      </c>
      <c r="N125" t="s">
        <v>281</v>
      </c>
      <c r="O125" s="61">
        <v>234</v>
      </c>
      <c r="P125" t="s">
        <v>282</v>
      </c>
      <c r="Q125" t="s">
        <v>282</v>
      </c>
      <c r="T125">
        <v>20</v>
      </c>
      <c r="U125" t="s">
        <v>367</v>
      </c>
      <c r="V125">
        <v>0</v>
      </c>
    </row>
    <row r="126" spans="13:22" ht="15" thickBot="1">
      <c r="M126" t="s">
        <v>286</v>
      </c>
      <c r="N126" t="s">
        <v>274</v>
      </c>
      <c r="O126" s="64">
        <v>163</v>
      </c>
      <c r="T126">
        <v>20</v>
      </c>
      <c r="U126" t="s">
        <v>368</v>
      </c>
      <c r="V126">
        <v>0</v>
      </c>
    </row>
    <row r="127" spans="13:22" ht="15" thickBot="1">
      <c r="M127" t="s">
        <v>288</v>
      </c>
      <c r="N127" t="s">
        <v>273</v>
      </c>
      <c r="O127" s="61">
        <v>76</v>
      </c>
      <c r="T127">
        <v>17</v>
      </c>
      <c r="U127" t="s">
        <v>369</v>
      </c>
      <c r="V127">
        <v>0</v>
      </c>
    </row>
    <row r="128" spans="13:22" ht="15" thickBot="1">
      <c r="M128" t="s">
        <v>322</v>
      </c>
      <c r="N128" t="s">
        <v>274</v>
      </c>
      <c r="O128" s="60">
        <v>40</v>
      </c>
      <c r="T128">
        <v>12</v>
      </c>
      <c r="U128" t="s">
        <v>370</v>
      </c>
      <c r="V128">
        <v>0</v>
      </c>
    </row>
    <row r="129" spans="20:22">
      <c r="T129">
        <v>12</v>
      </c>
      <c r="U129" t="s">
        <v>371</v>
      </c>
      <c r="V129">
        <v>0</v>
      </c>
    </row>
    <row r="130" spans="20:22">
      <c r="T130">
        <v>11</v>
      </c>
      <c r="U130" t="s">
        <v>372</v>
      </c>
      <c r="V130">
        <v>0</v>
      </c>
    </row>
    <row r="131" spans="20:22">
      <c r="T131">
        <v>7</v>
      </c>
      <c r="U131" t="s">
        <v>373</v>
      </c>
      <c r="V131">
        <v>0</v>
      </c>
    </row>
    <row r="132" spans="20:22">
      <c r="T132">
        <v>6</v>
      </c>
      <c r="U132" t="s">
        <v>374</v>
      </c>
      <c r="V132">
        <v>0</v>
      </c>
    </row>
    <row r="133" spans="20:22">
      <c r="T133">
        <v>4</v>
      </c>
      <c r="U133" t="s">
        <v>375</v>
      </c>
      <c r="V133">
        <v>0</v>
      </c>
    </row>
    <row r="134" spans="20:22">
      <c r="T134">
        <v>4</v>
      </c>
      <c r="U134" t="s">
        <v>376</v>
      </c>
      <c r="V134">
        <v>0</v>
      </c>
    </row>
    <row r="135" spans="20:22">
      <c r="T135">
        <v>3</v>
      </c>
      <c r="U135" t="s">
        <v>377</v>
      </c>
      <c r="V135">
        <v>0</v>
      </c>
    </row>
    <row r="136" spans="20:22">
      <c r="T136">
        <v>3</v>
      </c>
      <c r="U136" t="s">
        <v>378</v>
      </c>
      <c r="V136">
        <v>0</v>
      </c>
    </row>
    <row r="137" spans="20:22">
      <c r="T137">
        <v>2</v>
      </c>
      <c r="U137" t="s">
        <v>379</v>
      </c>
      <c r="V137">
        <v>0</v>
      </c>
    </row>
    <row r="138" spans="20:22">
      <c r="T138">
        <v>2</v>
      </c>
      <c r="U138" t="s">
        <v>380</v>
      </c>
      <c r="V138">
        <v>0</v>
      </c>
    </row>
    <row r="139" spans="20:22">
      <c r="T139">
        <v>2</v>
      </c>
      <c r="U139" t="s">
        <v>381</v>
      </c>
      <c r="V139">
        <v>0</v>
      </c>
    </row>
    <row r="140" spans="20:22">
      <c r="T140">
        <v>2</v>
      </c>
      <c r="U140" t="s">
        <v>382</v>
      </c>
      <c r="V140">
        <v>0</v>
      </c>
    </row>
    <row r="141" spans="20:22">
      <c r="T141">
        <v>2</v>
      </c>
      <c r="U141" t="s">
        <v>383</v>
      </c>
      <c r="V141">
        <v>0</v>
      </c>
    </row>
    <row r="142" spans="20:22">
      <c r="T142">
        <v>2</v>
      </c>
      <c r="U142" t="s">
        <v>384</v>
      </c>
      <c r="V142">
        <v>0</v>
      </c>
    </row>
    <row r="143" spans="20:22">
      <c r="T143">
        <v>2</v>
      </c>
      <c r="U143" t="s">
        <v>385</v>
      </c>
      <c r="V143">
        <v>0</v>
      </c>
    </row>
    <row r="144" spans="20:22">
      <c r="T144">
        <v>1</v>
      </c>
      <c r="U144" t="s">
        <v>386</v>
      </c>
      <c r="V144">
        <v>0</v>
      </c>
    </row>
    <row r="145" spans="20:22">
      <c r="T145">
        <v>1</v>
      </c>
      <c r="U145" t="s">
        <v>387</v>
      </c>
      <c r="V145">
        <v>0</v>
      </c>
    </row>
    <row r="146" spans="20:22">
      <c r="T146">
        <v>1</v>
      </c>
      <c r="U146" t="s">
        <v>388</v>
      </c>
      <c r="V146">
        <v>0</v>
      </c>
    </row>
    <row r="147" spans="20:22">
      <c r="T147">
        <v>1</v>
      </c>
      <c r="U147" t="s">
        <v>389</v>
      </c>
      <c r="V147">
        <v>0</v>
      </c>
    </row>
    <row r="148" spans="20:22">
      <c r="T148">
        <v>1</v>
      </c>
      <c r="U148" t="s">
        <v>390</v>
      </c>
      <c r="V148">
        <v>0</v>
      </c>
    </row>
    <row r="149" spans="20:22">
      <c r="T149">
        <v>1</v>
      </c>
      <c r="U149" t="s">
        <v>391</v>
      </c>
      <c r="V149">
        <v>0</v>
      </c>
    </row>
    <row r="150" spans="20:22">
      <c r="T150">
        <v>1</v>
      </c>
      <c r="U150" t="s">
        <v>392</v>
      </c>
      <c r="V150">
        <v>0</v>
      </c>
    </row>
    <row r="151" spans="20:22">
      <c r="T151">
        <v>1</v>
      </c>
      <c r="U151" t="s">
        <v>393</v>
      </c>
      <c r="V151">
        <v>0</v>
      </c>
    </row>
    <row r="152" spans="20:22">
      <c r="T152">
        <v>0</v>
      </c>
      <c r="U152" t="s">
        <v>395</v>
      </c>
      <c r="V152">
        <v>0</v>
      </c>
    </row>
    <row r="153" spans="20:22">
      <c r="T153">
        <v>0</v>
      </c>
      <c r="U153" t="s">
        <v>396</v>
      </c>
      <c r="V153">
        <v>0</v>
      </c>
    </row>
    <row r="154" spans="20:22">
      <c r="T154">
        <v>0</v>
      </c>
      <c r="U154" t="s">
        <v>398</v>
      </c>
      <c r="V154">
        <v>0</v>
      </c>
    </row>
    <row r="155" spans="20:22">
      <c r="T155">
        <v>0</v>
      </c>
      <c r="U155" t="s">
        <v>399</v>
      </c>
      <c r="V155">
        <v>0</v>
      </c>
    </row>
    <row r="156" spans="20:22">
      <c r="T156">
        <v>0</v>
      </c>
      <c r="U156" t="s">
        <v>400</v>
      </c>
      <c r="V156">
        <v>0</v>
      </c>
    </row>
    <row r="157" spans="20:22">
      <c r="T157">
        <v>0</v>
      </c>
      <c r="U157" t="s">
        <v>401</v>
      </c>
      <c r="V157">
        <v>0</v>
      </c>
    </row>
    <row r="158" spans="20:22">
      <c r="T158">
        <v>0</v>
      </c>
      <c r="U158" t="s">
        <v>402</v>
      </c>
      <c r="V158">
        <v>0</v>
      </c>
    </row>
    <row r="159" spans="20:22">
      <c r="T159">
        <v>0</v>
      </c>
      <c r="U159" t="s">
        <v>404</v>
      </c>
      <c r="V159">
        <v>0</v>
      </c>
    </row>
    <row r="160" spans="20:22">
      <c r="T160">
        <v>0</v>
      </c>
      <c r="U160" t="s">
        <v>405</v>
      </c>
      <c r="V160">
        <v>0</v>
      </c>
    </row>
    <row r="161" spans="20:22">
      <c r="T161">
        <v>0</v>
      </c>
      <c r="U161" t="s">
        <v>407</v>
      </c>
      <c r="V161">
        <v>0</v>
      </c>
    </row>
    <row r="162" spans="20:22">
      <c r="T162">
        <v>0</v>
      </c>
      <c r="U162" t="s">
        <v>408</v>
      </c>
      <c r="V162">
        <v>0</v>
      </c>
    </row>
    <row r="163" spans="20:22">
      <c r="T163">
        <v>0</v>
      </c>
      <c r="U163" t="s">
        <v>410</v>
      </c>
      <c r="V163">
        <v>0</v>
      </c>
    </row>
    <row r="164" spans="20:22">
      <c r="T164">
        <v>0</v>
      </c>
      <c r="U164" t="s">
        <v>411</v>
      </c>
      <c r="V164">
        <v>0</v>
      </c>
    </row>
    <row r="165" spans="20:22">
      <c r="T165">
        <v>0</v>
      </c>
      <c r="U165" t="s">
        <v>414</v>
      </c>
      <c r="V165">
        <v>0</v>
      </c>
    </row>
    <row r="166" spans="20:22">
      <c r="T166">
        <v>0</v>
      </c>
      <c r="U166" t="s">
        <v>416</v>
      </c>
      <c r="V166">
        <v>0</v>
      </c>
    </row>
    <row r="167" spans="20:22">
      <c r="T167">
        <v>0</v>
      </c>
      <c r="U167" t="s">
        <v>417</v>
      </c>
      <c r="V167">
        <v>0</v>
      </c>
    </row>
    <row r="168" spans="20:22">
      <c r="T168">
        <v>0</v>
      </c>
      <c r="U168" t="s">
        <v>418</v>
      </c>
      <c r="V168">
        <v>0</v>
      </c>
    </row>
    <row r="169" spans="20:22">
      <c r="T169">
        <v>0</v>
      </c>
      <c r="U169" t="s">
        <v>419</v>
      </c>
      <c r="V169">
        <v>0</v>
      </c>
    </row>
    <row r="170" spans="20:22">
      <c r="T170">
        <v>0</v>
      </c>
      <c r="U170" t="s">
        <v>421</v>
      </c>
      <c r="V170">
        <v>0</v>
      </c>
    </row>
    <row r="171" spans="20:22">
      <c r="T171">
        <v>0</v>
      </c>
      <c r="U171" t="s">
        <v>422</v>
      </c>
      <c r="V171">
        <v>0</v>
      </c>
    </row>
    <row r="172" spans="20:22">
      <c r="T172">
        <v>0</v>
      </c>
      <c r="U172" t="s">
        <v>425</v>
      </c>
      <c r="V172">
        <v>0</v>
      </c>
    </row>
    <row r="173" spans="20:22">
      <c r="T173">
        <v>0</v>
      </c>
      <c r="U173" t="s">
        <v>427</v>
      </c>
      <c r="V173">
        <v>0</v>
      </c>
    </row>
    <row r="174" spans="20:22">
      <c r="T174">
        <v>0</v>
      </c>
      <c r="U174" t="s">
        <v>429</v>
      </c>
      <c r="V174">
        <v>0</v>
      </c>
    </row>
    <row r="175" spans="20:22">
      <c r="T175">
        <v>0</v>
      </c>
      <c r="U175" t="s">
        <v>430</v>
      </c>
      <c r="V175">
        <v>0</v>
      </c>
    </row>
    <row r="176" spans="20:22">
      <c r="T176">
        <v>0</v>
      </c>
      <c r="U176" t="s">
        <v>431</v>
      </c>
      <c r="V176">
        <v>0</v>
      </c>
    </row>
    <row r="177" spans="20:22">
      <c r="T177">
        <v>0</v>
      </c>
      <c r="U177" t="s">
        <v>434</v>
      </c>
      <c r="V177">
        <v>0</v>
      </c>
    </row>
    <row r="178" spans="20:22">
      <c r="T178">
        <v>0</v>
      </c>
      <c r="U178" t="s">
        <v>436</v>
      </c>
      <c r="V178">
        <v>0</v>
      </c>
    </row>
    <row r="179" spans="20:22">
      <c r="T179">
        <v>36</v>
      </c>
      <c r="U179" t="s">
        <v>447</v>
      </c>
      <c r="V179">
        <v>0</v>
      </c>
    </row>
    <row r="180" spans="20:22">
      <c r="T180">
        <v>29</v>
      </c>
      <c r="U180" t="s">
        <v>452</v>
      </c>
      <c r="V180">
        <v>0</v>
      </c>
    </row>
    <row r="181" spans="20:22">
      <c r="T181">
        <v>25</v>
      </c>
      <c r="U181" t="s">
        <v>449</v>
      </c>
      <c r="V181">
        <v>0</v>
      </c>
    </row>
    <row r="182" spans="20:22">
      <c r="T182">
        <v>8</v>
      </c>
      <c r="U182" t="s">
        <v>459</v>
      </c>
      <c r="V182">
        <v>0</v>
      </c>
    </row>
    <row r="183" spans="20:22">
      <c r="T183">
        <v>8</v>
      </c>
      <c r="U183" t="s">
        <v>478</v>
      </c>
      <c r="V183">
        <v>0</v>
      </c>
    </row>
    <row r="184" spans="20:22">
      <c r="T184">
        <v>6</v>
      </c>
      <c r="U184" t="s">
        <v>455</v>
      </c>
      <c r="V184">
        <v>0</v>
      </c>
    </row>
    <row r="185" spans="20:22">
      <c r="T185">
        <v>5</v>
      </c>
      <c r="U185" t="s">
        <v>462</v>
      </c>
      <c r="V185">
        <v>0</v>
      </c>
    </row>
    <row r="186" spans="20:22">
      <c r="T186">
        <v>4</v>
      </c>
      <c r="U186" t="s">
        <v>439</v>
      </c>
      <c r="V186">
        <v>0</v>
      </c>
    </row>
    <row r="187" spans="20:22">
      <c r="T187">
        <v>3</v>
      </c>
      <c r="U187" t="s">
        <v>442</v>
      </c>
      <c r="V187">
        <v>0</v>
      </c>
    </row>
    <row r="188" spans="20:22">
      <c r="T188">
        <v>3</v>
      </c>
      <c r="U188" t="s">
        <v>444</v>
      </c>
      <c r="V188">
        <v>0</v>
      </c>
    </row>
    <row r="189" spans="20:22">
      <c r="T189">
        <v>3</v>
      </c>
      <c r="U189" t="s">
        <v>467</v>
      </c>
      <c r="V189">
        <v>0</v>
      </c>
    </row>
    <row r="190" spans="20:22">
      <c r="T190">
        <v>2</v>
      </c>
      <c r="U190" t="s">
        <v>445</v>
      </c>
      <c r="V190">
        <v>0</v>
      </c>
    </row>
    <row r="191" spans="20:22">
      <c r="T191">
        <v>2</v>
      </c>
      <c r="U191" t="s">
        <v>472</v>
      </c>
      <c r="V191">
        <v>0</v>
      </c>
    </row>
    <row r="192" spans="20:22">
      <c r="T192">
        <v>1</v>
      </c>
      <c r="U192" t="s">
        <v>456</v>
      </c>
      <c r="V192">
        <v>0</v>
      </c>
    </row>
    <row r="193" spans="20:22">
      <c r="T193">
        <v>1</v>
      </c>
      <c r="U193" t="s">
        <v>460</v>
      </c>
      <c r="V193">
        <v>0</v>
      </c>
    </row>
    <row r="194" spans="20:22">
      <c r="T194">
        <v>1</v>
      </c>
      <c r="U194" t="s">
        <v>465</v>
      </c>
      <c r="V194">
        <v>0</v>
      </c>
    </row>
    <row r="195" spans="20:22">
      <c r="T195">
        <v>1</v>
      </c>
      <c r="U195" t="s">
        <v>471</v>
      </c>
      <c r="V195">
        <v>0</v>
      </c>
    </row>
    <row r="196" spans="20:22">
      <c r="T196">
        <v>1</v>
      </c>
      <c r="U196" t="s">
        <v>476</v>
      </c>
      <c r="V196">
        <v>0</v>
      </c>
    </row>
    <row r="197" spans="20:22">
      <c r="T197">
        <v>1</v>
      </c>
      <c r="U197" t="s">
        <v>479</v>
      </c>
      <c r="V197">
        <v>0</v>
      </c>
    </row>
    <row r="198" spans="20:22">
      <c r="T198">
        <v>0</v>
      </c>
      <c r="U198" t="s">
        <v>440</v>
      </c>
      <c r="V198">
        <v>0</v>
      </c>
    </row>
    <row r="199" spans="20:22">
      <c r="T199">
        <v>0</v>
      </c>
      <c r="U199" t="s">
        <v>446</v>
      </c>
      <c r="V199">
        <v>0</v>
      </c>
    </row>
    <row r="200" spans="20:22">
      <c r="T200">
        <v>0</v>
      </c>
      <c r="U200" t="s">
        <v>450</v>
      </c>
      <c r="V200">
        <v>0</v>
      </c>
    </row>
    <row r="201" spans="20:22">
      <c r="T201">
        <v>0</v>
      </c>
      <c r="U201" t="s">
        <v>453</v>
      </c>
      <c r="V201">
        <v>0</v>
      </c>
    </row>
    <row r="202" spans="20:22">
      <c r="T202">
        <v>0</v>
      </c>
      <c r="U202" t="s">
        <v>454</v>
      </c>
      <c r="V202">
        <v>0</v>
      </c>
    </row>
    <row r="203" spans="20:22">
      <c r="T203">
        <v>0</v>
      </c>
      <c r="U203" t="s">
        <v>457</v>
      </c>
      <c r="V203">
        <v>0</v>
      </c>
    </row>
    <row r="204" spans="20:22">
      <c r="T204">
        <v>0</v>
      </c>
      <c r="U204" t="s">
        <v>463</v>
      </c>
      <c r="V204">
        <v>0</v>
      </c>
    </row>
    <row r="205" spans="20:22">
      <c r="T205">
        <v>0</v>
      </c>
      <c r="U205" t="s">
        <v>464</v>
      </c>
      <c r="V205">
        <v>0</v>
      </c>
    </row>
    <row r="206" spans="20:22">
      <c r="T206">
        <v>0</v>
      </c>
      <c r="U206" t="s">
        <v>469</v>
      </c>
      <c r="V206">
        <v>0</v>
      </c>
    </row>
    <row r="207" spans="20:22">
      <c r="T207">
        <v>0</v>
      </c>
      <c r="U207" t="s">
        <v>473</v>
      </c>
      <c r="V207">
        <v>0</v>
      </c>
    </row>
    <row r="208" spans="20:22">
      <c r="T208">
        <v>0</v>
      </c>
      <c r="U208" t="s">
        <v>474</v>
      </c>
      <c r="V208">
        <v>0</v>
      </c>
    </row>
    <row r="209" spans="20:22">
      <c r="T209">
        <v>0</v>
      </c>
      <c r="U209" t="s">
        <v>475</v>
      </c>
      <c r="V209">
        <v>0</v>
      </c>
    </row>
    <row r="210" spans="20:22">
      <c r="T210">
        <v>0</v>
      </c>
      <c r="U210" t="s">
        <v>481</v>
      </c>
      <c r="V210">
        <v>0</v>
      </c>
    </row>
    <row r="211" spans="20:22">
      <c r="T211">
        <v>15</v>
      </c>
      <c r="U211" t="s">
        <v>498</v>
      </c>
      <c r="V211">
        <v>0</v>
      </c>
    </row>
    <row r="212" spans="20:22">
      <c r="T212">
        <v>13</v>
      </c>
      <c r="U212" t="s">
        <v>486</v>
      </c>
      <c r="V212">
        <v>0</v>
      </c>
    </row>
    <row r="213" spans="20:22">
      <c r="T213">
        <v>13</v>
      </c>
      <c r="U213" t="s">
        <v>494</v>
      </c>
      <c r="V213">
        <v>0</v>
      </c>
    </row>
    <row r="214" spans="20:22">
      <c r="T214">
        <v>6</v>
      </c>
      <c r="U214" t="s">
        <v>491</v>
      </c>
      <c r="V214">
        <v>0</v>
      </c>
    </row>
    <row r="215" spans="20:22">
      <c r="T215">
        <v>6</v>
      </c>
      <c r="U215" t="s">
        <v>496</v>
      </c>
      <c r="V215">
        <v>0</v>
      </c>
    </row>
    <row r="216" spans="20:22">
      <c r="T216">
        <v>5</v>
      </c>
      <c r="U216" t="s">
        <v>484</v>
      </c>
      <c r="V216">
        <v>0</v>
      </c>
    </row>
    <row r="217" spans="20:22">
      <c r="T217">
        <v>5</v>
      </c>
      <c r="U217" t="s">
        <v>488</v>
      </c>
      <c r="V217">
        <v>0</v>
      </c>
    </row>
    <row r="218" spans="20:22">
      <c r="T218">
        <v>2</v>
      </c>
      <c r="U218" t="s">
        <v>489</v>
      </c>
      <c r="V218">
        <v>0</v>
      </c>
    </row>
    <row r="219" spans="20:22">
      <c r="T219">
        <v>2</v>
      </c>
      <c r="U219" t="s">
        <v>495</v>
      </c>
      <c r="V219">
        <v>0</v>
      </c>
    </row>
    <row r="220" spans="20:22">
      <c r="T220">
        <v>1</v>
      </c>
      <c r="U220" t="s">
        <v>487</v>
      </c>
      <c r="V220">
        <v>0</v>
      </c>
    </row>
    <row r="221" spans="20:22">
      <c r="T221">
        <v>1</v>
      </c>
      <c r="U221" t="s">
        <v>499</v>
      </c>
      <c r="V221">
        <v>0</v>
      </c>
    </row>
    <row r="222" spans="20:22">
      <c r="T222">
        <v>0</v>
      </c>
      <c r="U222" t="s">
        <v>492</v>
      </c>
      <c r="V222">
        <v>0</v>
      </c>
    </row>
    <row r="223" spans="20:22">
      <c r="T223">
        <v>0</v>
      </c>
      <c r="U223" t="s">
        <v>493</v>
      </c>
      <c r="V223">
        <v>0</v>
      </c>
    </row>
    <row r="224" spans="20:22">
      <c r="T224">
        <v>0</v>
      </c>
      <c r="U224" t="s">
        <v>497</v>
      </c>
      <c r="V224">
        <v>0</v>
      </c>
    </row>
    <row r="225" spans="21:21">
      <c r="U225" t="s">
        <v>63</v>
      </c>
    </row>
    <row r="226" spans="21:21">
      <c r="U226" t="s">
        <v>64</v>
      </c>
    </row>
  </sheetData>
  <sortState xmlns:xlrd2="http://schemas.microsoft.com/office/spreadsheetml/2017/richdata2" ref="B4:Z74">
    <sortCondition descending="1" ref="F4:F74"/>
    <sortCondition descending="1" ref="D4:D74"/>
    <sortCondition descending="1" ref="I4:I74"/>
    <sortCondition descending="1" ref="J4:J74"/>
    <sortCondition descending="1" ref="K4:K74"/>
    <sortCondition descending="1" ref="L4:L74"/>
    <sortCondition descending="1" ref="M4:M74"/>
    <sortCondition descending="1" ref="N4:N74"/>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49569-9089-4D50-8BC9-C532AD4FEE57}">
  <dimension ref="A1:C141"/>
  <sheetViews>
    <sheetView workbookViewId="0"/>
  </sheetViews>
  <sheetFormatPr defaultRowHeight="12.75"/>
  <sheetData>
    <row r="1" spans="1:3">
      <c r="A1" t="s">
        <v>503</v>
      </c>
      <c r="B1">
        <v>0</v>
      </c>
      <c r="C1" s="73" t="s">
        <v>504</v>
      </c>
    </row>
    <row r="2" spans="1:3">
      <c r="A2" t="str">
        <f>IF(B2="","",IF(AND(ScoPo!S4&gt;0,ScoPo!S4&lt;='Results Export'!$B$1),LEFT(VLOOKUP(ScoPo!S4,ScoPo!$G$150:$J$277,4,0),FIND(",",VLOOKUP(ScoPo!S4,ScoPo!$G$150:$J$277,4,0))-1),""))</f>
        <v/>
      </c>
      <c r="B2" t="str">
        <f>IF(AND(ScoPo!T4&gt;0,ScoPo!T4&lt;='Results Export'!$B$1),LEFT(VLOOKUP(ScoPo!T4,ScoPo!$G$150:$J$277,4,0),FIND(",",VLOOKUP(ScoPo!T4,ScoPo!$G$150:$J$277,4,0))-1),"")</f>
        <v/>
      </c>
      <c r="C2">
        <f>IF(ScoPo!K4&gt;0,IF(ScoPo!K4=1,ScoPo!N4,-ScoPo!O4),0)</f>
        <v>0</v>
      </c>
    </row>
    <row r="3" spans="1:3">
      <c r="A3" t="str">
        <f>IF(B3="","",IF(AND(ScoPo!S5&gt;0,ScoPo!S5&lt;='Results Export'!$B$1),LEFT(VLOOKUP(ScoPo!S5,ScoPo!$G$150:$J$277,4,0),FIND(",",VLOOKUP(ScoPo!S5,ScoPo!$G$150:$J$277,4,0))-1),""))</f>
        <v/>
      </c>
      <c r="B3" t="str">
        <f>IF(AND(ScoPo!T5&gt;0,ScoPo!T5&lt;='Results Export'!$B$1),LEFT(VLOOKUP(ScoPo!T5,ScoPo!$G$150:$J$277,4,0),FIND(",",VLOOKUP(ScoPo!T5,ScoPo!$G$150:$J$277,4,0))-1),"")</f>
        <v/>
      </c>
      <c r="C3">
        <f>IF(ScoPo!K5&gt;0,IF(ScoPo!K5=1,ScoPo!N5,-ScoPo!O5),0)</f>
        <v>0</v>
      </c>
    </row>
    <row r="4" spans="1:3">
      <c r="A4" t="str">
        <f>IF(B4="","",IF(AND(ScoPo!S6&gt;0,ScoPo!S6&lt;='Results Export'!$B$1),LEFT(VLOOKUP(ScoPo!S6,ScoPo!$G$150:$J$277,4,0),FIND(",",VLOOKUP(ScoPo!S6,ScoPo!$G$150:$J$277,4,0))-1),""))</f>
        <v/>
      </c>
      <c r="B4" t="str">
        <f>IF(AND(ScoPo!T6&gt;0,ScoPo!T6&lt;='Results Export'!$B$1),LEFT(VLOOKUP(ScoPo!T6,ScoPo!$G$150:$J$277,4,0),FIND(",",VLOOKUP(ScoPo!T6,ScoPo!$G$150:$J$277,4,0))-1),"")</f>
        <v/>
      </c>
      <c r="C4">
        <f>IF(ScoPo!K6&gt;0,IF(ScoPo!K6=1,ScoPo!N6,-ScoPo!O6),0)</f>
        <v>0</v>
      </c>
    </row>
    <row r="5" spans="1:3">
      <c r="A5" t="str">
        <f>IF(B5="","",IF(AND(ScoPo!S7&gt;0,ScoPo!S7&lt;='Results Export'!$B$1),LEFT(VLOOKUP(ScoPo!S7,ScoPo!$G$150:$J$277,4,0),FIND(",",VLOOKUP(ScoPo!S7,ScoPo!$G$150:$J$277,4,0))-1),""))</f>
        <v/>
      </c>
      <c r="B5" t="str">
        <f>IF(AND(ScoPo!T7&gt;0,ScoPo!T7&lt;='Results Export'!$B$1),LEFT(VLOOKUP(ScoPo!T7,ScoPo!$G$150:$J$277,4,0),FIND(",",VLOOKUP(ScoPo!T7,ScoPo!$G$150:$J$277,4,0))-1),"")</f>
        <v/>
      </c>
      <c r="C5">
        <f>IF(ScoPo!K7&gt;0,IF(ScoPo!K7=1,ScoPo!N7,-ScoPo!O7),0)</f>
        <v>0</v>
      </c>
    </row>
    <row r="6" spans="1:3">
      <c r="A6" t="str">
        <f>IF(B6="","",IF(AND(ScoPo!S8&gt;0,ScoPo!S8&lt;='Results Export'!$B$1),LEFT(VLOOKUP(ScoPo!S8,ScoPo!$G$150:$J$277,4,0),FIND(",",VLOOKUP(ScoPo!S8,ScoPo!$G$150:$J$277,4,0))-1),""))</f>
        <v/>
      </c>
      <c r="B6" t="str">
        <f>IF(AND(ScoPo!T8&gt;0,ScoPo!T8&lt;='Results Export'!$B$1),LEFT(VLOOKUP(ScoPo!T8,ScoPo!$G$150:$J$277,4,0),FIND(",",VLOOKUP(ScoPo!T8,ScoPo!$G$150:$J$277,4,0))-1),"")</f>
        <v/>
      </c>
      <c r="C6">
        <f>IF(ScoPo!K8&gt;0,IF(ScoPo!K8=1,ScoPo!N8,-ScoPo!O8),0)</f>
        <v>0</v>
      </c>
    </row>
    <row r="7" spans="1:3">
      <c r="A7" t="str">
        <f>IF(B7="","",IF(AND(ScoPo!S9&gt;0,ScoPo!S9&lt;='Results Export'!$B$1),LEFT(VLOOKUP(ScoPo!S9,ScoPo!$G$150:$J$277,4,0),FIND(",",VLOOKUP(ScoPo!S9,ScoPo!$G$150:$J$277,4,0))-1),""))</f>
        <v/>
      </c>
      <c r="B7" t="str">
        <f>IF(AND(ScoPo!T9&gt;0,ScoPo!T9&lt;='Results Export'!$B$1),LEFT(VLOOKUP(ScoPo!T9,ScoPo!$G$150:$J$277,4,0),FIND(",",VLOOKUP(ScoPo!T9,ScoPo!$G$150:$J$277,4,0))-1),"")</f>
        <v/>
      </c>
      <c r="C7">
        <f>IF(ScoPo!K9&gt;0,IF(ScoPo!K9=1,ScoPo!N9,-ScoPo!O9),0)</f>
        <v>0</v>
      </c>
    </row>
    <row r="8" spans="1:3">
      <c r="A8" t="str">
        <f>IF(B8="","",IF(AND(ScoPo!S10&gt;0,ScoPo!S10&lt;='Results Export'!$B$1),LEFT(VLOOKUP(ScoPo!S10,ScoPo!$G$150:$J$277,4,0),FIND(",",VLOOKUP(ScoPo!S10,ScoPo!$G$150:$J$277,4,0))-1),""))</f>
        <v/>
      </c>
      <c r="B8" t="str">
        <f>IF(AND(ScoPo!T10&gt;0,ScoPo!T10&lt;='Results Export'!$B$1),LEFT(VLOOKUP(ScoPo!T10,ScoPo!$G$150:$J$277,4,0),FIND(",",VLOOKUP(ScoPo!T10,ScoPo!$G$150:$J$277,4,0))-1),"")</f>
        <v/>
      </c>
      <c r="C8">
        <f>IF(ScoPo!K10&gt;0,IF(ScoPo!K10=1,ScoPo!N10,-ScoPo!O10),0)</f>
        <v>0</v>
      </c>
    </row>
    <row r="9" spans="1:3">
      <c r="A9" t="str">
        <f>IF(B9="","",IF(AND(ScoPo!S11&gt;0,ScoPo!S11&lt;='Results Export'!$B$1),LEFT(VLOOKUP(ScoPo!S11,ScoPo!$G$150:$J$277,4,0),FIND(",",VLOOKUP(ScoPo!S11,ScoPo!$G$150:$J$277,4,0))-1),""))</f>
        <v/>
      </c>
      <c r="B9" t="str">
        <f>IF(AND(ScoPo!T11&gt;0,ScoPo!T11&lt;='Results Export'!$B$1),LEFT(VLOOKUP(ScoPo!T11,ScoPo!$G$150:$J$277,4,0),FIND(",",VLOOKUP(ScoPo!T11,ScoPo!$G$150:$J$277,4,0))-1),"")</f>
        <v/>
      </c>
      <c r="C9">
        <f>IF(ScoPo!K11&gt;0,IF(ScoPo!K11=1,ScoPo!N11,-ScoPo!O11),0)</f>
        <v>0</v>
      </c>
    </row>
    <row r="10" spans="1:3">
      <c r="A10" t="str">
        <f>IF(B10="","",IF(AND(ScoPo!S12&gt;0,ScoPo!S12&lt;='Results Export'!$B$1),LEFT(VLOOKUP(ScoPo!S12,ScoPo!$G$150:$J$277,4,0),FIND(",",VLOOKUP(ScoPo!S12,ScoPo!$G$150:$J$277,4,0))-1),""))</f>
        <v/>
      </c>
      <c r="B10" t="str">
        <f>IF(AND(ScoPo!T12&gt;0,ScoPo!T12&lt;='Results Export'!$B$1),LEFT(VLOOKUP(ScoPo!T12,ScoPo!$G$150:$J$277,4,0),FIND(",",VLOOKUP(ScoPo!T12,ScoPo!$G$150:$J$277,4,0))-1),"")</f>
        <v/>
      </c>
      <c r="C10">
        <f>IF(ScoPo!K12&gt;0,IF(ScoPo!K12=1,ScoPo!N12,-ScoPo!O12),0)</f>
        <v>0</v>
      </c>
    </row>
    <row r="11" spans="1:3">
      <c r="A11" t="str">
        <f>IF(B11="","",IF(AND(ScoPo!S13&gt;0,ScoPo!S13&lt;='Results Export'!$B$1),LEFT(VLOOKUP(ScoPo!S13,ScoPo!$G$150:$J$277,4,0),FIND(",",VLOOKUP(ScoPo!S13,ScoPo!$G$150:$J$277,4,0))-1),""))</f>
        <v/>
      </c>
      <c r="B11" t="str">
        <f>IF(AND(ScoPo!T13&gt;0,ScoPo!T13&lt;='Results Export'!$B$1),LEFT(VLOOKUP(ScoPo!T13,ScoPo!$G$150:$J$277,4,0),FIND(",",VLOOKUP(ScoPo!T13,ScoPo!$G$150:$J$277,4,0))-1),"")</f>
        <v/>
      </c>
      <c r="C11">
        <f>IF(ScoPo!K13&gt;0,IF(ScoPo!K13=1,ScoPo!N13,-ScoPo!O13),0)</f>
        <v>0</v>
      </c>
    </row>
    <row r="12" spans="1:3">
      <c r="A12" t="str">
        <f>IF(B12="","",IF(AND(ScoPo!S14&gt;0,ScoPo!S14&lt;='Results Export'!$B$1),LEFT(VLOOKUP(ScoPo!S14,ScoPo!$G$150:$J$277,4,0),FIND(",",VLOOKUP(ScoPo!S14,ScoPo!$G$150:$J$277,4,0))-1),""))</f>
        <v/>
      </c>
      <c r="B12" t="str">
        <f>IF(AND(ScoPo!T14&gt;0,ScoPo!T14&lt;='Results Export'!$B$1),LEFT(VLOOKUP(ScoPo!T14,ScoPo!$G$150:$J$277,4,0),FIND(",",VLOOKUP(ScoPo!T14,ScoPo!$G$150:$J$277,4,0))-1),"")</f>
        <v/>
      </c>
      <c r="C12">
        <f>IF(ScoPo!K14&gt;0,IF(ScoPo!K14=1,ScoPo!N14,-ScoPo!O14),0)</f>
        <v>0</v>
      </c>
    </row>
    <row r="13" spans="1:3">
      <c r="A13" t="str">
        <f>IF(B13="","",IF(AND(ScoPo!S15&gt;0,ScoPo!S15&lt;='Results Export'!$B$1),LEFT(VLOOKUP(ScoPo!S15,ScoPo!$G$150:$J$277,4,0),FIND(",",VLOOKUP(ScoPo!S15,ScoPo!$G$150:$J$277,4,0))-1),""))</f>
        <v/>
      </c>
      <c r="B13" t="str">
        <f>IF(AND(ScoPo!T15&gt;0,ScoPo!T15&lt;='Results Export'!$B$1),LEFT(VLOOKUP(ScoPo!T15,ScoPo!$G$150:$J$277,4,0),FIND(",",VLOOKUP(ScoPo!T15,ScoPo!$G$150:$J$277,4,0))-1),"")</f>
        <v/>
      </c>
      <c r="C13">
        <f>IF(ScoPo!K15&gt;0,IF(ScoPo!K15=1,ScoPo!N15,-ScoPo!O15),0)</f>
        <v>0</v>
      </c>
    </row>
    <row r="14" spans="1:3">
      <c r="A14" t="str">
        <f>IF(B14="","",IF(AND(ScoPo!S16&gt;0,ScoPo!S16&lt;='Results Export'!$B$1),LEFT(VLOOKUP(ScoPo!S16,ScoPo!$G$150:$J$277,4,0),FIND(",",VLOOKUP(ScoPo!S16,ScoPo!$G$150:$J$277,4,0))-1),""))</f>
        <v/>
      </c>
      <c r="B14" t="str">
        <f>IF(AND(ScoPo!T16&gt;0,ScoPo!T16&lt;='Results Export'!$B$1),LEFT(VLOOKUP(ScoPo!T16,ScoPo!$G$150:$J$277,4,0),FIND(",",VLOOKUP(ScoPo!T16,ScoPo!$G$150:$J$277,4,0))-1),"")</f>
        <v/>
      </c>
      <c r="C14">
        <f>IF(ScoPo!K16&gt;0,IF(ScoPo!K16=1,ScoPo!N16,-ScoPo!O16),0)</f>
        <v>0</v>
      </c>
    </row>
    <row r="15" spans="1:3">
      <c r="A15" t="str">
        <f>IF(B15="","",IF(AND(ScoPo!S17&gt;0,ScoPo!S17&lt;='Results Export'!$B$1),LEFT(VLOOKUP(ScoPo!S17,ScoPo!$G$150:$J$277,4,0),FIND(",",VLOOKUP(ScoPo!S17,ScoPo!$G$150:$J$277,4,0))-1),""))</f>
        <v/>
      </c>
      <c r="B15" t="str">
        <f>IF(AND(ScoPo!T17&gt;0,ScoPo!T17&lt;='Results Export'!$B$1),LEFT(VLOOKUP(ScoPo!T17,ScoPo!$G$150:$J$277,4,0),FIND(",",VLOOKUP(ScoPo!T17,ScoPo!$G$150:$J$277,4,0))-1),"")</f>
        <v/>
      </c>
      <c r="C15">
        <f>IF(ScoPo!K17&gt;0,IF(ScoPo!K17=1,ScoPo!N17,-ScoPo!O17),0)</f>
        <v>0</v>
      </c>
    </row>
    <row r="16" spans="1:3">
      <c r="A16" t="str">
        <f>IF(B16="","",IF(AND(ScoPo!S18&gt;0,ScoPo!S18&lt;='Results Export'!$B$1),LEFT(VLOOKUP(ScoPo!S18,ScoPo!$G$150:$J$277,4,0),FIND(",",VLOOKUP(ScoPo!S18,ScoPo!$G$150:$J$277,4,0))-1),""))</f>
        <v/>
      </c>
      <c r="B16" t="str">
        <f>IF(AND(ScoPo!T18&gt;0,ScoPo!T18&lt;='Results Export'!$B$1),LEFT(VLOOKUP(ScoPo!T18,ScoPo!$G$150:$J$277,4,0),FIND(",",VLOOKUP(ScoPo!T18,ScoPo!$G$150:$J$277,4,0))-1),"")</f>
        <v/>
      </c>
      <c r="C16">
        <f>IF(ScoPo!K18&gt;0,IF(ScoPo!K18=1,ScoPo!N18,-ScoPo!O18),0)</f>
        <v>0</v>
      </c>
    </row>
    <row r="17" spans="1:3">
      <c r="A17" t="str">
        <f>IF(B17="","",IF(AND(ScoPo!S19&gt;0,ScoPo!S19&lt;='Results Export'!$B$1),LEFT(VLOOKUP(ScoPo!S19,ScoPo!$G$150:$J$277,4,0),FIND(",",VLOOKUP(ScoPo!S19,ScoPo!$G$150:$J$277,4,0))-1),""))</f>
        <v/>
      </c>
      <c r="B17" t="str">
        <f>IF(AND(ScoPo!T19&gt;0,ScoPo!T19&lt;='Results Export'!$B$1),LEFT(VLOOKUP(ScoPo!T19,ScoPo!$G$150:$J$277,4,0),FIND(",",VLOOKUP(ScoPo!T19,ScoPo!$G$150:$J$277,4,0))-1),"")</f>
        <v/>
      </c>
      <c r="C17">
        <f>IF(ScoPo!K19&gt;0,IF(ScoPo!K19=1,ScoPo!N19,-ScoPo!O19),0)</f>
        <v>0</v>
      </c>
    </row>
    <row r="18" spans="1:3">
      <c r="A18" t="str">
        <f>IF(B18="","",IF(AND(ScoPo!S20&gt;0,ScoPo!S20&lt;='Results Export'!$B$1),LEFT(VLOOKUP(ScoPo!S20,ScoPo!$G$150:$J$277,4,0),FIND(",",VLOOKUP(ScoPo!S20,ScoPo!$G$150:$J$277,4,0))-1),""))</f>
        <v/>
      </c>
      <c r="B18" t="str">
        <f>IF(AND(ScoPo!T20&gt;0,ScoPo!T20&lt;='Results Export'!$B$1),LEFT(VLOOKUP(ScoPo!T20,ScoPo!$G$150:$J$277,4,0),FIND(",",VLOOKUP(ScoPo!T20,ScoPo!$G$150:$J$277,4,0))-1),"")</f>
        <v/>
      </c>
      <c r="C18">
        <f>IF(ScoPo!K20&gt;0,IF(ScoPo!K20=1,ScoPo!N20,-ScoPo!O20),0)</f>
        <v>0</v>
      </c>
    </row>
    <row r="19" spans="1:3">
      <c r="A19" t="str">
        <f>IF(B19="","",IF(AND(ScoPo!S21&gt;0,ScoPo!S21&lt;='Results Export'!$B$1),LEFT(VLOOKUP(ScoPo!S21,ScoPo!$G$150:$J$277,4,0),FIND(",",VLOOKUP(ScoPo!S21,ScoPo!$G$150:$J$277,4,0))-1),""))</f>
        <v/>
      </c>
      <c r="B19" t="str">
        <f>IF(AND(ScoPo!T21&gt;0,ScoPo!T21&lt;='Results Export'!$B$1),LEFT(VLOOKUP(ScoPo!T21,ScoPo!$G$150:$J$277,4,0),FIND(",",VLOOKUP(ScoPo!T21,ScoPo!$G$150:$J$277,4,0))-1),"")</f>
        <v/>
      </c>
      <c r="C19">
        <f>IF(ScoPo!K21&gt;0,IF(ScoPo!K21=1,ScoPo!N21,-ScoPo!O21),0)</f>
        <v>0</v>
      </c>
    </row>
    <row r="20" spans="1:3">
      <c r="A20" t="str">
        <f>IF(B20="","",IF(AND(ScoPo!S22&gt;0,ScoPo!S22&lt;='Results Export'!$B$1),LEFT(VLOOKUP(ScoPo!S22,ScoPo!$G$150:$J$277,4,0),FIND(",",VLOOKUP(ScoPo!S22,ScoPo!$G$150:$J$277,4,0))-1),""))</f>
        <v/>
      </c>
      <c r="B20" t="str">
        <f>IF(AND(ScoPo!T22&gt;0,ScoPo!T22&lt;='Results Export'!$B$1),LEFT(VLOOKUP(ScoPo!T22,ScoPo!$G$150:$J$277,4,0),FIND(",",VLOOKUP(ScoPo!T22,ScoPo!$G$150:$J$277,4,0))-1),"")</f>
        <v/>
      </c>
      <c r="C20">
        <f>IF(ScoPo!K22&gt;0,IF(ScoPo!K22=1,ScoPo!N22,-ScoPo!O22),0)</f>
        <v>0</v>
      </c>
    </row>
    <row r="21" spans="1:3">
      <c r="A21" t="str">
        <f>IF(B21="","",IF(AND(ScoPo!S23&gt;0,ScoPo!S23&lt;='Results Export'!$B$1),LEFT(VLOOKUP(ScoPo!S23,ScoPo!$G$150:$J$277,4,0),FIND(",",VLOOKUP(ScoPo!S23,ScoPo!$G$150:$J$277,4,0))-1),""))</f>
        <v/>
      </c>
      <c r="B21" t="str">
        <f>IF(AND(ScoPo!T23&gt;0,ScoPo!T23&lt;='Results Export'!$B$1),LEFT(VLOOKUP(ScoPo!T23,ScoPo!$G$150:$J$277,4,0),FIND(",",VLOOKUP(ScoPo!T23,ScoPo!$G$150:$J$277,4,0))-1),"")</f>
        <v/>
      </c>
      <c r="C21">
        <f>IF(ScoPo!K23&gt;0,IF(ScoPo!K23=1,ScoPo!N23,-ScoPo!O23),0)</f>
        <v>0</v>
      </c>
    </row>
    <row r="22" spans="1:3">
      <c r="A22" t="str">
        <f>IF(B22="","",IF(AND(ScoPo!S24&gt;0,ScoPo!S24&lt;='Results Export'!$B$1),LEFT(VLOOKUP(ScoPo!S24,ScoPo!$G$150:$J$277,4,0),FIND(",",VLOOKUP(ScoPo!S24,ScoPo!$G$150:$J$277,4,0))-1),""))</f>
        <v/>
      </c>
      <c r="B22" t="str">
        <f>IF(AND(ScoPo!T24&gt;0,ScoPo!T24&lt;='Results Export'!$B$1),LEFT(VLOOKUP(ScoPo!T24,ScoPo!$G$150:$J$277,4,0),FIND(",",VLOOKUP(ScoPo!T24,ScoPo!$G$150:$J$277,4,0))-1),"")</f>
        <v/>
      </c>
      <c r="C22">
        <f>IF(ScoPo!K24&gt;0,IF(ScoPo!K24=1,ScoPo!N24,-ScoPo!O24),0)</f>
        <v>0</v>
      </c>
    </row>
    <row r="23" spans="1:3">
      <c r="A23" t="str">
        <f>IF(B23="","",IF(AND(ScoPo!S25&gt;0,ScoPo!S25&lt;='Results Export'!$B$1),LEFT(VLOOKUP(ScoPo!S25,ScoPo!$G$150:$J$277,4,0),FIND(",",VLOOKUP(ScoPo!S25,ScoPo!$G$150:$J$277,4,0))-1),""))</f>
        <v/>
      </c>
      <c r="B23" t="str">
        <f>IF(AND(ScoPo!T25&gt;0,ScoPo!T25&lt;='Results Export'!$B$1),LEFT(VLOOKUP(ScoPo!T25,ScoPo!$G$150:$J$277,4,0),FIND(",",VLOOKUP(ScoPo!T25,ScoPo!$G$150:$J$277,4,0))-1),"")</f>
        <v/>
      </c>
      <c r="C23">
        <f>IF(ScoPo!K25&gt;0,IF(ScoPo!K25=1,ScoPo!N25,-ScoPo!O25),0)</f>
        <v>0</v>
      </c>
    </row>
    <row r="24" spans="1:3">
      <c r="A24" t="str">
        <f>IF(B24="","",IF(AND(ScoPo!S26&gt;0,ScoPo!S26&lt;='Results Export'!$B$1),LEFT(VLOOKUP(ScoPo!S26,ScoPo!$G$150:$J$277,4,0),FIND(",",VLOOKUP(ScoPo!S26,ScoPo!$G$150:$J$277,4,0))-1),""))</f>
        <v/>
      </c>
      <c r="B24" t="str">
        <f>IF(AND(ScoPo!T26&gt;0,ScoPo!T26&lt;='Results Export'!$B$1),LEFT(VLOOKUP(ScoPo!T26,ScoPo!$G$150:$J$277,4,0),FIND(",",VLOOKUP(ScoPo!T26,ScoPo!$G$150:$J$277,4,0))-1),"")</f>
        <v/>
      </c>
      <c r="C24">
        <f>IF(ScoPo!K26&gt;0,IF(ScoPo!K26=1,ScoPo!N26,-ScoPo!O26),0)</f>
        <v>0</v>
      </c>
    </row>
    <row r="25" spans="1:3">
      <c r="A25" t="str">
        <f>IF(B25="","",IF(AND(ScoPo!S27&gt;0,ScoPo!S27&lt;='Results Export'!$B$1),LEFT(VLOOKUP(ScoPo!S27,ScoPo!$G$150:$J$277,4,0),FIND(",",VLOOKUP(ScoPo!S27,ScoPo!$G$150:$J$277,4,0))-1),""))</f>
        <v/>
      </c>
      <c r="B25" t="str">
        <f>IF(AND(ScoPo!T27&gt;0,ScoPo!T27&lt;='Results Export'!$B$1),LEFT(VLOOKUP(ScoPo!T27,ScoPo!$G$150:$J$277,4,0),FIND(",",VLOOKUP(ScoPo!T27,ScoPo!$G$150:$J$277,4,0))-1),"")</f>
        <v/>
      </c>
      <c r="C25">
        <f>IF(ScoPo!K27&gt;0,IF(ScoPo!K27=1,ScoPo!N27,-ScoPo!O27),0)</f>
        <v>0</v>
      </c>
    </row>
    <row r="26" spans="1:3">
      <c r="A26" t="str">
        <f>IF(B26="","",IF(AND(ScoPo!S28&gt;0,ScoPo!S28&lt;='Results Export'!$B$1),LEFT(VLOOKUP(ScoPo!S28,ScoPo!$G$150:$J$277,4,0),FIND(",",VLOOKUP(ScoPo!S28,ScoPo!$G$150:$J$277,4,0))-1),""))</f>
        <v/>
      </c>
      <c r="B26" t="str">
        <f>IF(AND(ScoPo!T28&gt;0,ScoPo!T28&lt;='Results Export'!$B$1),LEFT(VLOOKUP(ScoPo!T28,ScoPo!$G$150:$J$277,4,0),FIND(",",VLOOKUP(ScoPo!T28,ScoPo!$G$150:$J$277,4,0))-1),"")</f>
        <v/>
      </c>
      <c r="C26">
        <f>IF(ScoPo!K28&gt;0,IF(ScoPo!K28=1,ScoPo!N28,-ScoPo!O28),0)</f>
        <v>0</v>
      </c>
    </row>
    <row r="27" spans="1:3">
      <c r="A27" t="str">
        <f>IF(B27="","",IF(AND(ScoPo!S29&gt;0,ScoPo!S29&lt;='Results Export'!$B$1),LEFT(VLOOKUP(ScoPo!S29,ScoPo!$G$150:$J$277,4,0),FIND(",",VLOOKUP(ScoPo!S29,ScoPo!$G$150:$J$277,4,0))-1),""))</f>
        <v/>
      </c>
      <c r="B27" t="str">
        <f>IF(AND(ScoPo!T29&gt;0,ScoPo!T29&lt;='Results Export'!$B$1),LEFT(VLOOKUP(ScoPo!T29,ScoPo!$G$150:$J$277,4,0),FIND(",",VLOOKUP(ScoPo!T29,ScoPo!$G$150:$J$277,4,0))-1),"")</f>
        <v/>
      </c>
      <c r="C27">
        <f>IF(ScoPo!K29&gt;0,IF(ScoPo!K29=1,ScoPo!N29,-ScoPo!O29),0)</f>
        <v>0</v>
      </c>
    </row>
    <row r="28" spans="1:3">
      <c r="A28" t="str">
        <f>IF(B28="","",IF(AND(ScoPo!S30&gt;0,ScoPo!S30&lt;='Results Export'!$B$1),LEFT(VLOOKUP(ScoPo!S30,ScoPo!$G$150:$J$277,4,0),FIND(",",VLOOKUP(ScoPo!S30,ScoPo!$G$150:$J$277,4,0))-1),""))</f>
        <v/>
      </c>
      <c r="B28" t="str">
        <f>IF(AND(ScoPo!T30&gt;0,ScoPo!T30&lt;='Results Export'!$B$1),LEFT(VLOOKUP(ScoPo!T30,ScoPo!$G$150:$J$277,4,0),FIND(",",VLOOKUP(ScoPo!T30,ScoPo!$G$150:$J$277,4,0))-1),"")</f>
        <v/>
      </c>
      <c r="C28">
        <f>IF(ScoPo!K30&gt;0,IF(ScoPo!K30=1,ScoPo!N30,-ScoPo!O30),0)</f>
        <v>0</v>
      </c>
    </row>
    <row r="29" spans="1:3">
      <c r="A29" t="str">
        <f>IF(B29="","",IF(AND(ScoPo!S31&gt;0,ScoPo!S31&lt;='Results Export'!$B$1),LEFT(VLOOKUP(ScoPo!S31,ScoPo!$G$150:$J$277,4,0),FIND(",",VLOOKUP(ScoPo!S31,ScoPo!$G$150:$J$277,4,0))-1),""))</f>
        <v/>
      </c>
      <c r="B29" t="str">
        <f>IF(AND(ScoPo!T31&gt;0,ScoPo!T31&lt;='Results Export'!$B$1),LEFT(VLOOKUP(ScoPo!T31,ScoPo!$G$150:$J$277,4,0),FIND(",",VLOOKUP(ScoPo!T31,ScoPo!$G$150:$J$277,4,0))-1),"")</f>
        <v/>
      </c>
      <c r="C29">
        <f>IF(ScoPo!K31&gt;0,IF(ScoPo!K31=1,ScoPo!N31,-ScoPo!O31),0)</f>
        <v>0</v>
      </c>
    </row>
    <row r="30" spans="1:3">
      <c r="A30" t="str">
        <f>IF(B30="","",IF(AND(ScoPo!S32&gt;0,ScoPo!S32&lt;='Results Export'!$B$1),LEFT(VLOOKUP(ScoPo!S32,ScoPo!$G$150:$J$277,4,0),FIND(",",VLOOKUP(ScoPo!S32,ScoPo!$G$150:$J$277,4,0))-1),""))</f>
        <v/>
      </c>
      <c r="B30" t="str">
        <f>IF(AND(ScoPo!T32&gt;0,ScoPo!T32&lt;='Results Export'!$B$1),LEFT(VLOOKUP(ScoPo!T32,ScoPo!$G$150:$J$277,4,0),FIND(",",VLOOKUP(ScoPo!T32,ScoPo!$G$150:$J$277,4,0))-1),"")</f>
        <v/>
      </c>
      <c r="C30">
        <f>IF(ScoPo!K32&gt;0,IF(ScoPo!K32=1,ScoPo!N32,-ScoPo!O32),0)</f>
        <v>0</v>
      </c>
    </row>
    <row r="31" spans="1:3">
      <c r="A31" t="str">
        <f>IF(B31="","",IF(AND(ScoPo!S33&gt;0,ScoPo!S33&lt;='Results Export'!$B$1),LEFT(VLOOKUP(ScoPo!S33,ScoPo!$G$150:$J$277,4,0),FIND(",",VLOOKUP(ScoPo!S33,ScoPo!$G$150:$J$277,4,0))-1),""))</f>
        <v/>
      </c>
      <c r="B31" t="str">
        <f>IF(AND(ScoPo!T33&gt;0,ScoPo!T33&lt;='Results Export'!$B$1),LEFT(VLOOKUP(ScoPo!T33,ScoPo!$G$150:$J$277,4,0),FIND(",",VLOOKUP(ScoPo!T33,ScoPo!$G$150:$J$277,4,0))-1),"")</f>
        <v/>
      </c>
      <c r="C31">
        <f>IF(ScoPo!K33&gt;0,IF(ScoPo!K33=1,ScoPo!N33,-ScoPo!O33),0)</f>
        <v>0</v>
      </c>
    </row>
    <row r="32" spans="1:3">
      <c r="A32" t="str">
        <f>IF(B32="","",IF(AND(ScoPo!S34&gt;0,ScoPo!S34&lt;='Results Export'!$B$1),LEFT(VLOOKUP(ScoPo!S34,ScoPo!$G$150:$J$277,4,0),FIND(",",VLOOKUP(ScoPo!S34,ScoPo!$G$150:$J$277,4,0))-1),""))</f>
        <v/>
      </c>
      <c r="B32" t="str">
        <f>IF(AND(ScoPo!T34&gt;0,ScoPo!T34&lt;='Results Export'!$B$1),LEFT(VLOOKUP(ScoPo!T34,ScoPo!$G$150:$J$277,4,0),FIND(",",VLOOKUP(ScoPo!T34,ScoPo!$G$150:$J$277,4,0))-1),"")</f>
        <v/>
      </c>
      <c r="C32">
        <f>IF(ScoPo!K34&gt;0,IF(ScoPo!K34=1,ScoPo!N34,-ScoPo!O34),0)</f>
        <v>0</v>
      </c>
    </row>
    <row r="33" spans="1:3">
      <c r="A33" t="str">
        <f>IF(B33="","",IF(AND(ScoPo!S35&gt;0,ScoPo!S35&lt;='Results Export'!$B$1),LEFT(VLOOKUP(ScoPo!S35,ScoPo!$G$150:$J$277,4,0),FIND(",",VLOOKUP(ScoPo!S35,ScoPo!$G$150:$J$277,4,0))-1),""))</f>
        <v/>
      </c>
      <c r="B33" t="str">
        <f>IF(AND(ScoPo!T35&gt;0,ScoPo!T35&lt;='Results Export'!$B$1),LEFT(VLOOKUP(ScoPo!T35,ScoPo!$G$150:$J$277,4,0),FIND(",",VLOOKUP(ScoPo!T35,ScoPo!$G$150:$J$277,4,0))-1),"")</f>
        <v/>
      </c>
      <c r="C33">
        <f>IF(ScoPo!K35&gt;0,IF(ScoPo!K35=1,ScoPo!N35,-ScoPo!O35),0)</f>
        <v>0</v>
      </c>
    </row>
    <row r="34" spans="1:3">
      <c r="A34" t="str">
        <f>IF(B34="","",IF(AND(ScoPo!S36&gt;0,ScoPo!S36&lt;='Results Export'!$B$1),LEFT(VLOOKUP(ScoPo!S36,ScoPo!$G$150:$J$277,4,0),FIND(",",VLOOKUP(ScoPo!S36,ScoPo!$G$150:$J$277,4,0))-1),""))</f>
        <v/>
      </c>
      <c r="B34" t="str">
        <f>IF(AND(ScoPo!T36&gt;0,ScoPo!T36&lt;='Results Export'!$B$1),LEFT(VLOOKUP(ScoPo!T36,ScoPo!$G$150:$J$277,4,0),FIND(",",VLOOKUP(ScoPo!T36,ScoPo!$G$150:$J$277,4,0))-1),"")</f>
        <v/>
      </c>
      <c r="C34">
        <f>IF(ScoPo!K36&gt;0,IF(ScoPo!K36=1,ScoPo!N36,-ScoPo!O36),0)</f>
        <v>0</v>
      </c>
    </row>
    <row r="35" spans="1:3">
      <c r="A35" t="str">
        <f>IF(B35="","",IF(AND(ScoPo!S37&gt;0,ScoPo!S37&lt;='Results Export'!$B$1),LEFT(VLOOKUP(ScoPo!S37,ScoPo!$G$150:$J$277,4,0),FIND(",",VLOOKUP(ScoPo!S37,ScoPo!$G$150:$J$277,4,0))-1),""))</f>
        <v/>
      </c>
      <c r="B35" t="str">
        <f>IF(AND(ScoPo!T37&gt;0,ScoPo!T37&lt;='Results Export'!$B$1),LEFT(VLOOKUP(ScoPo!T37,ScoPo!$G$150:$J$277,4,0),FIND(",",VLOOKUP(ScoPo!T37,ScoPo!$G$150:$J$277,4,0))-1),"")</f>
        <v/>
      </c>
      <c r="C35">
        <f>IF(ScoPo!K37&gt;0,IF(ScoPo!K37=1,ScoPo!N37,-ScoPo!O37),0)</f>
        <v>0</v>
      </c>
    </row>
    <row r="36" spans="1:3">
      <c r="A36" t="str">
        <f>IF(B36="","",IF(AND(ScoPo!S38&gt;0,ScoPo!S38&lt;='Results Export'!$B$1),LEFT(VLOOKUP(ScoPo!S38,ScoPo!$G$150:$J$277,4,0),FIND(",",VLOOKUP(ScoPo!S38,ScoPo!$G$150:$J$277,4,0))-1),""))</f>
        <v/>
      </c>
      <c r="B36" t="str">
        <f>IF(AND(ScoPo!T38&gt;0,ScoPo!T38&lt;='Results Export'!$B$1),LEFT(VLOOKUP(ScoPo!T38,ScoPo!$G$150:$J$277,4,0),FIND(",",VLOOKUP(ScoPo!T38,ScoPo!$G$150:$J$277,4,0))-1),"")</f>
        <v/>
      </c>
      <c r="C36">
        <f>IF(ScoPo!K38&gt;0,IF(ScoPo!K38=1,ScoPo!N38,-ScoPo!O38),0)</f>
        <v>0</v>
      </c>
    </row>
    <row r="37" spans="1:3">
      <c r="A37" t="str">
        <f>IF(B37="","",IF(AND(ScoPo!S39&gt;0,ScoPo!S39&lt;='Results Export'!$B$1),LEFT(VLOOKUP(ScoPo!S39,ScoPo!$G$150:$J$277,4,0),FIND(",",VLOOKUP(ScoPo!S39,ScoPo!$G$150:$J$277,4,0))-1),""))</f>
        <v/>
      </c>
      <c r="B37" t="str">
        <f>IF(AND(ScoPo!T39&gt;0,ScoPo!T39&lt;='Results Export'!$B$1),LEFT(VLOOKUP(ScoPo!T39,ScoPo!$G$150:$J$277,4,0),FIND(",",VLOOKUP(ScoPo!T39,ScoPo!$G$150:$J$277,4,0))-1),"")</f>
        <v/>
      </c>
      <c r="C37">
        <f>IF(ScoPo!K39&gt;0,IF(ScoPo!K39=1,ScoPo!N39,-ScoPo!O39),0)</f>
        <v>0</v>
      </c>
    </row>
    <row r="38" spans="1:3">
      <c r="A38" t="str">
        <f>IF(B38="","",IF(AND(ScoPo!S40&gt;0,ScoPo!S40&lt;='Results Export'!$B$1),LEFT(VLOOKUP(ScoPo!S40,ScoPo!$G$150:$J$277,4,0),FIND(",",VLOOKUP(ScoPo!S40,ScoPo!$G$150:$J$277,4,0))-1),""))</f>
        <v/>
      </c>
      <c r="B38" t="str">
        <f>IF(AND(ScoPo!T40&gt;0,ScoPo!T40&lt;='Results Export'!$B$1),LEFT(VLOOKUP(ScoPo!T40,ScoPo!$G$150:$J$277,4,0),FIND(",",VLOOKUP(ScoPo!T40,ScoPo!$G$150:$J$277,4,0))-1),"")</f>
        <v/>
      </c>
      <c r="C38">
        <f>IF(ScoPo!K40&gt;0,IF(ScoPo!K40=1,ScoPo!N40,-ScoPo!O40),0)</f>
        <v>0</v>
      </c>
    </row>
    <row r="39" spans="1:3">
      <c r="A39" t="str">
        <f>IF(B39="","",IF(AND(ScoPo!S41&gt;0,ScoPo!S41&lt;='Results Export'!$B$1),LEFT(VLOOKUP(ScoPo!S41,ScoPo!$G$150:$J$277,4,0),FIND(",",VLOOKUP(ScoPo!S41,ScoPo!$G$150:$J$277,4,0))-1),""))</f>
        <v/>
      </c>
      <c r="B39" t="str">
        <f>IF(AND(ScoPo!T41&gt;0,ScoPo!T41&lt;='Results Export'!$B$1),LEFT(VLOOKUP(ScoPo!T41,ScoPo!$G$150:$J$277,4,0),FIND(",",VLOOKUP(ScoPo!T41,ScoPo!$G$150:$J$277,4,0))-1),"")</f>
        <v/>
      </c>
      <c r="C39">
        <f>IF(ScoPo!K41&gt;0,IF(ScoPo!K41=1,ScoPo!N41,-ScoPo!O41),0)</f>
        <v>0</v>
      </c>
    </row>
    <row r="40" spans="1:3">
      <c r="A40" t="str">
        <f>IF(B40="","",IF(AND(ScoPo!S42&gt;0,ScoPo!S42&lt;='Results Export'!$B$1),LEFT(VLOOKUP(ScoPo!S42,ScoPo!$G$150:$J$277,4,0),FIND(",",VLOOKUP(ScoPo!S42,ScoPo!$G$150:$J$277,4,0))-1),""))</f>
        <v/>
      </c>
      <c r="B40" t="str">
        <f>IF(AND(ScoPo!T42&gt;0,ScoPo!T42&lt;='Results Export'!$B$1),LEFT(VLOOKUP(ScoPo!T42,ScoPo!$G$150:$J$277,4,0),FIND(",",VLOOKUP(ScoPo!T42,ScoPo!$G$150:$J$277,4,0))-1),"")</f>
        <v/>
      </c>
      <c r="C40">
        <f>IF(ScoPo!K42&gt;0,IF(ScoPo!K42=1,ScoPo!N42,-ScoPo!O42),0)</f>
        <v>0</v>
      </c>
    </row>
    <row r="41" spans="1:3">
      <c r="A41" t="str">
        <f>IF(B41="","",IF(AND(ScoPo!S43&gt;0,ScoPo!S43&lt;='Results Export'!$B$1),LEFT(VLOOKUP(ScoPo!S43,ScoPo!$G$150:$J$277,4,0),FIND(",",VLOOKUP(ScoPo!S43,ScoPo!$G$150:$J$277,4,0))-1),""))</f>
        <v/>
      </c>
      <c r="B41" t="str">
        <f>IF(AND(ScoPo!T43&gt;0,ScoPo!T43&lt;='Results Export'!$B$1),LEFT(VLOOKUP(ScoPo!T43,ScoPo!$G$150:$J$277,4,0),FIND(",",VLOOKUP(ScoPo!T43,ScoPo!$G$150:$J$277,4,0))-1),"")</f>
        <v/>
      </c>
      <c r="C41">
        <f>IF(ScoPo!K43&gt;0,IF(ScoPo!K43=1,ScoPo!N43,-ScoPo!O43),0)</f>
        <v>0</v>
      </c>
    </row>
    <row r="42" spans="1:3">
      <c r="A42" t="str">
        <f>IF(B42="","",IF(AND(ScoPo!S44&gt;0,ScoPo!S44&lt;='Results Export'!$B$1),LEFT(VLOOKUP(ScoPo!S44,ScoPo!$G$150:$J$277,4,0),FIND(",",VLOOKUP(ScoPo!S44,ScoPo!$G$150:$J$277,4,0))-1),""))</f>
        <v/>
      </c>
      <c r="B42" t="str">
        <f>IF(AND(ScoPo!T44&gt;0,ScoPo!T44&lt;='Results Export'!$B$1),LEFT(VLOOKUP(ScoPo!T44,ScoPo!$G$150:$J$277,4,0),FIND(",",VLOOKUP(ScoPo!T44,ScoPo!$G$150:$J$277,4,0))-1),"")</f>
        <v/>
      </c>
      <c r="C42">
        <f>IF(ScoPo!K44&gt;0,IF(ScoPo!K44=1,ScoPo!N44,-ScoPo!O44),0)</f>
        <v>0</v>
      </c>
    </row>
    <row r="43" spans="1:3">
      <c r="A43" t="str">
        <f>IF(B43="","",IF(AND(ScoPo!S45&gt;0,ScoPo!S45&lt;='Results Export'!$B$1),LEFT(VLOOKUP(ScoPo!S45,ScoPo!$G$150:$J$277,4,0),FIND(",",VLOOKUP(ScoPo!S45,ScoPo!$G$150:$J$277,4,0))-1),""))</f>
        <v/>
      </c>
      <c r="B43" t="str">
        <f>IF(AND(ScoPo!T45&gt;0,ScoPo!T45&lt;='Results Export'!$B$1),LEFT(VLOOKUP(ScoPo!T45,ScoPo!$G$150:$J$277,4,0),FIND(",",VLOOKUP(ScoPo!T45,ScoPo!$G$150:$J$277,4,0))-1),"")</f>
        <v/>
      </c>
      <c r="C43">
        <f>IF(ScoPo!K45&gt;0,IF(ScoPo!K45=1,ScoPo!N45,-ScoPo!O45),0)</f>
        <v>0</v>
      </c>
    </row>
    <row r="44" spans="1:3">
      <c r="A44" t="str">
        <f>IF(B44="","",IF(AND(ScoPo!S46&gt;0,ScoPo!S46&lt;='Results Export'!$B$1),LEFT(VLOOKUP(ScoPo!S46,ScoPo!$G$150:$J$277,4,0),FIND(",",VLOOKUP(ScoPo!S46,ScoPo!$G$150:$J$277,4,0))-1),""))</f>
        <v/>
      </c>
      <c r="B44" t="str">
        <f>IF(AND(ScoPo!T46&gt;0,ScoPo!T46&lt;='Results Export'!$B$1),LEFT(VLOOKUP(ScoPo!T46,ScoPo!$G$150:$J$277,4,0),FIND(",",VLOOKUP(ScoPo!T46,ScoPo!$G$150:$J$277,4,0))-1),"")</f>
        <v/>
      </c>
      <c r="C44">
        <f>IF(ScoPo!K46&gt;0,IF(ScoPo!K46=1,ScoPo!N46,-ScoPo!O46),0)</f>
        <v>0</v>
      </c>
    </row>
    <row r="45" spans="1:3">
      <c r="A45" t="str">
        <f>IF(B45="","",IF(AND(ScoPo!S47&gt;0,ScoPo!S47&lt;='Results Export'!$B$1),LEFT(VLOOKUP(ScoPo!S47,ScoPo!$G$150:$J$277,4,0),FIND(",",VLOOKUP(ScoPo!S47,ScoPo!$G$150:$J$277,4,0))-1),""))</f>
        <v/>
      </c>
      <c r="B45" t="str">
        <f>IF(AND(ScoPo!T47&gt;0,ScoPo!T47&lt;='Results Export'!$B$1),LEFT(VLOOKUP(ScoPo!T47,ScoPo!$G$150:$J$277,4,0),FIND(",",VLOOKUP(ScoPo!T47,ScoPo!$G$150:$J$277,4,0))-1),"")</f>
        <v/>
      </c>
      <c r="C45">
        <f>IF(ScoPo!K47&gt;0,IF(ScoPo!K47=1,ScoPo!N47,-ScoPo!O47),0)</f>
        <v>0</v>
      </c>
    </row>
    <row r="46" spans="1:3">
      <c r="A46" t="str">
        <f>IF(B46="","",IF(AND(ScoPo!S48&gt;0,ScoPo!S48&lt;='Results Export'!$B$1),LEFT(VLOOKUP(ScoPo!S48,ScoPo!$G$150:$J$277,4,0),FIND(",",VLOOKUP(ScoPo!S48,ScoPo!$G$150:$J$277,4,0))-1),""))</f>
        <v/>
      </c>
      <c r="B46" t="str">
        <f>IF(AND(ScoPo!T48&gt;0,ScoPo!T48&lt;='Results Export'!$B$1),LEFT(VLOOKUP(ScoPo!T48,ScoPo!$G$150:$J$277,4,0),FIND(",",VLOOKUP(ScoPo!T48,ScoPo!$G$150:$J$277,4,0))-1),"")</f>
        <v/>
      </c>
      <c r="C46">
        <f>IF(ScoPo!K48&gt;0,IF(ScoPo!K48=1,ScoPo!N48,-ScoPo!O48),0)</f>
        <v>0</v>
      </c>
    </row>
    <row r="47" spans="1:3">
      <c r="A47" t="str">
        <f>IF(B47="","",IF(AND(ScoPo!S49&gt;0,ScoPo!S49&lt;='Results Export'!$B$1),LEFT(VLOOKUP(ScoPo!S49,ScoPo!$G$150:$J$277,4,0),FIND(",",VLOOKUP(ScoPo!S49,ScoPo!$G$150:$J$277,4,0))-1),""))</f>
        <v/>
      </c>
      <c r="B47" t="str">
        <f>IF(AND(ScoPo!T49&gt;0,ScoPo!T49&lt;='Results Export'!$B$1),LEFT(VLOOKUP(ScoPo!T49,ScoPo!$G$150:$J$277,4,0),FIND(",",VLOOKUP(ScoPo!T49,ScoPo!$G$150:$J$277,4,0))-1),"")</f>
        <v/>
      </c>
      <c r="C47">
        <f>IF(ScoPo!K49&gt;0,IF(ScoPo!K49=1,ScoPo!N49,-ScoPo!O49),0)</f>
        <v>0</v>
      </c>
    </row>
    <row r="48" spans="1:3">
      <c r="A48" t="str">
        <f>IF(B48="","",IF(AND(ScoPo!S50&gt;0,ScoPo!S50&lt;='Results Export'!$B$1),LEFT(VLOOKUP(ScoPo!S50,ScoPo!$G$150:$J$277,4,0),FIND(",",VLOOKUP(ScoPo!S50,ScoPo!$G$150:$J$277,4,0))-1),""))</f>
        <v/>
      </c>
      <c r="B48" t="str">
        <f>IF(AND(ScoPo!T50&gt;0,ScoPo!T50&lt;='Results Export'!$B$1),LEFT(VLOOKUP(ScoPo!T50,ScoPo!$G$150:$J$277,4,0),FIND(",",VLOOKUP(ScoPo!T50,ScoPo!$G$150:$J$277,4,0))-1),"")</f>
        <v/>
      </c>
      <c r="C48">
        <f>IF(ScoPo!K50&gt;0,IF(ScoPo!K50=1,ScoPo!N50,-ScoPo!O50),0)</f>
        <v>0</v>
      </c>
    </row>
    <row r="49" spans="1:3">
      <c r="A49" t="str">
        <f>IF(B49="","",IF(AND(ScoPo!S51&gt;0,ScoPo!S51&lt;='Results Export'!$B$1),LEFT(VLOOKUP(ScoPo!S51,ScoPo!$G$150:$J$277,4,0),FIND(",",VLOOKUP(ScoPo!S51,ScoPo!$G$150:$J$277,4,0))-1),""))</f>
        <v/>
      </c>
      <c r="B49" t="str">
        <f>IF(AND(ScoPo!T51&gt;0,ScoPo!T51&lt;='Results Export'!$B$1),LEFT(VLOOKUP(ScoPo!T51,ScoPo!$G$150:$J$277,4,0),FIND(",",VLOOKUP(ScoPo!T51,ScoPo!$G$150:$J$277,4,0))-1),"")</f>
        <v/>
      </c>
      <c r="C49">
        <f>IF(ScoPo!K51&gt;0,IF(ScoPo!K51=1,ScoPo!N51,-ScoPo!O51),0)</f>
        <v>0</v>
      </c>
    </row>
    <row r="50" spans="1:3">
      <c r="A50" t="str">
        <f>IF(B50="","",IF(AND(ScoPo!S52&gt;0,ScoPo!S52&lt;='Results Export'!$B$1),LEFT(VLOOKUP(ScoPo!S52,ScoPo!$G$150:$J$277,4,0),FIND(",",VLOOKUP(ScoPo!S52,ScoPo!$G$150:$J$277,4,0))-1),""))</f>
        <v/>
      </c>
      <c r="B50" t="str">
        <f>IF(AND(ScoPo!T52&gt;0,ScoPo!T52&lt;='Results Export'!$B$1),LEFT(VLOOKUP(ScoPo!T52,ScoPo!$G$150:$J$277,4,0),FIND(",",VLOOKUP(ScoPo!T52,ScoPo!$G$150:$J$277,4,0))-1),"")</f>
        <v/>
      </c>
      <c r="C50">
        <f>IF(ScoPo!K52&gt;0,IF(ScoPo!K52=1,ScoPo!N52,-ScoPo!O52),0)</f>
        <v>0</v>
      </c>
    </row>
    <row r="51" spans="1:3">
      <c r="A51" t="str">
        <f>IF(B51="","",IF(AND(ScoPo!S53&gt;0,ScoPo!S53&lt;='Results Export'!$B$1),LEFT(VLOOKUP(ScoPo!S53,ScoPo!$G$150:$J$277,4,0),FIND(",",VLOOKUP(ScoPo!S53,ScoPo!$G$150:$J$277,4,0))-1),""))</f>
        <v/>
      </c>
      <c r="B51" t="str">
        <f>IF(AND(ScoPo!T53&gt;0,ScoPo!T53&lt;='Results Export'!$B$1),LEFT(VLOOKUP(ScoPo!T53,ScoPo!$G$150:$J$277,4,0),FIND(",",VLOOKUP(ScoPo!T53,ScoPo!$G$150:$J$277,4,0))-1),"")</f>
        <v/>
      </c>
      <c r="C51">
        <f>IF(ScoPo!K53&gt;0,IF(ScoPo!K53=1,ScoPo!N53,-ScoPo!O53),0)</f>
        <v>0</v>
      </c>
    </row>
    <row r="52" spans="1:3">
      <c r="A52" t="str">
        <f>IF(B52="","",IF(AND(ScoPo!S54&gt;0,ScoPo!S54&lt;='Results Export'!$B$1),LEFT(VLOOKUP(ScoPo!S54,ScoPo!$G$150:$J$277,4,0),FIND(",",VLOOKUP(ScoPo!S54,ScoPo!$G$150:$J$277,4,0))-1),""))</f>
        <v/>
      </c>
      <c r="B52" t="str">
        <f>IF(AND(ScoPo!T54&gt;0,ScoPo!T54&lt;='Results Export'!$B$1),LEFT(VLOOKUP(ScoPo!T54,ScoPo!$G$150:$J$277,4,0),FIND(",",VLOOKUP(ScoPo!T54,ScoPo!$G$150:$J$277,4,0))-1),"")</f>
        <v/>
      </c>
      <c r="C52">
        <f>IF(ScoPo!K54&gt;0,IF(ScoPo!K54=1,ScoPo!N54,-ScoPo!O54),0)</f>
        <v>0</v>
      </c>
    </row>
    <row r="53" spans="1:3">
      <c r="A53" t="str">
        <f>IF(B53="","",IF(AND(ScoPo!S55&gt;0,ScoPo!S55&lt;='Results Export'!$B$1),LEFT(VLOOKUP(ScoPo!S55,ScoPo!$G$150:$J$277,4,0),FIND(",",VLOOKUP(ScoPo!S55,ScoPo!$G$150:$J$277,4,0))-1),""))</f>
        <v/>
      </c>
      <c r="B53" t="str">
        <f>IF(AND(ScoPo!T55&gt;0,ScoPo!T55&lt;='Results Export'!$B$1),LEFT(VLOOKUP(ScoPo!T55,ScoPo!$G$150:$J$277,4,0),FIND(",",VLOOKUP(ScoPo!T55,ScoPo!$G$150:$J$277,4,0))-1),"")</f>
        <v/>
      </c>
      <c r="C53">
        <f>IF(ScoPo!K55&gt;0,IF(ScoPo!K55=1,ScoPo!N55,-ScoPo!O55),0)</f>
        <v>0</v>
      </c>
    </row>
    <row r="54" spans="1:3">
      <c r="A54" t="str">
        <f>IF(B54="","",IF(AND(ScoPo!S56&gt;0,ScoPo!S56&lt;='Results Export'!$B$1),LEFT(VLOOKUP(ScoPo!S56,ScoPo!$G$150:$J$277,4,0),FIND(",",VLOOKUP(ScoPo!S56,ScoPo!$G$150:$J$277,4,0))-1),""))</f>
        <v/>
      </c>
      <c r="B54" t="str">
        <f>IF(AND(ScoPo!T56&gt;0,ScoPo!T56&lt;='Results Export'!$B$1),LEFT(VLOOKUP(ScoPo!T56,ScoPo!$G$150:$J$277,4,0),FIND(",",VLOOKUP(ScoPo!T56,ScoPo!$G$150:$J$277,4,0))-1),"")</f>
        <v/>
      </c>
      <c r="C54">
        <f>IF(ScoPo!K56&gt;0,IF(ScoPo!K56=1,ScoPo!N56,-ScoPo!O56),0)</f>
        <v>0</v>
      </c>
    </row>
    <row r="55" spans="1:3">
      <c r="A55" t="str">
        <f>IF(B55="","",IF(AND(ScoPo!S57&gt;0,ScoPo!S57&lt;='Results Export'!$B$1),LEFT(VLOOKUP(ScoPo!S57,ScoPo!$G$150:$J$277,4,0),FIND(",",VLOOKUP(ScoPo!S57,ScoPo!$G$150:$J$277,4,0))-1),""))</f>
        <v/>
      </c>
      <c r="B55" t="str">
        <f>IF(AND(ScoPo!T57&gt;0,ScoPo!T57&lt;='Results Export'!$B$1),LEFT(VLOOKUP(ScoPo!T57,ScoPo!$G$150:$J$277,4,0),FIND(",",VLOOKUP(ScoPo!T57,ScoPo!$G$150:$J$277,4,0))-1),"")</f>
        <v/>
      </c>
      <c r="C55">
        <f>IF(ScoPo!K57&gt;0,IF(ScoPo!K57=1,ScoPo!N57,-ScoPo!O57),0)</f>
        <v>0</v>
      </c>
    </row>
    <row r="56" spans="1:3">
      <c r="A56" t="str">
        <f>IF(B56="","",IF(AND(ScoPo!S58&gt;0,ScoPo!S58&lt;='Results Export'!$B$1),LEFT(VLOOKUP(ScoPo!S58,ScoPo!$G$150:$J$277,4,0),FIND(",",VLOOKUP(ScoPo!S58,ScoPo!$G$150:$J$277,4,0))-1),""))</f>
        <v/>
      </c>
      <c r="B56" t="str">
        <f>IF(AND(ScoPo!T58&gt;0,ScoPo!T58&lt;='Results Export'!$B$1),LEFT(VLOOKUP(ScoPo!T58,ScoPo!$G$150:$J$277,4,0),FIND(",",VLOOKUP(ScoPo!T58,ScoPo!$G$150:$J$277,4,0))-1),"")</f>
        <v/>
      </c>
      <c r="C56">
        <f>IF(ScoPo!K58&gt;0,IF(ScoPo!K58=1,ScoPo!N58,-ScoPo!O58),0)</f>
        <v>0</v>
      </c>
    </row>
    <row r="57" spans="1:3">
      <c r="A57" t="str">
        <f>IF(B57="","",IF(AND(ScoPo!S59&gt;0,ScoPo!S59&lt;='Results Export'!$B$1),LEFT(VLOOKUP(ScoPo!S59,ScoPo!$G$150:$J$277,4,0),FIND(",",VLOOKUP(ScoPo!S59,ScoPo!$G$150:$J$277,4,0))-1),""))</f>
        <v/>
      </c>
      <c r="B57" t="str">
        <f>IF(AND(ScoPo!T59&gt;0,ScoPo!T59&lt;='Results Export'!$B$1),LEFT(VLOOKUP(ScoPo!T59,ScoPo!$G$150:$J$277,4,0),FIND(",",VLOOKUP(ScoPo!T59,ScoPo!$G$150:$J$277,4,0))-1),"")</f>
        <v/>
      </c>
      <c r="C57">
        <f>IF(ScoPo!K59&gt;0,IF(ScoPo!K59=1,ScoPo!N59,-ScoPo!O59),0)</f>
        <v>0</v>
      </c>
    </row>
    <row r="58" spans="1:3">
      <c r="A58" t="str">
        <f>IF(B58="","",IF(AND(ScoPo!S60&gt;0,ScoPo!S60&lt;='Results Export'!$B$1),LEFT(VLOOKUP(ScoPo!S60,ScoPo!$G$150:$J$277,4,0),FIND(",",VLOOKUP(ScoPo!S60,ScoPo!$G$150:$J$277,4,0))-1),""))</f>
        <v/>
      </c>
      <c r="B58" t="str">
        <f>IF(AND(ScoPo!T60&gt;0,ScoPo!T60&lt;='Results Export'!$B$1),LEFT(VLOOKUP(ScoPo!T60,ScoPo!$G$150:$J$277,4,0),FIND(",",VLOOKUP(ScoPo!T60,ScoPo!$G$150:$J$277,4,0))-1),"")</f>
        <v/>
      </c>
      <c r="C58">
        <f>IF(ScoPo!K60&gt;0,IF(ScoPo!K60=1,ScoPo!N60,-ScoPo!O60),0)</f>
        <v>0</v>
      </c>
    </row>
    <row r="59" spans="1:3">
      <c r="A59" t="str">
        <f>IF(B59="","",IF(AND(ScoPo!S61&gt;0,ScoPo!S61&lt;='Results Export'!$B$1),LEFT(VLOOKUP(ScoPo!S61,ScoPo!$G$150:$J$277,4,0),FIND(",",VLOOKUP(ScoPo!S61,ScoPo!$G$150:$J$277,4,0))-1),""))</f>
        <v/>
      </c>
      <c r="B59" t="str">
        <f>IF(AND(ScoPo!T61&gt;0,ScoPo!T61&lt;='Results Export'!$B$1),LEFT(VLOOKUP(ScoPo!T61,ScoPo!$G$150:$J$277,4,0),FIND(",",VLOOKUP(ScoPo!T61,ScoPo!$G$150:$J$277,4,0))-1),"")</f>
        <v/>
      </c>
      <c r="C59">
        <f>IF(ScoPo!K61&gt;0,IF(ScoPo!K61=1,ScoPo!N61,-ScoPo!O61),0)</f>
        <v>0</v>
      </c>
    </row>
    <row r="60" spans="1:3">
      <c r="A60" t="str">
        <f>IF(B60="","",IF(AND(ScoPo!S62&gt;0,ScoPo!S62&lt;='Results Export'!$B$1),LEFT(VLOOKUP(ScoPo!S62,ScoPo!$G$150:$J$277,4,0),FIND(",",VLOOKUP(ScoPo!S62,ScoPo!$G$150:$J$277,4,0))-1),""))</f>
        <v/>
      </c>
      <c r="B60" t="str">
        <f>IF(AND(ScoPo!T62&gt;0,ScoPo!T62&lt;='Results Export'!$B$1),LEFT(VLOOKUP(ScoPo!T62,ScoPo!$G$150:$J$277,4,0),FIND(",",VLOOKUP(ScoPo!T62,ScoPo!$G$150:$J$277,4,0))-1),"")</f>
        <v/>
      </c>
      <c r="C60">
        <f>IF(ScoPo!K62&gt;0,IF(ScoPo!K62=1,ScoPo!N62,-ScoPo!O62),0)</f>
        <v>0</v>
      </c>
    </row>
    <row r="61" spans="1:3">
      <c r="A61" t="str">
        <f>IF(B61="","",IF(AND(ScoPo!S63&gt;0,ScoPo!S63&lt;='Results Export'!$B$1),LEFT(VLOOKUP(ScoPo!S63,ScoPo!$G$150:$J$277,4,0),FIND(",",VLOOKUP(ScoPo!S63,ScoPo!$G$150:$J$277,4,0))-1),""))</f>
        <v/>
      </c>
      <c r="B61" t="str">
        <f>IF(AND(ScoPo!T63&gt;0,ScoPo!T63&lt;='Results Export'!$B$1),LEFT(VLOOKUP(ScoPo!T63,ScoPo!$G$150:$J$277,4,0),FIND(",",VLOOKUP(ScoPo!T63,ScoPo!$G$150:$J$277,4,0))-1),"")</f>
        <v/>
      </c>
      <c r="C61">
        <f>IF(ScoPo!K63&gt;0,IF(ScoPo!K63=1,ScoPo!N63,-ScoPo!O63),0)</f>
        <v>0</v>
      </c>
    </row>
    <row r="62" spans="1:3">
      <c r="A62" t="str">
        <f>IF(B62="","",IF(AND(ScoPo!S64&gt;0,ScoPo!S64&lt;='Results Export'!$B$1),LEFT(VLOOKUP(ScoPo!S64,ScoPo!$G$150:$J$277,4,0),FIND(",",VLOOKUP(ScoPo!S64,ScoPo!$G$150:$J$277,4,0))-1),""))</f>
        <v/>
      </c>
      <c r="B62" t="str">
        <f>IF(AND(ScoPo!T64&gt;0,ScoPo!T64&lt;='Results Export'!$B$1),LEFT(VLOOKUP(ScoPo!T64,ScoPo!$G$150:$J$277,4,0),FIND(",",VLOOKUP(ScoPo!T64,ScoPo!$G$150:$J$277,4,0))-1),"")</f>
        <v/>
      </c>
      <c r="C62">
        <f>IF(ScoPo!K64&gt;0,IF(ScoPo!K64=1,ScoPo!N64,-ScoPo!O64),0)</f>
        <v>0</v>
      </c>
    </row>
    <row r="63" spans="1:3">
      <c r="A63" t="str">
        <f>IF(B63="","",IF(AND(ScoPo!S65&gt;0,ScoPo!S65&lt;='Results Export'!$B$1),LEFT(VLOOKUP(ScoPo!S65,ScoPo!$G$150:$J$277,4,0),FIND(",",VLOOKUP(ScoPo!S65,ScoPo!$G$150:$J$277,4,0))-1),""))</f>
        <v/>
      </c>
      <c r="B63" t="str">
        <f>IF(AND(ScoPo!T65&gt;0,ScoPo!T65&lt;='Results Export'!$B$1),LEFT(VLOOKUP(ScoPo!T65,ScoPo!$G$150:$J$277,4,0),FIND(",",VLOOKUP(ScoPo!T65,ScoPo!$G$150:$J$277,4,0))-1),"")</f>
        <v/>
      </c>
      <c r="C63">
        <f>IF(ScoPo!K65&gt;0,IF(ScoPo!K65=1,ScoPo!N65,-ScoPo!O65),0)</f>
        <v>0</v>
      </c>
    </row>
    <row r="64" spans="1:3">
      <c r="A64" t="str">
        <f>IF(B64="","",IF(AND(ScoPo!S66&gt;0,ScoPo!S66&lt;='Results Export'!$B$1),LEFT(VLOOKUP(ScoPo!S66,ScoPo!$G$150:$J$277,4,0),FIND(",",VLOOKUP(ScoPo!S66,ScoPo!$G$150:$J$277,4,0))-1),""))</f>
        <v/>
      </c>
      <c r="B64" t="str">
        <f>IF(AND(ScoPo!T66&gt;0,ScoPo!T66&lt;='Results Export'!$B$1),LEFT(VLOOKUP(ScoPo!T66,ScoPo!$G$150:$J$277,4,0),FIND(",",VLOOKUP(ScoPo!T66,ScoPo!$G$150:$J$277,4,0))-1),"")</f>
        <v/>
      </c>
      <c r="C64">
        <f>IF(ScoPo!K66&gt;0,IF(ScoPo!K66=1,ScoPo!N66,-ScoPo!O66),0)</f>
        <v>0</v>
      </c>
    </row>
    <row r="65" spans="1:3">
      <c r="A65" t="str">
        <f>IF(B65="","",IF(AND(ScoPo!S67&gt;0,ScoPo!S67&lt;='Results Export'!$B$1),LEFT(VLOOKUP(ScoPo!S67,ScoPo!$G$150:$J$277,4,0),FIND(",",VLOOKUP(ScoPo!S67,ScoPo!$G$150:$J$277,4,0))-1),""))</f>
        <v/>
      </c>
      <c r="B65" t="str">
        <f>IF(AND(ScoPo!T67&gt;0,ScoPo!T67&lt;='Results Export'!$B$1),LEFT(VLOOKUP(ScoPo!T67,ScoPo!$G$150:$J$277,4,0),FIND(",",VLOOKUP(ScoPo!T67,ScoPo!$G$150:$J$277,4,0))-1),"")</f>
        <v/>
      </c>
      <c r="C65">
        <f>IF(ScoPo!K67&gt;0,IF(ScoPo!K67=1,ScoPo!N67,-ScoPo!O67),0)</f>
        <v>0</v>
      </c>
    </row>
    <row r="66" spans="1:3">
      <c r="A66" t="str">
        <f>IF(B66="","",IF(AND(ScoPo!S68&gt;0,ScoPo!S68&lt;='Results Export'!$B$1),LEFT(VLOOKUP(ScoPo!S68,ScoPo!$G$150:$J$277,4,0),FIND(",",VLOOKUP(ScoPo!S68,ScoPo!$G$150:$J$277,4,0))-1),""))</f>
        <v/>
      </c>
      <c r="B66" t="str">
        <f>IF(AND(ScoPo!T68&gt;0,ScoPo!T68&lt;='Results Export'!$B$1),LEFT(VLOOKUP(ScoPo!T68,ScoPo!$G$150:$J$277,4,0),FIND(",",VLOOKUP(ScoPo!T68,ScoPo!$G$150:$J$277,4,0))-1),"")</f>
        <v/>
      </c>
      <c r="C66">
        <f>IF(ScoPo!K68&gt;0,IF(ScoPo!K68=1,ScoPo!N68,-ScoPo!O68),0)</f>
        <v>0</v>
      </c>
    </row>
    <row r="67" spans="1:3">
      <c r="A67" t="str">
        <f>IF(B67="","",IF(AND(ScoPo!S69&gt;0,ScoPo!S69&lt;='Results Export'!$B$1),LEFT(VLOOKUP(ScoPo!S69,ScoPo!$G$150:$J$277,4,0),FIND(",",VLOOKUP(ScoPo!S69,ScoPo!$G$150:$J$277,4,0))-1),""))</f>
        <v/>
      </c>
      <c r="B67" t="str">
        <f>IF(AND(ScoPo!T69&gt;0,ScoPo!T69&lt;='Results Export'!$B$1),LEFT(VLOOKUP(ScoPo!T69,ScoPo!$G$150:$J$277,4,0),FIND(",",VLOOKUP(ScoPo!T69,ScoPo!$G$150:$J$277,4,0))-1),"")</f>
        <v/>
      </c>
      <c r="C67">
        <f>IF(ScoPo!K69&gt;0,IF(ScoPo!K69=1,ScoPo!N69,-ScoPo!O69),0)</f>
        <v>0</v>
      </c>
    </row>
    <row r="68" spans="1:3">
      <c r="A68" t="str">
        <f>IF(B68="","",IF(AND(ScoPo!S70&gt;0,ScoPo!S70&lt;='Results Export'!$B$1),LEFT(VLOOKUP(ScoPo!S70,ScoPo!$G$150:$J$277,4,0),FIND(",",VLOOKUP(ScoPo!S70,ScoPo!$G$150:$J$277,4,0))-1),""))</f>
        <v/>
      </c>
      <c r="B68" t="str">
        <f>IF(AND(ScoPo!T70&gt;0,ScoPo!T70&lt;='Results Export'!$B$1),LEFT(VLOOKUP(ScoPo!T70,ScoPo!$G$150:$J$277,4,0),FIND(",",VLOOKUP(ScoPo!T70,ScoPo!$G$150:$J$277,4,0))-1),"")</f>
        <v/>
      </c>
      <c r="C68">
        <f>IF(ScoPo!K70&gt;0,IF(ScoPo!K70=1,ScoPo!N70,-ScoPo!O70),0)</f>
        <v>0</v>
      </c>
    </row>
    <row r="69" spans="1:3">
      <c r="A69" t="str">
        <f>IF(B69="","",IF(AND(ScoPo!S71&gt;0,ScoPo!S71&lt;='Results Export'!$B$1),LEFT(VLOOKUP(ScoPo!S71,ScoPo!$G$150:$J$277,4,0),FIND(",",VLOOKUP(ScoPo!S71,ScoPo!$G$150:$J$277,4,0))-1),""))</f>
        <v/>
      </c>
      <c r="B69" t="str">
        <f>IF(AND(ScoPo!T71&gt;0,ScoPo!T71&lt;='Results Export'!$B$1),LEFT(VLOOKUP(ScoPo!T71,ScoPo!$G$150:$J$277,4,0),FIND(",",VLOOKUP(ScoPo!T71,ScoPo!$G$150:$J$277,4,0))-1),"")</f>
        <v/>
      </c>
      <c r="C69">
        <f>IF(ScoPo!K71&gt;0,IF(ScoPo!K71=1,ScoPo!N71,-ScoPo!O71),0)</f>
        <v>0</v>
      </c>
    </row>
    <row r="70" spans="1:3">
      <c r="A70" t="str">
        <f>IF(B70="","",IF(AND(ScoPo!S72&gt;0,ScoPo!S72&lt;='Results Export'!$B$1),LEFT(VLOOKUP(ScoPo!S72,ScoPo!$G$150:$J$277,4,0),FIND(",",VLOOKUP(ScoPo!S72,ScoPo!$G$150:$J$277,4,0))-1),""))</f>
        <v/>
      </c>
      <c r="B70" t="str">
        <f>IF(AND(ScoPo!T72&gt;0,ScoPo!T72&lt;='Results Export'!$B$1),LEFT(VLOOKUP(ScoPo!T72,ScoPo!$G$150:$J$277,4,0),FIND(",",VLOOKUP(ScoPo!T72,ScoPo!$G$150:$J$277,4,0))-1),"")</f>
        <v/>
      </c>
      <c r="C70">
        <f>IF(ScoPo!K72&gt;0,IF(ScoPo!K72=1,ScoPo!N72,-ScoPo!O72),0)</f>
        <v>0</v>
      </c>
    </row>
    <row r="71" spans="1:3">
      <c r="A71" t="str">
        <f>IF(B71="","",IF(AND(ScoPo!S73&gt;0,ScoPo!S73&lt;='Results Export'!$B$1),LEFT(VLOOKUP(ScoPo!S73,ScoPo!$G$150:$J$277,4,0),FIND(",",VLOOKUP(ScoPo!S73,ScoPo!$G$150:$J$277,4,0))-1),""))</f>
        <v/>
      </c>
      <c r="B71" t="str">
        <f>IF(AND(ScoPo!T73&gt;0,ScoPo!T73&lt;='Results Export'!$B$1),LEFT(VLOOKUP(ScoPo!T73,ScoPo!$G$150:$J$277,4,0),FIND(",",VLOOKUP(ScoPo!T73,ScoPo!$G$150:$J$277,4,0))-1),"")</f>
        <v/>
      </c>
      <c r="C71">
        <f>IF(ScoPo!K73&gt;0,IF(ScoPo!K73=1,ScoPo!N73,-ScoPo!O73),0)</f>
        <v>0</v>
      </c>
    </row>
    <row r="72" spans="1:3">
      <c r="A72" t="str">
        <f>IF(B72="","",IF(AND(ScoPo!S74&gt;0,ScoPo!S74&lt;='Results Export'!$B$1),LEFT(VLOOKUP(ScoPo!S74,ScoPo!$G$150:$J$277,4,0),FIND(",",VLOOKUP(ScoPo!S74,ScoPo!$G$150:$J$277,4,0))-1),""))</f>
        <v/>
      </c>
      <c r="B72" t="str">
        <f>IF(AND(ScoPo!T74&gt;0,ScoPo!T74&lt;='Results Export'!$B$1),LEFT(VLOOKUP(ScoPo!T74,ScoPo!$G$150:$J$277,4,0),FIND(",",VLOOKUP(ScoPo!T74,ScoPo!$G$150:$J$277,4,0))-1),"")</f>
        <v/>
      </c>
      <c r="C72">
        <f>IF(ScoPo!K74&gt;0,IF(ScoPo!K74=1,ScoPo!N74,-ScoPo!O74),0)</f>
        <v>0</v>
      </c>
    </row>
    <row r="73" spans="1:3">
      <c r="A73" t="str">
        <f>IF(B73="","",IF(AND(ScoPo!S75&gt;0,ScoPo!S75&lt;='Results Export'!$B$1),LEFT(VLOOKUP(ScoPo!S75,ScoPo!$G$150:$J$277,4,0),FIND(",",VLOOKUP(ScoPo!S75,ScoPo!$G$150:$J$277,4,0))-1),""))</f>
        <v/>
      </c>
      <c r="B73" t="str">
        <f>IF(AND(ScoPo!T75&gt;0,ScoPo!T75&lt;='Results Export'!$B$1),LEFT(VLOOKUP(ScoPo!T75,ScoPo!$G$150:$J$277,4,0),FIND(",",VLOOKUP(ScoPo!T75,ScoPo!$G$150:$J$277,4,0))-1),"")</f>
        <v/>
      </c>
      <c r="C73">
        <f>IF(ScoPo!K75&gt;0,IF(ScoPo!K75=1,ScoPo!N75,-ScoPo!O75),0)</f>
        <v>0</v>
      </c>
    </row>
    <row r="74" spans="1:3">
      <c r="A74" t="str">
        <f>IF(B74="","",IF(AND(ScoPo!S76&gt;0,ScoPo!S76&lt;='Results Export'!$B$1),LEFT(VLOOKUP(ScoPo!S76,ScoPo!$G$150:$J$277,4,0),FIND(",",VLOOKUP(ScoPo!S76,ScoPo!$G$150:$J$277,4,0))-1),""))</f>
        <v/>
      </c>
      <c r="B74" t="str">
        <f>IF(AND(ScoPo!T76&gt;0,ScoPo!T76&lt;='Results Export'!$B$1),LEFT(VLOOKUP(ScoPo!T76,ScoPo!$G$150:$J$277,4,0),FIND(",",VLOOKUP(ScoPo!T76,ScoPo!$G$150:$J$277,4,0))-1),"")</f>
        <v/>
      </c>
      <c r="C74">
        <f>IF(ScoPo!K76&gt;0,IF(ScoPo!K76=1,ScoPo!N76,-ScoPo!O76),0)</f>
        <v>0</v>
      </c>
    </row>
    <row r="75" spans="1:3">
      <c r="A75" t="str">
        <f>IF(B75="","",IF(AND(ScoPo!S77&gt;0,ScoPo!S77&lt;='Results Export'!$B$1),LEFT(VLOOKUP(ScoPo!S77,ScoPo!$G$150:$J$277,4,0),FIND(",",VLOOKUP(ScoPo!S77,ScoPo!$G$150:$J$277,4,0))-1),""))</f>
        <v/>
      </c>
      <c r="B75" t="str">
        <f>IF(AND(ScoPo!T77&gt;0,ScoPo!T77&lt;='Results Export'!$B$1),LEFT(VLOOKUP(ScoPo!T77,ScoPo!$G$150:$J$277,4,0),FIND(",",VLOOKUP(ScoPo!T77,ScoPo!$G$150:$J$277,4,0))-1),"")</f>
        <v/>
      </c>
      <c r="C75">
        <f>IF(ScoPo!K77&gt;0,IF(ScoPo!K77=1,ScoPo!N77,-ScoPo!O77),0)</f>
        <v>0</v>
      </c>
    </row>
    <row r="76" spans="1:3">
      <c r="A76" t="str">
        <f>IF(B76="","",IF(AND(ScoPo!S78&gt;0,ScoPo!S78&lt;='Results Export'!$B$1),LEFT(VLOOKUP(ScoPo!S78,ScoPo!$G$150:$J$277,4,0),FIND(",",VLOOKUP(ScoPo!S78,ScoPo!$G$150:$J$277,4,0))-1),""))</f>
        <v/>
      </c>
      <c r="B76" t="str">
        <f>IF(AND(ScoPo!T78&gt;0,ScoPo!T78&lt;='Results Export'!$B$1),LEFT(VLOOKUP(ScoPo!T78,ScoPo!$G$150:$J$277,4,0),FIND(",",VLOOKUP(ScoPo!T78,ScoPo!$G$150:$J$277,4,0))-1),"")</f>
        <v/>
      </c>
      <c r="C76">
        <f>IF(ScoPo!K78&gt;0,IF(ScoPo!K78=1,ScoPo!N78,-ScoPo!O78),0)</f>
        <v>0</v>
      </c>
    </row>
    <row r="77" spans="1:3">
      <c r="A77" t="str">
        <f>IF(B77="","",IF(AND(ScoPo!S79&gt;0,ScoPo!S79&lt;='Results Export'!$B$1),LEFT(VLOOKUP(ScoPo!S79,ScoPo!$G$150:$J$277,4,0),FIND(",",VLOOKUP(ScoPo!S79,ScoPo!$G$150:$J$277,4,0))-1),""))</f>
        <v/>
      </c>
      <c r="B77" t="str">
        <f>IF(AND(ScoPo!T79&gt;0,ScoPo!T79&lt;='Results Export'!$B$1),LEFT(VLOOKUP(ScoPo!T79,ScoPo!$G$150:$J$277,4,0),FIND(",",VLOOKUP(ScoPo!T79,ScoPo!$G$150:$J$277,4,0))-1),"")</f>
        <v/>
      </c>
      <c r="C77">
        <f>IF(ScoPo!K79&gt;0,IF(ScoPo!K79=1,ScoPo!N79,-ScoPo!O79),0)</f>
        <v>0</v>
      </c>
    </row>
    <row r="78" spans="1:3">
      <c r="A78" t="str">
        <f>IF(B78="","",IF(AND(ScoPo!S80&gt;0,ScoPo!S80&lt;='Results Export'!$B$1),LEFT(VLOOKUP(ScoPo!S80,ScoPo!$G$150:$J$277,4,0),FIND(",",VLOOKUP(ScoPo!S80,ScoPo!$G$150:$J$277,4,0))-1),""))</f>
        <v/>
      </c>
      <c r="B78" t="str">
        <f>IF(AND(ScoPo!T80&gt;0,ScoPo!T80&lt;='Results Export'!$B$1),LEFT(VLOOKUP(ScoPo!T80,ScoPo!$G$150:$J$277,4,0),FIND(",",VLOOKUP(ScoPo!T80,ScoPo!$G$150:$J$277,4,0))-1),"")</f>
        <v/>
      </c>
      <c r="C78">
        <f>IF(ScoPo!K80&gt;0,IF(ScoPo!K80=1,ScoPo!N80,-ScoPo!O80),0)</f>
        <v>0</v>
      </c>
    </row>
    <row r="79" spans="1:3">
      <c r="A79" t="str">
        <f>IF(B79="","",IF(AND(ScoPo!S81&gt;0,ScoPo!S81&lt;='Results Export'!$B$1),LEFT(VLOOKUP(ScoPo!S81,ScoPo!$G$150:$J$277,4,0),FIND(",",VLOOKUP(ScoPo!S81,ScoPo!$G$150:$J$277,4,0))-1),""))</f>
        <v/>
      </c>
      <c r="B79" t="str">
        <f>IF(AND(ScoPo!T81&gt;0,ScoPo!T81&lt;='Results Export'!$B$1),LEFT(VLOOKUP(ScoPo!T81,ScoPo!$G$150:$J$277,4,0),FIND(",",VLOOKUP(ScoPo!T81,ScoPo!$G$150:$J$277,4,0))-1),"")</f>
        <v/>
      </c>
      <c r="C79">
        <f>IF(ScoPo!K81&gt;0,IF(ScoPo!K81=1,ScoPo!N81,-ScoPo!O81),0)</f>
        <v>0</v>
      </c>
    </row>
    <row r="80" spans="1:3">
      <c r="A80" t="str">
        <f>IF(B80="","",IF(AND(ScoPo!S82&gt;0,ScoPo!S82&lt;='Results Export'!$B$1),LEFT(VLOOKUP(ScoPo!S82,ScoPo!$G$150:$J$277,4,0),FIND(",",VLOOKUP(ScoPo!S82,ScoPo!$G$150:$J$277,4,0))-1),""))</f>
        <v/>
      </c>
      <c r="B80" t="str">
        <f>IF(AND(ScoPo!T82&gt;0,ScoPo!T82&lt;='Results Export'!$B$1),LEFT(VLOOKUP(ScoPo!T82,ScoPo!$G$150:$J$277,4,0),FIND(",",VLOOKUP(ScoPo!T82,ScoPo!$G$150:$J$277,4,0))-1),"")</f>
        <v/>
      </c>
      <c r="C80">
        <f>IF(ScoPo!K82&gt;0,IF(ScoPo!K82=1,ScoPo!N82,-ScoPo!O82),0)</f>
        <v>0</v>
      </c>
    </row>
    <row r="81" spans="1:3">
      <c r="A81" t="str">
        <f>IF(B81="","",IF(AND(ScoPo!S83&gt;0,ScoPo!S83&lt;='Results Export'!$B$1),LEFT(VLOOKUP(ScoPo!S83,ScoPo!$G$150:$J$277,4,0),FIND(",",VLOOKUP(ScoPo!S83,ScoPo!$G$150:$J$277,4,0))-1),""))</f>
        <v/>
      </c>
      <c r="B81" t="str">
        <f>IF(AND(ScoPo!T83&gt;0,ScoPo!T83&lt;='Results Export'!$B$1),LEFT(VLOOKUP(ScoPo!T83,ScoPo!$G$150:$J$277,4,0),FIND(",",VLOOKUP(ScoPo!T83,ScoPo!$G$150:$J$277,4,0))-1),"")</f>
        <v/>
      </c>
      <c r="C81">
        <f>IF(ScoPo!K83&gt;0,IF(ScoPo!K83=1,ScoPo!N83,-ScoPo!O83),0)</f>
        <v>0</v>
      </c>
    </row>
    <row r="82" spans="1:3">
      <c r="A82" t="str">
        <f>IF(B82="","",IF(AND(ScoPo!S84&gt;0,ScoPo!S84&lt;='Results Export'!$B$1),LEFT(VLOOKUP(ScoPo!S84,ScoPo!$G$150:$J$277,4,0),FIND(",",VLOOKUP(ScoPo!S84,ScoPo!$G$150:$J$277,4,0))-1),""))</f>
        <v/>
      </c>
      <c r="B82" t="str">
        <f>IF(AND(ScoPo!T84&gt;0,ScoPo!T84&lt;='Results Export'!$B$1),LEFT(VLOOKUP(ScoPo!T84,ScoPo!$G$150:$J$277,4,0),FIND(",",VLOOKUP(ScoPo!T84,ScoPo!$G$150:$J$277,4,0))-1),"")</f>
        <v/>
      </c>
      <c r="C82">
        <f>IF(ScoPo!K84&gt;0,IF(ScoPo!K84=1,ScoPo!N84,-ScoPo!O84),0)</f>
        <v>0</v>
      </c>
    </row>
    <row r="83" spans="1:3">
      <c r="A83" t="str">
        <f>IF(B83="","",IF(AND(ScoPo!S85&gt;0,ScoPo!S85&lt;='Results Export'!$B$1),LEFT(VLOOKUP(ScoPo!S85,ScoPo!$G$150:$J$277,4,0),FIND(",",VLOOKUP(ScoPo!S85,ScoPo!$G$150:$J$277,4,0))-1),""))</f>
        <v/>
      </c>
      <c r="B83" t="str">
        <f>IF(AND(ScoPo!T85&gt;0,ScoPo!T85&lt;='Results Export'!$B$1),LEFT(VLOOKUP(ScoPo!T85,ScoPo!$G$150:$J$277,4,0),FIND(",",VLOOKUP(ScoPo!T85,ScoPo!$G$150:$J$277,4,0))-1),"")</f>
        <v/>
      </c>
      <c r="C83">
        <f>IF(ScoPo!K85&gt;0,IF(ScoPo!K85=1,ScoPo!N85,-ScoPo!O85),0)</f>
        <v>0</v>
      </c>
    </row>
    <row r="84" spans="1:3">
      <c r="A84" t="str">
        <f>IF(B84="","",IF(AND(ScoPo!S86&gt;0,ScoPo!S86&lt;='Results Export'!$B$1),LEFT(VLOOKUP(ScoPo!S86,ScoPo!$G$150:$J$277,4,0),FIND(",",VLOOKUP(ScoPo!S86,ScoPo!$G$150:$J$277,4,0))-1),""))</f>
        <v/>
      </c>
      <c r="B84" t="str">
        <f>IF(AND(ScoPo!T86&gt;0,ScoPo!T86&lt;='Results Export'!$B$1),LEFT(VLOOKUP(ScoPo!T86,ScoPo!$G$150:$J$277,4,0),FIND(",",VLOOKUP(ScoPo!T86,ScoPo!$G$150:$J$277,4,0))-1),"")</f>
        <v/>
      </c>
      <c r="C84">
        <f>IF(ScoPo!K86&gt;0,IF(ScoPo!K86=1,ScoPo!N86,-ScoPo!O86),0)</f>
        <v>0</v>
      </c>
    </row>
    <row r="85" spans="1:3">
      <c r="A85" t="str">
        <f>IF(B85="","",IF(AND(ScoPo!S87&gt;0,ScoPo!S87&lt;='Results Export'!$B$1),LEFT(VLOOKUP(ScoPo!S87,ScoPo!$G$150:$J$277,4,0),FIND(",",VLOOKUP(ScoPo!S87,ScoPo!$G$150:$J$277,4,0))-1),""))</f>
        <v/>
      </c>
      <c r="B85" t="str">
        <f>IF(AND(ScoPo!T87&gt;0,ScoPo!T87&lt;='Results Export'!$B$1),LEFT(VLOOKUP(ScoPo!T87,ScoPo!$G$150:$J$277,4,0),FIND(",",VLOOKUP(ScoPo!T87,ScoPo!$G$150:$J$277,4,0))-1),"")</f>
        <v/>
      </c>
      <c r="C85">
        <f>IF(ScoPo!K87&gt;0,IF(ScoPo!K87=1,ScoPo!N87,-ScoPo!O87),0)</f>
        <v>0</v>
      </c>
    </row>
    <row r="86" spans="1:3">
      <c r="A86" t="str">
        <f>IF(B86="","",IF(AND(ScoPo!S88&gt;0,ScoPo!S88&lt;='Results Export'!$B$1),LEFT(VLOOKUP(ScoPo!S88,ScoPo!$G$150:$J$277,4,0),FIND(",",VLOOKUP(ScoPo!S88,ScoPo!$G$150:$J$277,4,0))-1),""))</f>
        <v/>
      </c>
      <c r="B86" t="str">
        <f>IF(AND(ScoPo!T88&gt;0,ScoPo!T88&lt;='Results Export'!$B$1),LEFT(VLOOKUP(ScoPo!T88,ScoPo!$G$150:$J$277,4,0),FIND(",",VLOOKUP(ScoPo!T88,ScoPo!$G$150:$J$277,4,0))-1),"")</f>
        <v/>
      </c>
      <c r="C86">
        <f>IF(ScoPo!K88&gt;0,IF(ScoPo!K88=1,ScoPo!N88,-ScoPo!O88),0)</f>
        <v>0</v>
      </c>
    </row>
    <row r="87" spans="1:3">
      <c r="A87" t="str">
        <f>IF(B87="","",IF(AND(ScoPo!S89&gt;0,ScoPo!S89&lt;='Results Export'!$B$1),LEFT(VLOOKUP(ScoPo!S89,ScoPo!$G$150:$J$277,4,0),FIND(",",VLOOKUP(ScoPo!S89,ScoPo!$G$150:$J$277,4,0))-1),""))</f>
        <v/>
      </c>
      <c r="B87" t="str">
        <f>IF(AND(ScoPo!T89&gt;0,ScoPo!T89&lt;='Results Export'!$B$1),LEFT(VLOOKUP(ScoPo!T89,ScoPo!$G$150:$J$277,4,0),FIND(",",VLOOKUP(ScoPo!T89,ScoPo!$G$150:$J$277,4,0))-1),"")</f>
        <v/>
      </c>
      <c r="C87">
        <f>IF(ScoPo!K89&gt;0,IF(ScoPo!K89=1,ScoPo!N89,-ScoPo!O89),0)</f>
        <v>0</v>
      </c>
    </row>
    <row r="88" spans="1:3">
      <c r="A88" t="str">
        <f>IF(B88="","",IF(AND(ScoPo!S90&gt;0,ScoPo!S90&lt;='Results Export'!$B$1),LEFT(VLOOKUP(ScoPo!S90,ScoPo!$G$150:$J$277,4,0),FIND(",",VLOOKUP(ScoPo!S90,ScoPo!$G$150:$J$277,4,0))-1),""))</f>
        <v/>
      </c>
      <c r="B88" t="str">
        <f>IF(AND(ScoPo!T90&gt;0,ScoPo!T90&lt;='Results Export'!$B$1),LEFT(VLOOKUP(ScoPo!T90,ScoPo!$G$150:$J$277,4,0),FIND(",",VLOOKUP(ScoPo!T90,ScoPo!$G$150:$J$277,4,0))-1),"")</f>
        <v/>
      </c>
      <c r="C88">
        <f>IF(ScoPo!K90&gt;0,IF(ScoPo!K90=1,ScoPo!N90,-ScoPo!O90),0)</f>
        <v>0</v>
      </c>
    </row>
    <row r="89" spans="1:3">
      <c r="A89" t="str">
        <f>IF(B89="","",IF(AND(ScoPo!S91&gt;0,ScoPo!S91&lt;='Results Export'!$B$1),LEFT(VLOOKUP(ScoPo!S91,ScoPo!$G$150:$J$277,4,0),FIND(",",VLOOKUP(ScoPo!S91,ScoPo!$G$150:$J$277,4,0))-1),""))</f>
        <v/>
      </c>
      <c r="B89" t="str">
        <f>IF(AND(ScoPo!T91&gt;0,ScoPo!T91&lt;='Results Export'!$B$1),LEFT(VLOOKUP(ScoPo!T91,ScoPo!$G$150:$J$277,4,0),FIND(",",VLOOKUP(ScoPo!T91,ScoPo!$G$150:$J$277,4,0))-1),"")</f>
        <v/>
      </c>
      <c r="C89">
        <f>IF(ScoPo!K91&gt;0,IF(ScoPo!K91=1,ScoPo!N91,-ScoPo!O91),0)</f>
        <v>0</v>
      </c>
    </row>
    <row r="90" spans="1:3">
      <c r="A90" t="str">
        <f>IF(B90="","",IF(AND(ScoPo!S92&gt;0,ScoPo!S92&lt;='Results Export'!$B$1),LEFT(VLOOKUP(ScoPo!S92,ScoPo!$G$150:$J$277,4,0),FIND(",",VLOOKUP(ScoPo!S92,ScoPo!$G$150:$J$277,4,0))-1),""))</f>
        <v/>
      </c>
      <c r="B90" t="str">
        <f>IF(AND(ScoPo!T92&gt;0,ScoPo!T92&lt;='Results Export'!$B$1),LEFT(VLOOKUP(ScoPo!T92,ScoPo!$G$150:$J$277,4,0),FIND(",",VLOOKUP(ScoPo!T92,ScoPo!$G$150:$J$277,4,0))-1),"")</f>
        <v/>
      </c>
      <c r="C90">
        <f>IF(ScoPo!K92&gt;0,IF(ScoPo!K92=1,ScoPo!N92,-ScoPo!O92),0)</f>
        <v>0</v>
      </c>
    </row>
    <row r="91" spans="1:3">
      <c r="A91" t="str">
        <f>IF(B91="","",IF(AND(ScoPo!S93&gt;0,ScoPo!S93&lt;='Results Export'!$B$1),LEFT(VLOOKUP(ScoPo!S93,ScoPo!$G$150:$J$277,4,0),FIND(",",VLOOKUP(ScoPo!S93,ScoPo!$G$150:$J$277,4,0))-1),""))</f>
        <v/>
      </c>
      <c r="B91" t="str">
        <f>IF(AND(ScoPo!T93&gt;0,ScoPo!T93&lt;='Results Export'!$B$1),LEFT(VLOOKUP(ScoPo!T93,ScoPo!$G$150:$J$277,4,0),FIND(",",VLOOKUP(ScoPo!T93,ScoPo!$G$150:$J$277,4,0))-1),"")</f>
        <v/>
      </c>
      <c r="C91">
        <f>IF(ScoPo!K93&gt;0,IF(ScoPo!K93=1,ScoPo!N93,-ScoPo!O93),0)</f>
        <v>0</v>
      </c>
    </row>
    <row r="92" spans="1:3">
      <c r="A92" t="str">
        <f>IF(B92="","",IF(AND(ScoPo!S94&gt;0,ScoPo!S94&lt;='Results Export'!$B$1),LEFT(VLOOKUP(ScoPo!S94,ScoPo!$G$150:$J$277,4,0),FIND(",",VLOOKUP(ScoPo!S94,ScoPo!$G$150:$J$277,4,0))-1),""))</f>
        <v/>
      </c>
      <c r="B92" t="str">
        <f>IF(AND(ScoPo!T94&gt;0,ScoPo!T94&lt;='Results Export'!$B$1),LEFT(VLOOKUP(ScoPo!T94,ScoPo!$G$150:$J$277,4,0),FIND(",",VLOOKUP(ScoPo!T94,ScoPo!$G$150:$J$277,4,0))-1),"")</f>
        <v/>
      </c>
      <c r="C92">
        <f>IF(ScoPo!K94&gt;0,IF(ScoPo!K94=1,ScoPo!N94,-ScoPo!O94),0)</f>
        <v>0</v>
      </c>
    </row>
    <row r="93" spans="1:3">
      <c r="A93" t="str">
        <f>IF(B93="","",IF(AND(ScoPo!S95&gt;0,ScoPo!S95&lt;='Results Export'!$B$1),LEFT(VLOOKUP(ScoPo!S95,ScoPo!$G$150:$J$277,4,0),FIND(",",VLOOKUP(ScoPo!S95,ScoPo!$G$150:$J$277,4,0))-1),""))</f>
        <v/>
      </c>
      <c r="B93" t="str">
        <f>IF(AND(ScoPo!T95&gt;0,ScoPo!T95&lt;='Results Export'!$B$1),LEFT(VLOOKUP(ScoPo!T95,ScoPo!$G$150:$J$277,4,0),FIND(",",VLOOKUP(ScoPo!T95,ScoPo!$G$150:$J$277,4,0))-1),"")</f>
        <v/>
      </c>
      <c r="C93">
        <f>IF(ScoPo!K95&gt;0,IF(ScoPo!K95=1,ScoPo!N95,-ScoPo!O95),0)</f>
        <v>0</v>
      </c>
    </row>
    <row r="94" spans="1:3">
      <c r="A94" t="str">
        <f>IF(B94="","",IF(AND(ScoPo!S96&gt;0,ScoPo!S96&lt;='Results Export'!$B$1),LEFT(VLOOKUP(ScoPo!S96,ScoPo!$G$150:$J$277,4,0),FIND(",",VLOOKUP(ScoPo!S96,ScoPo!$G$150:$J$277,4,0))-1),""))</f>
        <v/>
      </c>
      <c r="B94" t="str">
        <f>IF(AND(ScoPo!T96&gt;0,ScoPo!T96&lt;='Results Export'!$B$1),LEFT(VLOOKUP(ScoPo!T96,ScoPo!$G$150:$J$277,4,0),FIND(",",VLOOKUP(ScoPo!T96,ScoPo!$G$150:$J$277,4,0))-1),"")</f>
        <v/>
      </c>
      <c r="C94">
        <f>IF(ScoPo!K96&gt;0,IF(ScoPo!K96=1,ScoPo!N96,-ScoPo!O96),0)</f>
        <v>0</v>
      </c>
    </row>
    <row r="95" spans="1:3">
      <c r="A95" t="str">
        <f>IF(B95="","",IF(AND(ScoPo!S97&gt;0,ScoPo!S97&lt;='Results Export'!$B$1),LEFT(VLOOKUP(ScoPo!S97,ScoPo!$G$150:$J$277,4,0),FIND(",",VLOOKUP(ScoPo!S97,ScoPo!$G$150:$J$277,4,0))-1),""))</f>
        <v/>
      </c>
      <c r="B95" t="str">
        <f>IF(AND(ScoPo!T97&gt;0,ScoPo!T97&lt;='Results Export'!$B$1),LEFT(VLOOKUP(ScoPo!T97,ScoPo!$G$150:$J$277,4,0),FIND(",",VLOOKUP(ScoPo!T97,ScoPo!$G$150:$J$277,4,0))-1),"")</f>
        <v/>
      </c>
      <c r="C95">
        <f>IF(ScoPo!K97&gt;0,IF(ScoPo!K97=1,ScoPo!N97,-ScoPo!O97),0)</f>
        <v>0</v>
      </c>
    </row>
    <row r="96" spans="1:3">
      <c r="A96" t="str">
        <f>IF(B96="","",IF(AND(ScoPo!S98&gt;0,ScoPo!S98&lt;='Results Export'!$B$1),LEFT(VLOOKUP(ScoPo!S98,ScoPo!$G$150:$J$277,4,0),FIND(",",VLOOKUP(ScoPo!S98,ScoPo!$G$150:$J$277,4,0))-1),""))</f>
        <v/>
      </c>
      <c r="B96" t="str">
        <f>IF(AND(ScoPo!T98&gt;0,ScoPo!T98&lt;='Results Export'!$B$1),LEFT(VLOOKUP(ScoPo!T98,ScoPo!$G$150:$J$277,4,0),FIND(",",VLOOKUP(ScoPo!T98,ScoPo!$G$150:$J$277,4,0))-1),"")</f>
        <v/>
      </c>
      <c r="C96">
        <f>IF(ScoPo!K98&gt;0,IF(ScoPo!K98=1,ScoPo!N98,-ScoPo!O98),0)</f>
        <v>0</v>
      </c>
    </row>
    <row r="97" spans="1:3">
      <c r="A97" t="str">
        <f>IF(B97="","",IF(AND(ScoPo!S99&gt;0,ScoPo!S99&lt;='Results Export'!$B$1),LEFT(VLOOKUP(ScoPo!S99,ScoPo!$G$150:$J$277,4,0),FIND(",",VLOOKUP(ScoPo!S99,ScoPo!$G$150:$J$277,4,0))-1),""))</f>
        <v/>
      </c>
      <c r="B97" t="str">
        <f>IF(AND(ScoPo!T99&gt;0,ScoPo!T99&lt;='Results Export'!$B$1),LEFT(VLOOKUP(ScoPo!T99,ScoPo!$G$150:$J$277,4,0),FIND(",",VLOOKUP(ScoPo!T99,ScoPo!$G$150:$J$277,4,0))-1),"")</f>
        <v/>
      </c>
      <c r="C97">
        <f>IF(ScoPo!K99&gt;0,IF(ScoPo!K99=1,ScoPo!N99,-ScoPo!O99),0)</f>
        <v>0</v>
      </c>
    </row>
    <row r="98" spans="1:3">
      <c r="A98" t="str">
        <f>IF(B98="","",IF(AND(ScoPo!S100&gt;0,ScoPo!S100&lt;='Results Export'!$B$1),LEFT(VLOOKUP(ScoPo!S100,ScoPo!$G$150:$J$277,4,0),FIND(",",VLOOKUP(ScoPo!S100,ScoPo!$G$150:$J$277,4,0))-1),""))</f>
        <v/>
      </c>
      <c r="B98" t="str">
        <f>IF(AND(ScoPo!T100&gt;0,ScoPo!T100&lt;='Results Export'!$B$1),LEFT(VLOOKUP(ScoPo!T100,ScoPo!$G$150:$J$277,4,0),FIND(",",VLOOKUP(ScoPo!T100,ScoPo!$G$150:$J$277,4,0))-1),"")</f>
        <v/>
      </c>
      <c r="C98">
        <f>IF(ScoPo!K100&gt;0,IF(ScoPo!K100=1,ScoPo!N100,-ScoPo!O100),0)</f>
        <v>0</v>
      </c>
    </row>
    <row r="99" spans="1:3">
      <c r="A99" t="str">
        <f>IF(B99="","",IF(AND(ScoPo!S101&gt;0,ScoPo!S101&lt;='Results Export'!$B$1),LEFT(VLOOKUP(ScoPo!S101,ScoPo!$G$150:$J$277,4,0),FIND(",",VLOOKUP(ScoPo!S101,ScoPo!$G$150:$J$277,4,0))-1),""))</f>
        <v/>
      </c>
      <c r="B99" t="str">
        <f>IF(AND(ScoPo!T101&gt;0,ScoPo!T101&lt;='Results Export'!$B$1),LEFT(VLOOKUP(ScoPo!T101,ScoPo!$G$150:$J$277,4,0),FIND(",",VLOOKUP(ScoPo!T101,ScoPo!$G$150:$J$277,4,0))-1),"")</f>
        <v/>
      </c>
      <c r="C99">
        <f>IF(ScoPo!K101&gt;0,IF(ScoPo!K101=1,ScoPo!N101,-ScoPo!O101),0)</f>
        <v>0</v>
      </c>
    </row>
    <row r="100" spans="1:3">
      <c r="A100" t="str">
        <f>IF(B100="","",IF(AND(ScoPo!S102&gt;0,ScoPo!S102&lt;='Results Export'!$B$1),LEFT(VLOOKUP(ScoPo!S102,ScoPo!$G$150:$J$277,4,0),FIND(",",VLOOKUP(ScoPo!S102,ScoPo!$G$150:$J$277,4,0))-1),""))</f>
        <v/>
      </c>
      <c r="B100" t="str">
        <f>IF(AND(ScoPo!T102&gt;0,ScoPo!T102&lt;='Results Export'!$B$1),LEFT(VLOOKUP(ScoPo!T102,ScoPo!$G$150:$J$277,4,0),FIND(",",VLOOKUP(ScoPo!T102,ScoPo!$G$150:$J$277,4,0))-1),"")</f>
        <v/>
      </c>
      <c r="C100">
        <f>IF(ScoPo!K102&gt;0,IF(ScoPo!K102=1,ScoPo!N102,-ScoPo!O102),0)</f>
        <v>0</v>
      </c>
    </row>
    <row r="101" spans="1:3">
      <c r="A101" t="str">
        <f>IF(B101="","",IF(AND(ScoPo!S103&gt;0,ScoPo!S103&lt;='Results Export'!$B$1),LEFT(VLOOKUP(ScoPo!S103,ScoPo!$G$150:$J$277,4,0),FIND(",",VLOOKUP(ScoPo!S103,ScoPo!$G$150:$J$277,4,0))-1),""))</f>
        <v/>
      </c>
      <c r="B101" t="str">
        <f>IF(AND(ScoPo!T103&gt;0,ScoPo!T103&lt;='Results Export'!$B$1),LEFT(VLOOKUP(ScoPo!T103,ScoPo!$G$150:$J$277,4,0),FIND(",",VLOOKUP(ScoPo!T103,ScoPo!$G$150:$J$277,4,0))-1),"")</f>
        <v/>
      </c>
      <c r="C101">
        <f>IF(ScoPo!K103&gt;0,IF(ScoPo!K103=1,ScoPo!N103,-ScoPo!O103),0)</f>
        <v>0</v>
      </c>
    </row>
    <row r="102" spans="1:3">
      <c r="A102" t="str">
        <f>IF(B102="","",IF(AND(ScoPo!S104&gt;0,ScoPo!S104&lt;='Results Export'!$B$1),LEFT(VLOOKUP(ScoPo!S104,ScoPo!$G$150:$J$277,4,0),FIND(",",VLOOKUP(ScoPo!S104,ScoPo!$G$150:$J$277,4,0))-1),""))</f>
        <v/>
      </c>
      <c r="B102" t="str">
        <f>IF(AND(ScoPo!T104&gt;0,ScoPo!T104&lt;='Results Export'!$B$1),LEFT(VLOOKUP(ScoPo!T104,ScoPo!$G$150:$J$277,4,0),FIND(",",VLOOKUP(ScoPo!T104,ScoPo!$G$150:$J$277,4,0))-1),"")</f>
        <v/>
      </c>
      <c r="C102">
        <f>IF(ScoPo!K104&gt;0,IF(ScoPo!K104=1,ScoPo!N104,-ScoPo!O104),0)</f>
        <v>0</v>
      </c>
    </row>
    <row r="103" spans="1:3">
      <c r="A103" t="str">
        <f>IF(B103="","",IF(AND(ScoPo!S105&gt;0,ScoPo!S105&lt;='Results Export'!$B$1),LEFT(VLOOKUP(ScoPo!S105,ScoPo!$G$150:$J$277,4,0),FIND(",",VLOOKUP(ScoPo!S105,ScoPo!$G$150:$J$277,4,0))-1),""))</f>
        <v/>
      </c>
      <c r="B103" t="str">
        <f>IF(AND(ScoPo!T105&gt;0,ScoPo!T105&lt;='Results Export'!$B$1),LEFT(VLOOKUP(ScoPo!T105,ScoPo!$G$150:$J$277,4,0),FIND(",",VLOOKUP(ScoPo!T105,ScoPo!$G$150:$J$277,4,0))-1),"")</f>
        <v/>
      </c>
      <c r="C103">
        <f>IF(ScoPo!K105&gt;0,IF(ScoPo!K105=1,ScoPo!N105,-ScoPo!O105),0)</f>
        <v>0</v>
      </c>
    </row>
    <row r="104" spans="1:3">
      <c r="A104" t="str">
        <f>IF(B104="","",IF(AND(ScoPo!S106&gt;0,ScoPo!S106&lt;='Results Export'!$B$1),LEFT(VLOOKUP(ScoPo!S106,ScoPo!$G$150:$J$277,4,0),FIND(",",VLOOKUP(ScoPo!S106,ScoPo!$G$150:$J$277,4,0))-1),""))</f>
        <v/>
      </c>
      <c r="B104" t="str">
        <f>IF(AND(ScoPo!T106&gt;0,ScoPo!T106&lt;='Results Export'!$B$1),LEFT(VLOOKUP(ScoPo!T106,ScoPo!$G$150:$J$277,4,0),FIND(",",VLOOKUP(ScoPo!T106,ScoPo!$G$150:$J$277,4,0))-1),"")</f>
        <v/>
      </c>
      <c r="C104">
        <f>IF(ScoPo!K106&gt;0,IF(ScoPo!K106=1,ScoPo!N106,-ScoPo!O106),0)</f>
        <v>0</v>
      </c>
    </row>
    <row r="105" spans="1:3">
      <c r="A105" t="str">
        <f>IF(B105="","",IF(AND(ScoPo!S107&gt;0,ScoPo!S107&lt;='Results Export'!$B$1),LEFT(VLOOKUP(ScoPo!S107,ScoPo!$G$150:$J$277,4,0),FIND(",",VLOOKUP(ScoPo!S107,ScoPo!$G$150:$J$277,4,0))-1),""))</f>
        <v/>
      </c>
      <c r="B105" t="str">
        <f>IF(AND(ScoPo!T107&gt;0,ScoPo!T107&lt;='Results Export'!$B$1),LEFT(VLOOKUP(ScoPo!T107,ScoPo!$G$150:$J$277,4,0),FIND(",",VLOOKUP(ScoPo!T107,ScoPo!$G$150:$J$277,4,0))-1),"")</f>
        <v/>
      </c>
      <c r="C105">
        <f>IF(ScoPo!K107&gt;0,IF(ScoPo!K107=1,ScoPo!N107,-ScoPo!O107),0)</f>
        <v>0</v>
      </c>
    </row>
    <row r="106" spans="1:3">
      <c r="A106" t="str">
        <f>IF(B106="","",IF(AND(ScoPo!S108&gt;0,ScoPo!S108&lt;='Results Export'!$B$1),LEFT(VLOOKUP(ScoPo!S108,ScoPo!$G$150:$J$277,4,0),FIND(",",VLOOKUP(ScoPo!S108,ScoPo!$G$150:$J$277,4,0))-1),""))</f>
        <v/>
      </c>
      <c r="B106" t="str">
        <f>IF(AND(ScoPo!T108&gt;0,ScoPo!T108&lt;='Results Export'!$B$1),LEFT(VLOOKUP(ScoPo!T108,ScoPo!$G$150:$J$277,4,0),FIND(",",VLOOKUP(ScoPo!T108,ScoPo!$G$150:$J$277,4,0))-1),"")</f>
        <v/>
      </c>
      <c r="C106">
        <f>IF(ScoPo!K108&gt;0,IF(ScoPo!K108=1,ScoPo!N108,-ScoPo!O108),0)</f>
        <v>0</v>
      </c>
    </row>
    <row r="107" spans="1:3">
      <c r="A107" t="str">
        <f>IF(B107="","",IF(AND(ScoPo!S109&gt;0,ScoPo!S109&lt;='Results Export'!$B$1),LEFT(VLOOKUP(ScoPo!S109,ScoPo!$G$150:$J$277,4,0),FIND(",",VLOOKUP(ScoPo!S109,ScoPo!$G$150:$J$277,4,0))-1),""))</f>
        <v/>
      </c>
      <c r="B107" t="str">
        <f>IF(AND(ScoPo!T109&gt;0,ScoPo!T109&lt;='Results Export'!$B$1),LEFT(VLOOKUP(ScoPo!T109,ScoPo!$G$150:$J$277,4,0),FIND(",",VLOOKUP(ScoPo!T109,ScoPo!$G$150:$J$277,4,0))-1),"")</f>
        <v/>
      </c>
      <c r="C107">
        <f>IF(ScoPo!K109&gt;0,IF(ScoPo!K109=1,ScoPo!N109,-ScoPo!O109),0)</f>
        <v>0</v>
      </c>
    </row>
    <row r="108" spans="1:3">
      <c r="A108" t="str">
        <f>IF(B108="","",IF(AND(ScoPo!S110&gt;0,ScoPo!S110&lt;='Results Export'!$B$1),LEFT(VLOOKUP(ScoPo!S110,ScoPo!$G$150:$J$277,4,0),FIND(",",VLOOKUP(ScoPo!S110,ScoPo!$G$150:$J$277,4,0))-1),""))</f>
        <v/>
      </c>
      <c r="B108" t="str">
        <f>IF(AND(ScoPo!T110&gt;0,ScoPo!T110&lt;='Results Export'!$B$1),LEFT(VLOOKUP(ScoPo!T110,ScoPo!$G$150:$J$277,4,0),FIND(",",VLOOKUP(ScoPo!T110,ScoPo!$G$150:$J$277,4,0))-1),"")</f>
        <v/>
      </c>
      <c r="C108">
        <f>IF(ScoPo!K110&gt;0,IF(ScoPo!K110=1,ScoPo!N110,-ScoPo!O110),0)</f>
        <v>0</v>
      </c>
    </row>
    <row r="109" spans="1:3">
      <c r="A109" t="str">
        <f>IF(B109="","",IF(AND(ScoPo!S111&gt;0,ScoPo!S111&lt;='Results Export'!$B$1),LEFT(VLOOKUP(ScoPo!S111,ScoPo!$G$150:$J$277,4,0),FIND(",",VLOOKUP(ScoPo!S111,ScoPo!$G$150:$J$277,4,0))-1),""))</f>
        <v/>
      </c>
      <c r="B109" t="str">
        <f>IF(AND(ScoPo!T111&gt;0,ScoPo!T111&lt;='Results Export'!$B$1),LEFT(VLOOKUP(ScoPo!T111,ScoPo!$G$150:$J$277,4,0),FIND(",",VLOOKUP(ScoPo!T111,ScoPo!$G$150:$J$277,4,0))-1),"")</f>
        <v/>
      </c>
      <c r="C109">
        <f>IF(ScoPo!K111&gt;0,IF(ScoPo!K111=1,ScoPo!N111,-ScoPo!O111),0)</f>
        <v>0</v>
      </c>
    </row>
    <row r="110" spans="1:3">
      <c r="A110" t="str">
        <f>IF(B110="","",IF(AND(ScoPo!S112&gt;0,ScoPo!S112&lt;='Results Export'!$B$1),LEFT(VLOOKUP(ScoPo!S112,ScoPo!$G$150:$J$277,4,0),FIND(",",VLOOKUP(ScoPo!S112,ScoPo!$G$150:$J$277,4,0))-1),""))</f>
        <v/>
      </c>
      <c r="B110" t="str">
        <f>IF(AND(ScoPo!T112&gt;0,ScoPo!T112&lt;='Results Export'!$B$1),LEFT(VLOOKUP(ScoPo!T112,ScoPo!$G$150:$J$277,4,0),FIND(",",VLOOKUP(ScoPo!T112,ScoPo!$G$150:$J$277,4,0))-1),"")</f>
        <v/>
      </c>
      <c r="C110">
        <f>IF(ScoPo!K112&gt;0,IF(ScoPo!K112=1,ScoPo!N112,-ScoPo!O112),0)</f>
        <v>0</v>
      </c>
    </row>
    <row r="111" spans="1:3">
      <c r="A111" t="str">
        <f>IF(B111="","",IF(AND(ScoPo!S113&gt;0,ScoPo!S113&lt;='Results Export'!$B$1),LEFT(VLOOKUP(ScoPo!S113,ScoPo!$G$150:$J$277,4,0),FIND(",",VLOOKUP(ScoPo!S113,ScoPo!$G$150:$J$277,4,0))-1),""))</f>
        <v/>
      </c>
      <c r="B111" t="str">
        <f>IF(AND(ScoPo!T113&gt;0,ScoPo!T113&lt;='Results Export'!$B$1),LEFT(VLOOKUP(ScoPo!T113,ScoPo!$G$150:$J$277,4,0),FIND(",",VLOOKUP(ScoPo!T113,ScoPo!$G$150:$J$277,4,0))-1),"")</f>
        <v/>
      </c>
      <c r="C111">
        <f>IF(ScoPo!K113&gt;0,IF(ScoPo!K113=1,ScoPo!N113,-ScoPo!O113),0)</f>
        <v>0</v>
      </c>
    </row>
    <row r="112" spans="1:3">
      <c r="A112" t="str">
        <f>IF(B112="","",IF(AND(ScoPo!S114&gt;0,ScoPo!S114&lt;='Results Export'!$B$1),LEFT(VLOOKUP(ScoPo!S114,ScoPo!$G$150:$J$277,4,0),FIND(",",VLOOKUP(ScoPo!S114,ScoPo!$G$150:$J$277,4,0))-1),""))</f>
        <v/>
      </c>
      <c r="B112" t="str">
        <f>IF(AND(ScoPo!T114&gt;0,ScoPo!T114&lt;='Results Export'!$B$1),LEFT(VLOOKUP(ScoPo!T114,ScoPo!$G$150:$J$277,4,0),FIND(",",VLOOKUP(ScoPo!T114,ScoPo!$G$150:$J$277,4,0))-1),"")</f>
        <v/>
      </c>
      <c r="C112">
        <f>IF(ScoPo!K114&gt;0,IF(ScoPo!K114=1,ScoPo!N114,-ScoPo!O114),0)</f>
        <v>0</v>
      </c>
    </row>
    <row r="113" spans="1:3">
      <c r="A113" t="str">
        <f>IF(B113="","",IF(AND(ScoPo!S115&gt;0,ScoPo!S115&lt;='Results Export'!$B$1),LEFT(VLOOKUP(ScoPo!S115,ScoPo!$G$150:$J$277,4,0),FIND(",",VLOOKUP(ScoPo!S115,ScoPo!$G$150:$J$277,4,0))-1),""))</f>
        <v/>
      </c>
      <c r="B113" t="str">
        <f>IF(AND(ScoPo!T115&gt;0,ScoPo!T115&lt;='Results Export'!$B$1),LEFT(VLOOKUP(ScoPo!T115,ScoPo!$G$150:$J$277,4,0),FIND(",",VLOOKUP(ScoPo!T115,ScoPo!$G$150:$J$277,4,0))-1),"")</f>
        <v/>
      </c>
      <c r="C113">
        <f>IF(ScoPo!K115&gt;0,IF(ScoPo!K115=1,ScoPo!N115,-ScoPo!O115),0)</f>
        <v>0</v>
      </c>
    </row>
    <row r="114" spans="1:3">
      <c r="A114" t="str">
        <f>IF(B114="","",IF(AND(ScoPo!S116&gt;0,ScoPo!S116&lt;='Results Export'!$B$1),LEFT(VLOOKUP(ScoPo!S116,ScoPo!$G$150:$J$277,4,0),FIND(",",VLOOKUP(ScoPo!S116,ScoPo!$G$150:$J$277,4,0))-1),""))</f>
        <v/>
      </c>
      <c r="B114" t="str">
        <f>IF(AND(ScoPo!T116&gt;0,ScoPo!T116&lt;='Results Export'!$B$1),LEFT(VLOOKUP(ScoPo!T116,ScoPo!$G$150:$J$277,4,0),FIND(",",VLOOKUP(ScoPo!T116,ScoPo!$G$150:$J$277,4,0))-1),"")</f>
        <v/>
      </c>
      <c r="C114">
        <f>IF(ScoPo!K116&gt;0,IF(ScoPo!K116=1,ScoPo!N116,-ScoPo!O116),0)</f>
        <v>0</v>
      </c>
    </row>
    <row r="115" spans="1:3">
      <c r="A115" t="str">
        <f>IF(B115="","",IF(AND(ScoPo!S117&gt;0,ScoPo!S117&lt;='Results Export'!$B$1),LEFT(VLOOKUP(ScoPo!S117,ScoPo!$G$150:$J$277,4,0),FIND(",",VLOOKUP(ScoPo!S117,ScoPo!$G$150:$J$277,4,0))-1),""))</f>
        <v/>
      </c>
      <c r="B115" t="str">
        <f>IF(AND(ScoPo!T117&gt;0,ScoPo!T117&lt;='Results Export'!$B$1),LEFT(VLOOKUP(ScoPo!T117,ScoPo!$G$150:$J$277,4,0),FIND(",",VLOOKUP(ScoPo!T117,ScoPo!$G$150:$J$277,4,0))-1),"")</f>
        <v/>
      </c>
      <c r="C115">
        <f>IF(ScoPo!K117&gt;0,IF(ScoPo!K117=1,ScoPo!N117,-ScoPo!O117),0)</f>
        <v>0</v>
      </c>
    </row>
    <row r="116" spans="1:3">
      <c r="A116" t="str">
        <f>IF(B116="","",IF(AND(ScoPo!S118&gt;0,ScoPo!S118&lt;='Results Export'!$B$1),LEFT(VLOOKUP(ScoPo!S118,ScoPo!$G$150:$J$277,4,0),FIND(",",VLOOKUP(ScoPo!S118,ScoPo!$G$150:$J$277,4,0))-1),""))</f>
        <v/>
      </c>
      <c r="B116" t="str">
        <f>IF(AND(ScoPo!T118&gt;0,ScoPo!T118&lt;='Results Export'!$B$1),LEFT(VLOOKUP(ScoPo!T118,ScoPo!$G$150:$J$277,4,0),FIND(",",VLOOKUP(ScoPo!T118,ScoPo!$G$150:$J$277,4,0))-1),"")</f>
        <v/>
      </c>
      <c r="C116">
        <f>IF(ScoPo!K118&gt;0,IF(ScoPo!K118=1,ScoPo!N118,-ScoPo!O118),0)</f>
        <v>0</v>
      </c>
    </row>
    <row r="117" spans="1:3">
      <c r="A117" t="str">
        <f>IF(B117="","",IF(AND(ScoPo!S119&gt;0,ScoPo!S119&lt;='Results Export'!$B$1),LEFT(VLOOKUP(ScoPo!S119,ScoPo!$G$150:$J$277,4,0),FIND(",",VLOOKUP(ScoPo!S119,ScoPo!$G$150:$J$277,4,0))-1),""))</f>
        <v/>
      </c>
      <c r="B117" t="str">
        <f>IF(AND(ScoPo!T119&gt;0,ScoPo!T119&lt;='Results Export'!$B$1),LEFT(VLOOKUP(ScoPo!T119,ScoPo!$G$150:$J$277,4,0),FIND(",",VLOOKUP(ScoPo!T119,ScoPo!$G$150:$J$277,4,0))-1),"")</f>
        <v/>
      </c>
      <c r="C117">
        <f>IF(ScoPo!K119&gt;0,IF(ScoPo!K119=1,ScoPo!N119,-ScoPo!O119),0)</f>
        <v>0</v>
      </c>
    </row>
    <row r="118" spans="1:3">
      <c r="A118" t="str">
        <f>IF(B118="","",IF(AND(ScoPo!S120&gt;0,ScoPo!S120&lt;='Results Export'!$B$1),LEFT(VLOOKUP(ScoPo!S120,ScoPo!$G$150:$J$277,4,0),FIND(",",VLOOKUP(ScoPo!S120,ScoPo!$G$150:$J$277,4,0))-1),""))</f>
        <v/>
      </c>
      <c r="B118" t="str">
        <f>IF(AND(ScoPo!T120&gt;0,ScoPo!T120&lt;='Results Export'!$B$1),LEFT(VLOOKUP(ScoPo!T120,ScoPo!$G$150:$J$277,4,0),FIND(",",VLOOKUP(ScoPo!T120,ScoPo!$G$150:$J$277,4,0))-1),"")</f>
        <v/>
      </c>
      <c r="C118">
        <f>IF(ScoPo!K120&gt;0,IF(ScoPo!K120=1,ScoPo!N120,-ScoPo!O120),0)</f>
        <v>0</v>
      </c>
    </row>
    <row r="119" spans="1:3">
      <c r="A119" t="str">
        <f>IF(B119="","",IF(AND(ScoPo!S121&gt;0,ScoPo!S121&lt;='Results Export'!$B$1),LEFT(VLOOKUP(ScoPo!S121,ScoPo!$G$150:$J$277,4,0),FIND(",",VLOOKUP(ScoPo!S121,ScoPo!$G$150:$J$277,4,0))-1),""))</f>
        <v/>
      </c>
      <c r="B119" t="str">
        <f>IF(AND(ScoPo!T121&gt;0,ScoPo!T121&lt;='Results Export'!$B$1),LEFT(VLOOKUP(ScoPo!T121,ScoPo!$G$150:$J$277,4,0),FIND(",",VLOOKUP(ScoPo!T121,ScoPo!$G$150:$J$277,4,0))-1),"")</f>
        <v/>
      </c>
      <c r="C119">
        <f>IF(ScoPo!K121&gt;0,IF(ScoPo!K121=1,ScoPo!N121,-ScoPo!O121),0)</f>
        <v>0</v>
      </c>
    </row>
    <row r="120" spans="1:3">
      <c r="A120" t="str">
        <f>IF(B120="","",IF(AND(ScoPo!S122&gt;0,ScoPo!S122&lt;='Results Export'!$B$1),LEFT(VLOOKUP(ScoPo!S122,ScoPo!$G$150:$J$277,4,0),FIND(",",VLOOKUP(ScoPo!S122,ScoPo!$G$150:$J$277,4,0))-1),""))</f>
        <v/>
      </c>
      <c r="B120" t="str">
        <f>IF(AND(ScoPo!T122&gt;0,ScoPo!T122&lt;='Results Export'!$B$1),LEFT(VLOOKUP(ScoPo!T122,ScoPo!$G$150:$J$277,4,0),FIND(",",VLOOKUP(ScoPo!T122,ScoPo!$G$150:$J$277,4,0))-1),"")</f>
        <v/>
      </c>
      <c r="C120">
        <f>IF(ScoPo!K122&gt;0,IF(ScoPo!K122=1,ScoPo!N122,-ScoPo!O122),0)</f>
        <v>0</v>
      </c>
    </row>
    <row r="121" spans="1:3">
      <c r="A121" t="str">
        <f>IF(B121="","",IF(AND(ScoPo!S123&gt;0,ScoPo!S123&lt;='Results Export'!$B$1),LEFT(VLOOKUP(ScoPo!S123,ScoPo!$G$150:$J$277,4,0),FIND(",",VLOOKUP(ScoPo!S123,ScoPo!$G$150:$J$277,4,0))-1),""))</f>
        <v/>
      </c>
      <c r="B121" t="str">
        <f>IF(AND(ScoPo!T123&gt;0,ScoPo!T123&lt;='Results Export'!$B$1),LEFT(VLOOKUP(ScoPo!T123,ScoPo!$G$150:$J$277,4,0),FIND(",",VLOOKUP(ScoPo!T123,ScoPo!$G$150:$J$277,4,0))-1),"")</f>
        <v/>
      </c>
      <c r="C121">
        <f>IF(ScoPo!K123&gt;0,IF(ScoPo!K123=1,ScoPo!N123,-ScoPo!O123),0)</f>
        <v>0</v>
      </c>
    </row>
    <row r="122" spans="1:3">
      <c r="A122" t="str">
        <f>IF(B122="","",IF(AND(ScoPo!S124&gt;0,ScoPo!S124&lt;='Results Export'!$B$1),LEFT(VLOOKUP(ScoPo!S124,ScoPo!$G$150:$J$277,4,0),FIND(",",VLOOKUP(ScoPo!S124,ScoPo!$G$150:$J$277,4,0))-1),""))</f>
        <v/>
      </c>
      <c r="B122" t="str">
        <f>IF(AND(ScoPo!T124&gt;0,ScoPo!T124&lt;='Results Export'!$B$1),LEFT(VLOOKUP(ScoPo!T124,ScoPo!$G$150:$J$277,4,0),FIND(",",VLOOKUP(ScoPo!T124,ScoPo!$G$150:$J$277,4,0))-1),"")</f>
        <v/>
      </c>
      <c r="C122">
        <f>IF(ScoPo!K124&gt;0,IF(ScoPo!K124=1,ScoPo!N124,-ScoPo!O124),0)</f>
        <v>0</v>
      </c>
    </row>
    <row r="123" spans="1:3">
      <c r="A123" t="str">
        <f>IF(B123="","",IF(AND(ScoPo!S125&gt;0,ScoPo!S125&lt;='Results Export'!$B$1),LEFT(VLOOKUP(ScoPo!S125,ScoPo!$G$150:$J$277,4,0),FIND(",",VLOOKUP(ScoPo!S125,ScoPo!$G$150:$J$277,4,0))-1),""))</f>
        <v/>
      </c>
      <c r="B123" t="str">
        <f>IF(AND(ScoPo!T125&gt;0,ScoPo!T125&lt;='Results Export'!$B$1),LEFT(VLOOKUP(ScoPo!T125,ScoPo!$G$150:$J$277,4,0),FIND(",",VLOOKUP(ScoPo!T125,ScoPo!$G$150:$J$277,4,0))-1),"")</f>
        <v/>
      </c>
      <c r="C123">
        <f>IF(ScoPo!K125&gt;0,IF(ScoPo!K125=1,ScoPo!N125,-ScoPo!O125),0)</f>
        <v>0</v>
      </c>
    </row>
    <row r="124" spans="1:3">
      <c r="A124" t="str">
        <f>IF(B124="","",IF(AND(ScoPo!S126&gt;0,ScoPo!S126&lt;='Results Export'!$B$1),LEFT(VLOOKUP(ScoPo!S126,ScoPo!$G$150:$J$277,4,0),FIND(",",VLOOKUP(ScoPo!S126,ScoPo!$G$150:$J$277,4,0))-1),""))</f>
        <v/>
      </c>
      <c r="B124" t="str">
        <f>IF(AND(ScoPo!T126&gt;0,ScoPo!T126&lt;='Results Export'!$B$1),LEFT(VLOOKUP(ScoPo!T126,ScoPo!$G$150:$J$277,4,0),FIND(",",VLOOKUP(ScoPo!T126,ScoPo!$G$150:$J$277,4,0))-1),"")</f>
        <v/>
      </c>
      <c r="C124">
        <f>IF(ScoPo!K126&gt;0,IF(ScoPo!K126=1,ScoPo!N126,-ScoPo!O126),0)</f>
        <v>0</v>
      </c>
    </row>
    <row r="125" spans="1:3">
      <c r="A125" t="str">
        <f>IF(B125="","",IF(AND(ScoPo!S127&gt;0,ScoPo!S127&lt;='Results Export'!$B$1),LEFT(VLOOKUP(ScoPo!S127,ScoPo!$G$150:$J$277,4,0),FIND(",",VLOOKUP(ScoPo!S127,ScoPo!$G$150:$J$277,4,0))-1),""))</f>
        <v/>
      </c>
      <c r="B125" t="str">
        <f>IF(AND(ScoPo!T127&gt;0,ScoPo!T127&lt;='Results Export'!$B$1),LEFT(VLOOKUP(ScoPo!T127,ScoPo!$G$150:$J$277,4,0),FIND(",",VLOOKUP(ScoPo!T127,ScoPo!$G$150:$J$277,4,0))-1),"")</f>
        <v/>
      </c>
      <c r="C125">
        <f>IF(ScoPo!K127&gt;0,IF(ScoPo!K127=1,ScoPo!N127,-ScoPo!O127),0)</f>
        <v>0</v>
      </c>
    </row>
    <row r="126" spans="1:3">
      <c r="A126" t="str">
        <f>IF(B126="","",IF(AND(ScoPo!S128&gt;0,ScoPo!S128&lt;='Results Export'!$B$1),LEFT(VLOOKUP(ScoPo!S128,ScoPo!$G$150:$J$277,4,0),FIND(",",VLOOKUP(ScoPo!S128,ScoPo!$G$150:$J$277,4,0))-1),""))</f>
        <v/>
      </c>
      <c r="B126" t="str">
        <f>IF(AND(ScoPo!T128&gt;0,ScoPo!T128&lt;='Results Export'!$B$1),LEFT(VLOOKUP(ScoPo!T128,ScoPo!$G$150:$J$277,4,0),FIND(",",VLOOKUP(ScoPo!T128,ScoPo!$G$150:$J$277,4,0))-1),"")</f>
        <v/>
      </c>
      <c r="C126">
        <f>IF(ScoPo!K128&gt;0,IF(ScoPo!K128=1,ScoPo!N128,-ScoPo!O128),0)</f>
        <v>0</v>
      </c>
    </row>
    <row r="127" spans="1:3">
      <c r="A127" t="str">
        <f>IF(B127="","",IF(AND(ScoPo!S129&gt;0,ScoPo!S129&lt;='Results Export'!$B$1),LEFT(VLOOKUP(ScoPo!S129,ScoPo!$G$150:$J$277,4,0),FIND(",",VLOOKUP(ScoPo!S129,ScoPo!$G$150:$J$277,4,0))-1),""))</f>
        <v/>
      </c>
      <c r="B127" t="str">
        <f>IF(AND(ScoPo!T129&gt;0,ScoPo!T129&lt;='Results Export'!$B$1),LEFT(VLOOKUP(ScoPo!T129,ScoPo!$G$150:$J$277,4,0),FIND(",",VLOOKUP(ScoPo!T129,ScoPo!$G$150:$J$277,4,0))-1),"")</f>
        <v/>
      </c>
      <c r="C127">
        <f>IF(ScoPo!K129&gt;0,IF(ScoPo!K129=1,ScoPo!N129,-ScoPo!O129),0)</f>
        <v>0</v>
      </c>
    </row>
    <row r="128" spans="1:3">
      <c r="A128" t="str">
        <f>IF(B128="","",IF(AND(ScoPo!S130&gt;0,ScoPo!S130&lt;='Results Export'!$B$1),LEFT(VLOOKUP(ScoPo!S130,ScoPo!$G$150:$J$277,4,0),FIND(",",VLOOKUP(ScoPo!S130,ScoPo!$G$150:$J$277,4,0))-1),""))</f>
        <v/>
      </c>
      <c r="B128" t="str">
        <f>IF(AND(ScoPo!T130&gt;0,ScoPo!T130&lt;='Results Export'!$B$1),LEFT(VLOOKUP(ScoPo!T130,ScoPo!$G$150:$J$277,4,0),FIND(",",VLOOKUP(ScoPo!T130,ScoPo!$G$150:$J$277,4,0))-1),"")</f>
        <v/>
      </c>
      <c r="C128">
        <f>IF(ScoPo!K130&gt;0,IF(ScoPo!K130=1,ScoPo!N130,-ScoPo!O130),0)</f>
        <v>0</v>
      </c>
    </row>
    <row r="129" spans="1:3">
      <c r="A129" t="str">
        <f>IF(B129="","",IF(AND(ScoPo!S131&gt;0,ScoPo!S131&lt;='Results Export'!$B$1),LEFT(VLOOKUP(ScoPo!S131,ScoPo!$G$150:$J$277,4,0),FIND(",",VLOOKUP(ScoPo!S131,ScoPo!$G$150:$J$277,4,0))-1),""))</f>
        <v/>
      </c>
      <c r="B129" t="str">
        <f>IF(AND(ScoPo!T131&gt;0,ScoPo!T131&lt;='Results Export'!$B$1),LEFT(VLOOKUP(ScoPo!T131,ScoPo!$G$150:$J$277,4,0),FIND(",",VLOOKUP(ScoPo!T131,ScoPo!$G$150:$J$277,4,0))-1),"")</f>
        <v/>
      </c>
      <c r="C129">
        <f>IF(ScoPo!K131&gt;0,IF(ScoPo!K131=1,ScoPo!N131,-ScoPo!O131),0)</f>
        <v>0</v>
      </c>
    </row>
    <row r="130" spans="1:3">
      <c r="A130" t="str">
        <f>IF(B130="","",IF(AND(ScoPo!S132&gt;0,ScoPo!S132&lt;='Results Export'!$B$1),LEFT(VLOOKUP(ScoPo!S132,ScoPo!$G$150:$J$277,4,0),FIND(",",VLOOKUP(ScoPo!S132,ScoPo!$G$150:$J$277,4,0))-1),""))</f>
        <v/>
      </c>
      <c r="B130" t="str">
        <f>IF(AND(ScoPo!T132&gt;0,ScoPo!T132&lt;='Results Export'!$B$1),LEFT(VLOOKUP(ScoPo!T132,ScoPo!$G$150:$J$277,4,0),FIND(",",VLOOKUP(ScoPo!T132,ScoPo!$G$150:$J$277,4,0))-1),"")</f>
        <v/>
      </c>
      <c r="C130">
        <f>IF(ScoPo!K132&gt;0,IF(ScoPo!K132=1,ScoPo!N132,-ScoPo!O132),0)</f>
        <v>0</v>
      </c>
    </row>
    <row r="131" spans="1:3">
      <c r="A131" t="str">
        <f>IF(B131="","",IF(AND(ScoPo!S133&gt;0,ScoPo!S133&lt;='Results Export'!$B$1),LEFT(VLOOKUP(ScoPo!S133,ScoPo!$G$150:$J$277,4,0),FIND(",",VLOOKUP(ScoPo!S133,ScoPo!$G$150:$J$277,4,0))-1),""))</f>
        <v/>
      </c>
      <c r="B131" t="str">
        <f>IF(AND(ScoPo!T133&gt;0,ScoPo!T133&lt;='Results Export'!$B$1),LEFT(VLOOKUP(ScoPo!T133,ScoPo!$G$150:$J$277,4,0),FIND(",",VLOOKUP(ScoPo!T133,ScoPo!$G$150:$J$277,4,0))-1),"")</f>
        <v/>
      </c>
      <c r="C131">
        <f>IF(ScoPo!K133&gt;0,IF(ScoPo!K133=1,ScoPo!N133,-ScoPo!O133),0)</f>
        <v>0</v>
      </c>
    </row>
    <row r="132" spans="1:3">
      <c r="A132" t="str">
        <f>IF(B132="","",IF(AND(ScoPo!S134&gt;0,ScoPo!S134&lt;='Results Export'!$B$1),LEFT(VLOOKUP(ScoPo!S134,ScoPo!$G$150:$J$277,4,0),FIND(",",VLOOKUP(ScoPo!S134,ScoPo!$G$150:$J$277,4,0))-1),""))</f>
        <v/>
      </c>
      <c r="B132" t="str">
        <f>IF(AND(ScoPo!T134&gt;0,ScoPo!T134&lt;='Results Export'!$B$1),LEFT(VLOOKUP(ScoPo!T134,ScoPo!$G$150:$J$277,4,0),FIND(",",VLOOKUP(ScoPo!T134,ScoPo!$G$150:$J$277,4,0))-1),"")</f>
        <v/>
      </c>
      <c r="C132">
        <f>IF(ScoPo!K134&gt;0,IF(ScoPo!K134=1,ScoPo!N134,-ScoPo!O134),0)</f>
        <v>0</v>
      </c>
    </row>
    <row r="133" spans="1:3">
      <c r="A133" t="str">
        <f>IF(B133="","",IF(AND(ScoPo!S135&gt;0,ScoPo!S135&lt;='Results Export'!$B$1),LEFT(VLOOKUP(ScoPo!S135,ScoPo!$G$150:$J$277,4,0),FIND(",",VLOOKUP(ScoPo!S135,ScoPo!$G$150:$J$277,4,0))-1),""))</f>
        <v/>
      </c>
      <c r="B133" t="str">
        <f>IF(AND(ScoPo!T135&gt;0,ScoPo!T135&lt;='Results Export'!$B$1),LEFT(VLOOKUP(ScoPo!T135,ScoPo!$G$150:$J$277,4,0),FIND(",",VLOOKUP(ScoPo!T135,ScoPo!$G$150:$J$277,4,0))-1),"")</f>
        <v/>
      </c>
      <c r="C133">
        <f>IF(ScoPo!K135&gt;0,IF(ScoPo!K135=1,ScoPo!N135,-ScoPo!O135),0)</f>
        <v>0</v>
      </c>
    </row>
    <row r="134" spans="1:3">
      <c r="A134" t="str">
        <f>IF(B134="","",IF(AND(ScoPo!S136&gt;0,ScoPo!S136&lt;='Results Export'!$B$1),LEFT(VLOOKUP(ScoPo!S136,ScoPo!$G$150:$J$277,4,0),FIND(",",VLOOKUP(ScoPo!S136,ScoPo!$G$150:$J$277,4,0))-1),""))</f>
        <v/>
      </c>
      <c r="B134" t="str">
        <f>IF(AND(ScoPo!T136&gt;0,ScoPo!T136&lt;='Results Export'!$B$1),LEFT(VLOOKUP(ScoPo!T136,ScoPo!$G$150:$J$277,4,0),FIND(",",VLOOKUP(ScoPo!T136,ScoPo!$G$150:$J$277,4,0))-1),"")</f>
        <v/>
      </c>
      <c r="C134">
        <f>IF(ScoPo!K136&gt;0,IF(ScoPo!K136=1,ScoPo!N136,-ScoPo!O136),0)</f>
        <v>0</v>
      </c>
    </row>
    <row r="135" spans="1:3">
      <c r="A135" t="str">
        <f>IF(B135="","",IF(AND(ScoPo!S137&gt;0,ScoPo!S137&lt;='Results Export'!$B$1),LEFT(VLOOKUP(ScoPo!S137,ScoPo!$G$150:$J$277,4,0),FIND(",",VLOOKUP(ScoPo!S137,ScoPo!$G$150:$J$277,4,0))-1),""))</f>
        <v/>
      </c>
      <c r="B135" t="str">
        <f>IF(AND(ScoPo!T137&gt;0,ScoPo!T137&lt;='Results Export'!$B$1),LEFT(VLOOKUP(ScoPo!T137,ScoPo!$G$150:$J$277,4,0),FIND(",",VLOOKUP(ScoPo!T137,ScoPo!$G$150:$J$277,4,0))-1),"")</f>
        <v/>
      </c>
      <c r="C135">
        <f>IF(ScoPo!K137&gt;0,IF(ScoPo!K137=1,ScoPo!N137,-ScoPo!O137),0)</f>
        <v>0</v>
      </c>
    </row>
    <row r="136" spans="1:3">
      <c r="A136" t="str">
        <f>IF(B136="","",IF(AND(ScoPo!S138&gt;0,ScoPo!S138&lt;='Results Export'!$B$1),LEFT(VLOOKUP(ScoPo!S138,ScoPo!$G$150:$J$277,4,0),FIND(",",VLOOKUP(ScoPo!S138,ScoPo!$G$150:$J$277,4,0))-1),""))</f>
        <v/>
      </c>
      <c r="B136" t="str">
        <f>IF(AND(ScoPo!T138&gt;0,ScoPo!T138&lt;='Results Export'!$B$1),LEFT(VLOOKUP(ScoPo!T138,ScoPo!$G$150:$J$277,4,0),FIND(",",VLOOKUP(ScoPo!T138,ScoPo!$G$150:$J$277,4,0))-1),"")</f>
        <v/>
      </c>
      <c r="C136">
        <f>IF(ScoPo!K138&gt;0,IF(ScoPo!K138=1,ScoPo!N138,-ScoPo!O138),0)</f>
        <v>0</v>
      </c>
    </row>
    <row r="137" spans="1:3">
      <c r="A137" t="str">
        <f>IF(B137="","",IF(AND(ScoPo!S139&gt;0,ScoPo!S139&lt;='Results Export'!$B$1),LEFT(VLOOKUP(ScoPo!S139,ScoPo!$G$150:$J$277,4,0),FIND(",",VLOOKUP(ScoPo!S139,ScoPo!$G$150:$J$277,4,0))-1),""))</f>
        <v/>
      </c>
      <c r="B137" t="str">
        <f>IF(AND(ScoPo!T139&gt;0,ScoPo!T139&lt;='Results Export'!$B$1),LEFT(VLOOKUP(ScoPo!T139,ScoPo!$G$150:$J$277,4,0),FIND(",",VLOOKUP(ScoPo!T139,ScoPo!$G$150:$J$277,4,0))-1),"")</f>
        <v/>
      </c>
      <c r="C137">
        <f>IF(ScoPo!K139&gt;0,IF(ScoPo!K139=1,ScoPo!N139,-ScoPo!O139),0)</f>
        <v>0</v>
      </c>
    </row>
    <row r="138" spans="1:3">
      <c r="A138" t="str">
        <f>IF(B138="","",IF(AND(ScoPo!S140&gt;0,ScoPo!S140&lt;='Results Export'!$B$1),LEFT(VLOOKUP(ScoPo!S140,ScoPo!$G$150:$J$277,4,0),FIND(",",VLOOKUP(ScoPo!S140,ScoPo!$G$150:$J$277,4,0))-1),""))</f>
        <v/>
      </c>
      <c r="B138" t="str">
        <f>IF(AND(ScoPo!T140&gt;0,ScoPo!T140&lt;='Results Export'!$B$1),LEFT(VLOOKUP(ScoPo!T140,ScoPo!$G$150:$J$277,4,0),FIND(",",VLOOKUP(ScoPo!T140,ScoPo!$G$150:$J$277,4,0))-1),"")</f>
        <v/>
      </c>
      <c r="C138">
        <f>IF(ScoPo!K140&gt;0,IF(ScoPo!K140=1,ScoPo!N140,-ScoPo!O140),0)</f>
        <v>0</v>
      </c>
    </row>
    <row r="139" spans="1:3">
      <c r="A139" t="str">
        <f>IF(B139="","",IF(AND(ScoPo!S141&gt;0,ScoPo!S141&lt;='Results Export'!$B$1),LEFT(VLOOKUP(ScoPo!S141,ScoPo!$G$150:$J$277,4,0),FIND(",",VLOOKUP(ScoPo!S141,ScoPo!$G$150:$J$277,4,0))-1),""))</f>
        <v/>
      </c>
      <c r="B139" t="str">
        <f>IF(AND(ScoPo!T141&gt;0,ScoPo!T141&lt;='Results Export'!$B$1),LEFT(VLOOKUP(ScoPo!T141,ScoPo!$G$150:$J$277,4,0),FIND(",",VLOOKUP(ScoPo!T141,ScoPo!$G$150:$J$277,4,0))-1),"")</f>
        <v/>
      </c>
      <c r="C139">
        <f>IF(ScoPo!K141&gt;0,IF(ScoPo!K141=1,ScoPo!N141,-ScoPo!O141),0)</f>
        <v>0</v>
      </c>
    </row>
    <row r="140" spans="1:3">
      <c r="A140" t="str">
        <f>IF(B140="","",IF(AND(ScoPo!S142&gt;0,ScoPo!S142&lt;='Results Export'!$B$1),LEFT(VLOOKUP(ScoPo!S142,ScoPo!$G$150:$J$277,4,0),FIND(",",VLOOKUP(ScoPo!S142,ScoPo!$G$150:$J$277,4,0))-1),""))</f>
        <v/>
      </c>
      <c r="B140" t="str">
        <f>IF(AND(ScoPo!T142&gt;0,ScoPo!T142&lt;='Results Export'!$B$1),LEFT(VLOOKUP(ScoPo!T142,ScoPo!$G$150:$J$277,4,0),FIND(",",VLOOKUP(ScoPo!T142,ScoPo!$G$150:$J$277,4,0))-1),"")</f>
        <v/>
      </c>
      <c r="C140">
        <f>IF(ScoPo!K142&gt;0,IF(ScoPo!K142=1,ScoPo!N142,-ScoPo!O142),0)</f>
        <v>0</v>
      </c>
    </row>
    <row r="141" spans="1:3">
      <c r="B141"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vt:i4>
      </vt:variant>
    </vt:vector>
  </HeadingPairs>
  <TitlesOfParts>
    <vt:vector size="5" baseType="lpstr">
      <vt:lpstr>Instructions</vt:lpstr>
      <vt:lpstr>ScoPo</vt:lpstr>
      <vt:lpstr>PAW26</vt:lpstr>
      <vt:lpstr>Standing Board</vt:lpstr>
      <vt:lpstr>Results 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Utente</dc:creator>
  <cp:lastModifiedBy>Utente</cp:lastModifiedBy>
  <dcterms:created xsi:type="dcterms:W3CDTF">2015-03-21T20:14:24Z</dcterms:created>
  <dcterms:modified xsi:type="dcterms:W3CDTF">2023-05-08T12:29:58Z</dcterms:modified>
</cp:coreProperties>
</file>